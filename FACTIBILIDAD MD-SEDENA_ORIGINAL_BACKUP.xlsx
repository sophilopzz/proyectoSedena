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phia Lopez\Documents\Rutas de Mantenimiento\"/>
    </mc:Choice>
  </mc:AlternateContent>
  <xr:revisionPtr revIDLastSave="0" documentId="8_{FD7B6E1B-72E1-4BCF-8747-5E004B2D3C97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PARTIDAS A PARTICIPAR  FILTRADA" sheetId="1" r:id="rId1"/>
    <sheet name="PARTIDAS FALLADAS" sheetId="2" r:id="rId2"/>
    <sheet name="PARTIDAS ADJUDICADAS" sheetId="6" r:id="rId3"/>
    <sheet name="PROGRAMACIÓN" sheetId="3" r:id="rId4"/>
    <sheet name="CALENDARIO OPERATIVO" sheetId="4" r:id="rId5"/>
  </sheets>
  <definedNames>
    <definedName name="_xlnm._FilterDatabase" localSheetId="4" hidden="1">'CALENDARIO OPERATIVO'!$A$18:$K$119</definedName>
    <definedName name="_xlnm._FilterDatabase" localSheetId="0" hidden="1">'PARTIDAS A PARTICIPAR  FILTRADA'!$V$12:$X$178</definedName>
    <definedName name="_xlnm._FilterDatabase" localSheetId="2" hidden="1">'PARTIDAS ADJUDICADAS'!$A$12:$W$116</definedName>
    <definedName name="_xlnm._FilterDatabase" localSheetId="1" hidden="1">'PARTIDAS FALLADAS'!$A$12:$W$178</definedName>
    <definedName name="_xlnm._FilterDatabase" localSheetId="3" hidden="1">PROGRAMACIÓN!$A$1:$K$102</definedName>
    <definedName name="_xlnm.Print_Area" localSheetId="0">'PARTIDAS A PARTICIPAR  FILTRADA'!$A$1:$Z$190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3" l="1"/>
  <c r="V3" i="3"/>
  <c r="R177" i="2"/>
  <c r="S177" i="2" l="1"/>
  <c r="T177" i="2" s="1"/>
  <c r="H115" i="6"/>
  <c r="G115" i="6"/>
  <c r="Q114" i="6"/>
  <c r="P114" i="6"/>
  <c r="J114" i="6"/>
  <c r="Q113" i="6"/>
  <c r="P113" i="6"/>
  <c r="J113" i="6"/>
  <c r="Q112" i="6"/>
  <c r="P112" i="6"/>
  <c r="J112" i="6"/>
  <c r="K112" i="6" s="1"/>
  <c r="Q111" i="6"/>
  <c r="P111" i="6"/>
  <c r="J111" i="6"/>
  <c r="K111" i="6" s="1"/>
  <c r="Q110" i="6"/>
  <c r="P110" i="6"/>
  <c r="J110" i="6"/>
  <c r="K110" i="6" s="1"/>
  <c r="Q109" i="6"/>
  <c r="P109" i="6"/>
  <c r="J109" i="6"/>
  <c r="Q108" i="6"/>
  <c r="P108" i="6"/>
  <c r="J108" i="6"/>
  <c r="Q107" i="6"/>
  <c r="P107" i="6"/>
  <c r="J107" i="6"/>
  <c r="K107" i="6" s="1"/>
  <c r="Q106" i="6"/>
  <c r="P106" i="6"/>
  <c r="J106" i="6"/>
  <c r="K106" i="6" s="1"/>
  <c r="L106" i="6" s="1"/>
  <c r="Q105" i="6"/>
  <c r="P105" i="6"/>
  <c r="J105" i="6"/>
  <c r="K105" i="6" s="1"/>
  <c r="Q104" i="6"/>
  <c r="P104" i="6"/>
  <c r="J104" i="6"/>
  <c r="Q103" i="6"/>
  <c r="P103" i="6"/>
  <c r="J103" i="6"/>
  <c r="K103" i="6" s="1"/>
  <c r="Q102" i="6"/>
  <c r="P102" i="6"/>
  <c r="J102" i="6"/>
  <c r="K102" i="6" s="1"/>
  <c r="Q101" i="6"/>
  <c r="P101" i="6"/>
  <c r="J101" i="6"/>
  <c r="K101" i="6" s="1"/>
  <c r="L101" i="6" s="1"/>
  <c r="M101" i="6" s="1"/>
  <c r="Q100" i="6"/>
  <c r="P100" i="6"/>
  <c r="J100" i="6"/>
  <c r="K100" i="6" s="1"/>
  <c r="Q99" i="6"/>
  <c r="P99" i="6"/>
  <c r="J99" i="6"/>
  <c r="K99" i="6" s="1"/>
  <c r="Q98" i="6"/>
  <c r="P98" i="6"/>
  <c r="J98" i="6"/>
  <c r="K98" i="6" s="1"/>
  <c r="L98" i="6" s="1"/>
  <c r="M98" i="6" s="1"/>
  <c r="Q97" i="6"/>
  <c r="P97" i="6"/>
  <c r="J97" i="6"/>
  <c r="Q96" i="6"/>
  <c r="P96" i="6"/>
  <c r="J96" i="6"/>
  <c r="K96" i="6" s="1"/>
  <c r="Q95" i="6"/>
  <c r="P95" i="6"/>
  <c r="J95" i="6"/>
  <c r="K95" i="6" s="1"/>
  <c r="L95" i="6" s="1"/>
  <c r="Q94" i="6"/>
  <c r="P94" i="6"/>
  <c r="J94" i="6"/>
  <c r="Q93" i="6"/>
  <c r="P93" i="6"/>
  <c r="J93" i="6"/>
  <c r="K93" i="6" s="1"/>
  <c r="L93" i="6" s="1"/>
  <c r="Q92" i="6"/>
  <c r="P92" i="6"/>
  <c r="J92" i="6"/>
  <c r="Q91" i="6"/>
  <c r="P91" i="6"/>
  <c r="J91" i="6"/>
  <c r="K91" i="6" s="1"/>
  <c r="L91" i="6" s="1"/>
  <c r="Q90" i="6"/>
  <c r="P90" i="6"/>
  <c r="J90" i="6"/>
  <c r="K90" i="6" s="1"/>
  <c r="Q89" i="6"/>
  <c r="P89" i="6"/>
  <c r="J89" i="6"/>
  <c r="K89" i="6" s="1"/>
  <c r="L89" i="6" s="1"/>
  <c r="M89" i="6" s="1"/>
  <c r="Q88" i="6"/>
  <c r="P88" i="6"/>
  <c r="J88" i="6"/>
  <c r="K88" i="6" s="1"/>
  <c r="Q87" i="6"/>
  <c r="P87" i="6"/>
  <c r="J87" i="6"/>
  <c r="K87" i="6" s="1"/>
  <c r="L87" i="6" s="1"/>
  <c r="M87" i="6" s="1"/>
  <c r="Q86" i="6"/>
  <c r="P86" i="6"/>
  <c r="J86" i="6"/>
  <c r="Q85" i="6"/>
  <c r="P85" i="6"/>
  <c r="J85" i="6"/>
  <c r="Q84" i="6"/>
  <c r="P84" i="6"/>
  <c r="J84" i="6"/>
  <c r="Q83" i="6"/>
  <c r="P83" i="6"/>
  <c r="J83" i="6"/>
  <c r="K83" i="6" s="1"/>
  <c r="Q82" i="6"/>
  <c r="P82" i="6"/>
  <c r="J82" i="6"/>
  <c r="Q81" i="6"/>
  <c r="P81" i="6"/>
  <c r="J81" i="6"/>
  <c r="Q80" i="6"/>
  <c r="P80" i="6"/>
  <c r="J80" i="6"/>
  <c r="K80" i="6" s="1"/>
  <c r="Q79" i="6"/>
  <c r="P79" i="6"/>
  <c r="J79" i="6"/>
  <c r="K79" i="6" s="1"/>
  <c r="Q78" i="6"/>
  <c r="P78" i="6"/>
  <c r="J78" i="6"/>
  <c r="Q77" i="6"/>
  <c r="P77" i="6"/>
  <c r="J77" i="6"/>
  <c r="Q76" i="6"/>
  <c r="P76" i="6"/>
  <c r="J76" i="6"/>
  <c r="K76" i="6" s="1"/>
  <c r="Q75" i="6"/>
  <c r="P75" i="6"/>
  <c r="J75" i="6"/>
  <c r="K75" i="6" s="1"/>
  <c r="Q74" i="6"/>
  <c r="P74" i="6"/>
  <c r="J74" i="6"/>
  <c r="K74" i="6" s="1"/>
  <c r="Q73" i="6"/>
  <c r="P73" i="6"/>
  <c r="J73" i="6"/>
  <c r="Q72" i="6"/>
  <c r="P72" i="6"/>
  <c r="J72" i="6"/>
  <c r="K72" i="6" s="1"/>
  <c r="Q71" i="6"/>
  <c r="P71" i="6"/>
  <c r="J71" i="6"/>
  <c r="K71" i="6" s="1"/>
  <c r="Q70" i="6"/>
  <c r="P70" i="6"/>
  <c r="J70" i="6"/>
  <c r="Q69" i="6"/>
  <c r="P69" i="6"/>
  <c r="J69" i="6"/>
  <c r="Q68" i="6"/>
  <c r="P68" i="6"/>
  <c r="J68" i="6"/>
  <c r="K68" i="6" s="1"/>
  <c r="Q67" i="6"/>
  <c r="P67" i="6"/>
  <c r="J67" i="6"/>
  <c r="K67" i="6" s="1"/>
  <c r="Q66" i="6"/>
  <c r="P66" i="6"/>
  <c r="J66" i="6"/>
  <c r="K66" i="6" s="1"/>
  <c r="Q65" i="6"/>
  <c r="P65" i="6"/>
  <c r="J65" i="6"/>
  <c r="K65" i="6" s="1"/>
  <c r="L65" i="6" s="1"/>
  <c r="Q64" i="6"/>
  <c r="P64" i="6"/>
  <c r="J64" i="6"/>
  <c r="K64" i="6" s="1"/>
  <c r="Q63" i="6"/>
  <c r="P63" i="6"/>
  <c r="J63" i="6"/>
  <c r="K63" i="6" s="1"/>
  <c r="L63" i="6" s="1"/>
  <c r="M63" i="6" s="1"/>
  <c r="Q62" i="6"/>
  <c r="P62" i="6"/>
  <c r="J62" i="6"/>
  <c r="K62" i="6" s="1"/>
  <c r="L62" i="6" s="1"/>
  <c r="Q61" i="6"/>
  <c r="P61" i="6"/>
  <c r="J61" i="6"/>
  <c r="K61" i="6" s="1"/>
  <c r="L61" i="6" s="1"/>
  <c r="M61" i="6" s="1"/>
  <c r="Q60" i="6"/>
  <c r="P60" i="6"/>
  <c r="J60" i="6"/>
  <c r="K60" i="6" s="1"/>
  <c r="Q59" i="6"/>
  <c r="P59" i="6"/>
  <c r="J59" i="6"/>
  <c r="Q58" i="6"/>
  <c r="P58" i="6"/>
  <c r="J58" i="6"/>
  <c r="Q57" i="6"/>
  <c r="P57" i="6"/>
  <c r="J57" i="6"/>
  <c r="K57" i="6" s="1"/>
  <c r="L57" i="6" s="1"/>
  <c r="Q56" i="6"/>
  <c r="P56" i="6"/>
  <c r="J56" i="6"/>
  <c r="K56" i="6" s="1"/>
  <c r="Q55" i="6"/>
  <c r="P55" i="6"/>
  <c r="J55" i="6"/>
  <c r="Q54" i="6"/>
  <c r="P54" i="6"/>
  <c r="J54" i="6"/>
  <c r="Q53" i="6"/>
  <c r="P53" i="6"/>
  <c r="J53" i="6"/>
  <c r="Q52" i="6"/>
  <c r="P52" i="6"/>
  <c r="J52" i="6"/>
  <c r="K52" i="6" s="1"/>
  <c r="Q51" i="6"/>
  <c r="P51" i="6"/>
  <c r="J51" i="6"/>
  <c r="K51" i="6" s="1"/>
  <c r="L51" i="6" s="1"/>
  <c r="Q50" i="6"/>
  <c r="P50" i="6"/>
  <c r="J50" i="6"/>
  <c r="Q49" i="6"/>
  <c r="P49" i="6"/>
  <c r="J49" i="6"/>
  <c r="Q48" i="6"/>
  <c r="P48" i="6"/>
  <c r="J48" i="6"/>
  <c r="K48" i="6" s="1"/>
  <c r="Q47" i="6"/>
  <c r="P47" i="6"/>
  <c r="J47" i="6"/>
  <c r="K47" i="6" s="1"/>
  <c r="L47" i="6" s="1"/>
  <c r="M47" i="6" s="1"/>
  <c r="Q46" i="6"/>
  <c r="P46" i="6"/>
  <c r="J46" i="6"/>
  <c r="Q45" i="6"/>
  <c r="P45" i="6"/>
  <c r="J45" i="6"/>
  <c r="Q44" i="6"/>
  <c r="P44" i="6"/>
  <c r="J44" i="6"/>
  <c r="K44" i="6" s="1"/>
  <c r="Q43" i="6"/>
  <c r="P43" i="6"/>
  <c r="J43" i="6"/>
  <c r="K43" i="6" s="1"/>
  <c r="L43" i="6" s="1"/>
  <c r="Q42" i="6"/>
  <c r="P42" i="6"/>
  <c r="J42" i="6"/>
  <c r="Q41" i="6"/>
  <c r="P41" i="6"/>
  <c r="J41" i="6"/>
  <c r="K41" i="6" s="1"/>
  <c r="Q40" i="6"/>
  <c r="P40" i="6"/>
  <c r="J40" i="6"/>
  <c r="K40" i="6" s="1"/>
  <c r="Q39" i="6"/>
  <c r="P39" i="6"/>
  <c r="J39" i="6"/>
  <c r="K39" i="6" s="1"/>
  <c r="L39" i="6" s="1"/>
  <c r="M39" i="6" s="1"/>
  <c r="Q38" i="6"/>
  <c r="P38" i="6"/>
  <c r="J38" i="6"/>
  <c r="Q37" i="6"/>
  <c r="P37" i="6"/>
  <c r="J37" i="6"/>
  <c r="K37" i="6" s="1"/>
  <c r="Q36" i="6"/>
  <c r="P36" i="6"/>
  <c r="J36" i="6"/>
  <c r="K36" i="6" s="1"/>
  <c r="Q35" i="6"/>
  <c r="P35" i="6"/>
  <c r="J35" i="6"/>
  <c r="Q34" i="6"/>
  <c r="P34" i="6"/>
  <c r="J34" i="6"/>
  <c r="Q33" i="6"/>
  <c r="P33" i="6"/>
  <c r="J33" i="6"/>
  <c r="Q32" i="6"/>
  <c r="P32" i="6"/>
  <c r="J32" i="6"/>
  <c r="Q31" i="6"/>
  <c r="P31" i="6"/>
  <c r="J31" i="6"/>
  <c r="K31" i="6" s="1"/>
  <c r="Q30" i="6"/>
  <c r="P30" i="6"/>
  <c r="J30" i="6"/>
  <c r="K30" i="6" s="1"/>
  <c r="L30" i="6" s="1"/>
  <c r="Q29" i="6"/>
  <c r="P29" i="6"/>
  <c r="J29" i="6"/>
  <c r="Q28" i="6"/>
  <c r="P28" i="6"/>
  <c r="J28" i="6"/>
  <c r="Q27" i="6"/>
  <c r="P27" i="6"/>
  <c r="J27" i="6"/>
  <c r="K27" i="6" s="1"/>
  <c r="Q26" i="6"/>
  <c r="P26" i="6"/>
  <c r="J26" i="6"/>
  <c r="K26" i="6" s="1"/>
  <c r="L26" i="6" s="1"/>
  <c r="M26" i="6" s="1"/>
  <c r="N26" i="6" s="1"/>
  <c r="Q25" i="6"/>
  <c r="P25" i="6"/>
  <c r="J25" i="6"/>
  <c r="Q24" i="6"/>
  <c r="P24" i="6"/>
  <c r="J24" i="6"/>
  <c r="K24" i="6" s="1"/>
  <c r="L24" i="6" s="1"/>
  <c r="Q23" i="6"/>
  <c r="P23" i="6"/>
  <c r="J23" i="6"/>
  <c r="K23" i="6" s="1"/>
  <c r="L23" i="6" s="1"/>
  <c r="Q22" i="6"/>
  <c r="P22" i="6"/>
  <c r="J22" i="6"/>
  <c r="Q21" i="6"/>
  <c r="P21" i="6"/>
  <c r="J21" i="6"/>
  <c r="Q20" i="6"/>
  <c r="P20" i="6"/>
  <c r="J20" i="6"/>
  <c r="Q19" i="6"/>
  <c r="P19" i="6"/>
  <c r="J19" i="6"/>
  <c r="K19" i="6" s="1"/>
  <c r="L19" i="6" s="1"/>
  <c r="M19" i="6" s="1"/>
  <c r="Q18" i="6"/>
  <c r="P18" i="6"/>
  <c r="J18" i="6"/>
  <c r="Q17" i="6"/>
  <c r="P17" i="6"/>
  <c r="J17" i="6"/>
  <c r="Q16" i="6"/>
  <c r="P16" i="6"/>
  <c r="J16" i="6"/>
  <c r="K16" i="6" s="1"/>
  <c r="Q15" i="6"/>
  <c r="P15" i="6"/>
  <c r="J15" i="6"/>
  <c r="K15" i="6" s="1"/>
  <c r="L15" i="6" s="1"/>
  <c r="Q14" i="6"/>
  <c r="P14" i="6"/>
  <c r="J14" i="6"/>
  <c r="K14" i="6" s="1"/>
  <c r="L14" i="6" s="1"/>
  <c r="H177" i="2"/>
  <c r="J15" i="2"/>
  <c r="K15" i="2" s="1"/>
  <c r="J16" i="2"/>
  <c r="K16" i="2" s="1"/>
  <c r="L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L29" i="2" s="1"/>
  <c r="J30" i="2"/>
  <c r="K30" i="2" s="1"/>
  <c r="J31" i="2"/>
  <c r="K31" i="2" s="1"/>
  <c r="J32" i="2"/>
  <c r="K32" i="2" s="1"/>
  <c r="J33" i="2"/>
  <c r="K33" i="2" s="1"/>
  <c r="J34" i="2"/>
  <c r="K34" i="2" s="1"/>
  <c r="L34" i="2" s="1"/>
  <c r="J35" i="2"/>
  <c r="K35" i="2" s="1"/>
  <c r="L35" i="2" s="1"/>
  <c r="M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4" i="2"/>
  <c r="K14" i="2" s="1"/>
  <c r="Q22" i="3"/>
  <c r="N16" i="3"/>
  <c r="G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M177" i="1"/>
  <c r="J177" i="1"/>
  <c r="I177" i="1"/>
  <c r="I178" i="1" s="1"/>
  <c r="P176" i="1"/>
  <c r="O176" i="1"/>
  <c r="P175" i="1"/>
  <c r="O175" i="1"/>
  <c r="Q175" i="1" s="1"/>
  <c r="P174" i="1"/>
  <c r="O174" i="1"/>
  <c r="Q174" i="1" s="1"/>
  <c r="R174" i="1" s="1"/>
  <c r="S174" i="1" s="1"/>
  <c r="P173" i="1"/>
  <c r="O173" i="1"/>
  <c r="Q173" i="1" s="1"/>
  <c r="Q172" i="1"/>
  <c r="R172" i="1" s="1"/>
  <c r="P172" i="1"/>
  <c r="O172" i="1"/>
  <c r="P171" i="1"/>
  <c r="O171" i="1"/>
  <c r="Q171" i="1" s="1"/>
  <c r="R171" i="1" s="1"/>
  <c r="P170" i="1"/>
  <c r="O170" i="1"/>
  <c r="Q170" i="1" s="1"/>
  <c r="R170" i="1" s="1"/>
  <c r="Q169" i="1"/>
  <c r="R169" i="1" s="1"/>
  <c r="P169" i="1"/>
  <c r="O169" i="1"/>
  <c r="P168" i="1"/>
  <c r="Q168" i="1" s="1"/>
  <c r="O168" i="1"/>
  <c r="P167" i="1"/>
  <c r="O167" i="1"/>
  <c r="Q167" i="1" s="1"/>
  <c r="P166" i="1"/>
  <c r="O166" i="1"/>
  <c r="Q166" i="1" s="1"/>
  <c r="P165" i="1"/>
  <c r="O165" i="1"/>
  <c r="Q165" i="1" s="1"/>
  <c r="R165" i="1" s="1"/>
  <c r="S165" i="1" s="1"/>
  <c r="P164" i="1"/>
  <c r="O164" i="1"/>
  <c r="Q164" i="1" s="1"/>
  <c r="P163" i="1"/>
  <c r="O163" i="1"/>
  <c r="P162" i="1"/>
  <c r="O162" i="1"/>
  <c r="P161" i="1"/>
  <c r="O161" i="1"/>
  <c r="Q161" i="1" s="1"/>
  <c r="P160" i="1"/>
  <c r="O160" i="1"/>
  <c r="Q160" i="1" s="1"/>
  <c r="P159" i="1"/>
  <c r="O159" i="1"/>
  <c r="P158" i="1"/>
  <c r="Q158" i="1" s="1"/>
  <c r="R158" i="1" s="1"/>
  <c r="S158" i="1" s="1"/>
  <c r="O158" i="1"/>
  <c r="P157" i="1"/>
  <c r="O157" i="1"/>
  <c r="Q157" i="1" s="1"/>
  <c r="P156" i="1"/>
  <c r="O156" i="1"/>
  <c r="Q156" i="1" s="1"/>
  <c r="P155" i="1"/>
  <c r="Q155" i="1" s="1"/>
  <c r="O155" i="1"/>
  <c r="P154" i="1"/>
  <c r="O154" i="1"/>
  <c r="Q154" i="1" s="1"/>
  <c r="P153" i="1"/>
  <c r="Q153" i="1" s="1"/>
  <c r="O153" i="1"/>
  <c r="P152" i="1"/>
  <c r="O152" i="1"/>
  <c r="Q152" i="1" s="1"/>
  <c r="P151" i="1"/>
  <c r="O151" i="1"/>
  <c r="P150" i="1"/>
  <c r="O150" i="1"/>
  <c r="Q150" i="1" s="1"/>
  <c r="P149" i="1"/>
  <c r="O149" i="1"/>
  <c r="Q149" i="1" s="1"/>
  <c r="P148" i="1"/>
  <c r="O148" i="1"/>
  <c r="P147" i="1"/>
  <c r="O147" i="1"/>
  <c r="Q147" i="1" s="1"/>
  <c r="R147" i="1" s="1"/>
  <c r="P146" i="1"/>
  <c r="O146" i="1"/>
  <c r="Q146" i="1" s="1"/>
  <c r="R146" i="1" s="1"/>
  <c r="P145" i="1"/>
  <c r="O145" i="1"/>
  <c r="Q145" i="1" s="1"/>
  <c r="R145" i="1" s="1"/>
  <c r="S145" i="1" s="1"/>
  <c r="P144" i="1"/>
  <c r="O144" i="1"/>
  <c r="P143" i="1"/>
  <c r="O143" i="1"/>
  <c r="P142" i="1"/>
  <c r="Q142" i="1" s="1"/>
  <c r="O142" i="1"/>
  <c r="P141" i="1"/>
  <c r="O141" i="1"/>
  <c r="Q141" i="1" s="1"/>
  <c r="P140" i="1"/>
  <c r="O140" i="1"/>
  <c r="Q140" i="1" s="1"/>
  <c r="R140" i="1" s="1"/>
  <c r="P139" i="1"/>
  <c r="O139" i="1"/>
  <c r="P138" i="1"/>
  <c r="O138" i="1"/>
  <c r="P137" i="1"/>
  <c r="O137" i="1"/>
  <c r="Q137" i="1" s="1"/>
  <c r="P136" i="1"/>
  <c r="O136" i="1"/>
  <c r="Q136" i="1" s="1"/>
  <c r="P135" i="1"/>
  <c r="O135" i="1"/>
  <c r="Q134" i="1"/>
  <c r="P134" i="1"/>
  <c r="O134" i="1"/>
  <c r="P133" i="1"/>
  <c r="O133" i="1"/>
  <c r="Q133" i="1" s="1"/>
  <c r="R133" i="1" s="1"/>
  <c r="S133" i="1" s="1"/>
  <c r="P132" i="1"/>
  <c r="O132" i="1"/>
  <c r="Q132" i="1" s="1"/>
  <c r="P131" i="1"/>
  <c r="O131" i="1"/>
  <c r="Q131" i="1" s="1"/>
  <c r="P130" i="1"/>
  <c r="O130" i="1"/>
  <c r="Q130" i="1" s="1"/>
  <c r="P129" i="1"/>
  <c r="O129" i="1"/>
  <c r="P128" i="1"/>
  <c r="O128" i="1"/>
  <c r="P127" i="1"/>
  <c r="O127" i="1"/>
  <c r="Q127" i="1" s="1"/>
  <c r="R127" i="1" s="1"/>
  <c r="P126" i="1"/>
  <c r="O126" i="1"/>
  <c r="Q126" i="1" s="1"/>
  <c r="R126" i="1" s="1"/>
  <c r="S126" i="1" s="1"/>
  <c r="P125" i="1"/>
  <c r="O125" i="1"/>
  <c r="P124" i="1"/>
  <c r="O124" i="1"/>
  <c r="Q124" i="1" s="1"/>
  <c r="R124" i="1" s="1"/>
  <c r="P123" i="1"/>
  <c r="O123" i="1"/>
  <c r="P122" i="1"/>
  <c r="O122" i="1"/>
  <c r="Q122" i="1" s="1"/>
  <c r="P121" i="1"/>
  <c r="O121" i="1"/>
  <c r="Q121" i="1" s="1"/>
  <c r="P120" i="1"/>
  <c r="O120" i="1"/>
  <c r="P119" i="1"/>
  <c r="O119" i="1"/>
  <c r="Q119" i="1" s="1"/>
  <c r="P118" i="1"/>
  <c r="O118" i="1"/>
  <c r="Q118" i="1" s="1"/>
  <c r="P117" i="1"/>
  <c r="O117" i="1"/>
  <c r="P116" i="1"/>
  <c r="O116" i="1"/>
  <c r="Q116" i="1" s="1"/>
  <c r="P115" i="1"/>
  <c r="O115" i="1"/>
  <c r="Q115" i="1" s="1"/>
  <c r="P114" i="1"/>
  <c r="O114" i="1"/>
  <c r="P113" i="1"/>
  <c r="O113" i="1"/>
  <c r="P112" i="1"/>
  <c r="O112" i="1"/>
  <c r="P111" i="1"/>
  <c r="O111" i="1"/>
  <c r="P110" i="1"/>
  <c r="O110" i="1"/>
  <c r="Q109" i="1"/>
  <c r="P109" i="1"/>
  <c r="O109" i="1"/>
  <c r="P108" i="1"/>
  <c r="O108" i="1"/>
  <c r="P107" i="1"/>
  <c r="O107" i="1"/>
  <c r="Q107" i="1" s="1"/>
  <c r="P106" i="1"/>
  <c r="O106" i="1"/>
  <c r="Q106" i="1" s="1"/>
  <c r="P105" i="1"/>
  <c r="O105" i="1"/>
  <c r="P104" i="1"/>
  <c r="O104" i="1"/>
  <c r="Q104" i="1" s="1"/>
  <c r="P103" i="1"/>
  <c r="O103" i="1"/>
  <c r="P102" i="1"/>
  <c r="O102" i="1"/>
  <c r="Q102" i="1" s="1"/>
  <c r="R102" i="1" s="1"/>
  <c r="P101" i="1"/>
  <c r="O101" i="1"/>
  <c r="Q101" i="1" s="1"/>
  <c r="P100" i="1"/>
  <c r="O100" i="1"/>
  <c r="P99" i="1"/>
  <c r="O99" i="1"/>
  <c r="Q99" i="1" s="1"/>
  <c r="R99" i="1" s="1"/>
  <c r="P98" i="1"/>
  <c r="Q98" i="1" s="1"/>
  <c r="O98" i="1"/>
  <c r="P97" i="1"/>
  <c r="O97" i="1"/>
  <c r="Q97" i="1" s="1"/>
  <c r="R97" i="1" s="1"/>
  <c r="P96" i="1"/>
  <c r="O96" i="1"/>
  <c r="P95" i="1"/>
  <c r="O95" i="1"/>
  <c r="P94" i="1"/>
  <c r="Q94" i="1" s="1"/>
  <c r="O94" i="1"/>
  <c r="P93" i="1"/>
  <c r="O93" i="1"/>
  <c r="Q93" i="1" s="1"/>
  <c r="P92" i="1"/>
  <c r="O92" i="1"/>
  <c r="Q92" i="1" s="1"/>
  <c r="R92" i="1" s="1"/>
  <c r="P91" i="1"/>
  <c r="O91" i="1"/>
  <c r="P90" i="1"/>
  <c r="Q90" i="1" s="1"/>
  <c r="O90" i="1"/>
  <c r="P89" i="1"/>
  <c r="O89" i="1"/>
  <c r="P88" i="1"/>
  <c r="O88" i="1"/>
  <c r="P87" i="1"/>
  <c r="O87" i="1"/>
  <c r="Q87" i="1" s="1"/>
  <c r="R87" i="1" s="1"/>
  <c r="P86" i="1"/>
  <c r="O86" i="1"/>
  <c r="P85" i="1"/>
  <c r="Q85" i="1" s="1"/>
  <c r="O85" i="1"/>
  <c r="P84" i="1"/>
  <c r="Q84" i="1" s="1"/>
  <c r="O84" i="1"/>
  <c r="P83" i="1"/>
  <c r="O83" i="1"/>
  <c r="Q83" i="1" s="1"/>
  <c r="P82" i="1"/>
  <c r="O82" i="1"/>
  <c r="P81" i="1"/>
  <c r="O81" i="1"/>
  <c r="Q81" i="1" s="1"/>
  <c r="P80" i="1"/>
  <c r="O80" i="1"/>
  <c r="Q80" i="1" s="1"/>
  <c r="R80" i="1" s="1"/>
  <c r="P79" i="1"/>
  <c r="O79" i="1"/>
  <c r="Q79" i="1" s="1"/>
  <c r="R79" i="1" s="1"/>
  <c r="S79" i="1" s="1"/>
  <c r="P78" i="1"/>
  <c r="O78" i="1"/>
  <c r="Q78" i="1" s="1"/>
  <c r="R78" i="1" s="1"/>
  <c r="S78" i="1" s="1"/>
  <c r="P77" i="1"/>
  <c r="O77" i="1"/>
  <c r="Q77" i="1" s="1"/>
  <c r="P76" i="1"/>
  <c r="O76" i="1"/>
  <c r="Q76" i="1" s="1"/>
  <c r="R76" i="1" s="1"/>
  <c r="S76" i="1" s="1"/>
  <c r="P75" i="1"/>
  <c r="O75" i="1"/>
  <c r="P74" i="1"/>
  <c r="O74" i="1"/>
  <c r="Q74" i="1" s="1"/>
  <c r="P73" i="1"/>
  <c r="O73" i="1"/>
  <c r="Q73" i="1" s="1"/>
  <c r="R73" i="1" s="1"/>
  <c r="S73" i="1" s="1"/>
  <c r="P72" i="1"/>
  <c r="O72" i="1"/>
  <c r="P71" i="1"/>
  <c r="O71" i="1"/>
  <c r="P70" i="1"/>
  <c r="O70" i="1"/>
  <c r="P69" i="1"/>
  <c r="O69" i="1"/>
  <c r="Q69" i="1" s="1"/>
  <c r="P68" i="1"/>
  <c r="O68" i="1"/>
  <c r="Q68" i="1" s="1"/>
  <c r="P67" i="1"/>
  <c r="O67" i="1"/>
  <c r="Q67" i="1" s="1"/>
  <c r="R67" i="1" s="1"/>
  <c r="S67" i="1" s="1"/>
  <c r="P66" i="1"/>
  <c r="Q66" i="1" s="1"/>
  <c r="O66" i="1"/>
  <c r="P65" i="1"/>
  <c r="O65" i="1"/>
  <c r="P64" i="1"/>
  <c r="O64" i="1"/>
  <c r="P63" i="1"/>
  <c r="O63" i="1"/>
  <c r="Q63" i="1" s="1"/>
  <c r="R63" i="1" s="1"/>
  <c r="P62" i="1"/>
  <c r="O62" i="1"/>
  <c r="P61" i="1"/>
  <c r="O61" i="1"/>
  <c r="Q61" i="1" s="1"/>
  <c r="R61" i="1" s="1"/>
  <c r="S61" i="1" s="1"/>
  <c r="P60" i="1"/>
  <c r="O60" i="1"/>
  <c r="Q60" i="1" s="1"/>
  <c r="P59" i="1"/>
  <c r="Q59" i="1" s="1"/>
  <c r="O59" i="1"/>
  <c r="P58" i="1"/>
  <c r="O58" i="1"/>
  <c r="Q58" i="1" s="1"/>
  <c r="P57" i="1"/>
  <c r="O57" i="1"/>
  <c r="Q57" i="1" s="1"/>
  <c r="P56" i="1"/>
  <c r="O56" i="1"/>
  <c r="Q56" i="1" s="1"/>
  <c r="R56" i="1" s="1"/>
  <c r="P55" i="1"/>
  <c r="O55" i="1"/>
  <c r="Q54" i="1"/>
  <c r="P54" i="1"/>
  <c r="O54" i="1"/>
  <c r="P53" i="1"/>
  <c r="O53" i="1"/>
  <c r="Q53" i="1" s="1"/>
  <c r="P52" i="1"/>
  <c r="O52" i="1"/>
  <c r="Q52" i="1" s="1"/>
  <c r="P51" i="1"/>
  <c r="O51" i="1"/>
  <c r="P50" i="1"/>
  <c r="O50" i="1"/>
  <c r="Q50" i="1" s="1"/>
  <c r="P49" i="1"/>
  <c r="O49" i="1"/>
  <c r="Q49" i="1" s="1"/>
  <c r="R49" i="1" s="1"/>
  <c r="P48" i="1"/>
  <c r="O48" i="1"/>
  <c r="Q48" i="1" s="1"/>
  <c r="P47" i="1"/>
  <c r="O47" i="1"/>
  <c r="Q46" i="1"/>
  <c r="P46" i="1"/>
  <c r="O46" i="1"/>
  <c r="P45" i="1"/>
  <c r="Q45" i="1" s="1"/>
  <c r="O45" i="1"/>
  <c r="P44" i="1"/>
  <c r="O44" i="1"/>
  <c r="Q44" i="1" s="1"/>
  <c r="R44" i="1" s="1"/>
  <c r="S44" i="1" s="1"/>
  <c r="P43" i="1"/>
  <c r="O43" i="1"/>
  <c r="Q43" i="1" s="1"/>
  <c r="R43" i="1" s="1"/>
  <c r="S43" i="1" s="1"/>
  <c r="P42" i="1"/>
  <c r="Q42" i="1" s="1"/>
  <c r="O42" i="1"/>
  <c r="P41" i="1"/>
  <c r="O41" i="1"/>
  <c r="Q41" i="1" s="1"/>
  <c r="P40" i="1"/>
  <c r="O40" i="1"/>
  <c r="P39" i="1"/>
  <c r="O39" i="1"/>
  <c r="P38" i="1"/>
  <c r="O38" i="1"/>
  <c r="Q38" i="1" s="1"/>
  <c r="P37" i="1"/>
  <c r="O37" i="1"/>
  <c r="P36" i="1"/>
  <c r="O36" i="1"/>
  <c r="Q36" i="1" s="1"/>
  <c r="R36" i="1" s="1"/>
  <c r="P35" i="1"/>
  <c r="Q35" i="1" s="1"/>
  <c r="O35" i="1"/>
  <c r="P34" i="1"/>
  <c r="O34" i="1"/>
  <c r="Q34" i="1" s="1"/>
  <c r="P33" i="1"/>
  <c r="O33" i="1"/>
  <c r="Q33" i="1" s="1"/>
  <c r="R32" i="1"/>
  <c r="S32" i="1" s="1"/>
  <c r="P32" i="1"/>
  <c r="O32" i="1"/>
  <c r="Q32" i="1" s="1"/>
  <c r="P31" i="1"/>
  <c r="O31" i="1"/>
  <c r="P30" i="1"/>
  <c r="O30" i="1"/>
  <c r="Q30" i="1" s="1"/>
  <c r="P29" i="1"/>
  <c r="O29" i="1"/>
  <c r="Q29" i="1" s="1"/>
  <c r="R29" i="1" s="1"/>
  <c r="S29" i="1" s="1"/>
  <c r="P28" i="1"/>
  <c r="O28" i="1"/>
  <c r="P27" i="1"/>
  <c r="O27" i="1"/>
  <c r="Q27" i="1" s="1"/>
  <c r="P26" i="1"/>
  <c r="O26" i="1"/>
  <c r="P25" i="1"/>
  <c r="O25" i="1"/>
  <c r="Q25" i="1" s="1"/>
  <c r="P24" i="1"/>
  <c r="O24" i="1"/>
  <c r="Q23" i="1"/>
  <c r="P23" i="1"/>
  <c r="O23" i="1"/>
  <c r="P22" i="1"/>
  <c r="O22" i="1"/>
  <c r="P21" i="1"/>
  <c r="O21" i="1"/>
  <c r="Q21" i="1" s="1"/>
  <c r="R21" i="1" s="1"/>
  <c r="S21" i="1" s="1"/>
  <c r="P20" i="1"/>
  <c r="O20" i="1"/>
  <c r="Q20" i="1" s="1"/>
  <c r="R20" i="1" s="1"/>
  <c r="P19" i="1"/>
  <c r="O19" i="1"/>
  <c r="P18" i="1"/>
  <c r="O18" i="1"/>
  <c r="Q18" i="1" s="1"/>
  <c r="P17" i="1"/>
  <c r="O17" i="1"/>
  <c r="Q17" i="1" s="1"/>
  <c r="R17" i="1" s="1"/>
  <c r="P16" i="1"/>
  <c r="O16" i="1"/>
  <c r="Q16" i="1" s="1"/>
  <c r="R16" i="1" s="1"/>
  <c r="S16" i="1" s="1"/>
  <c r="P15" i="1"/>
  <c r="O15" i="1"/>
  <c r="Q15" i="1" s="1"/>
  <c r="P14" i="1"/>
  <c r="O14" i="1"/>
  <c r="R121" i="1" l="1"/>
  <c r="S121" i="1"/>
  <c r="Q96" i="1"/>
  <c r="Q82" i="1"/>
  <c r="S140" i="1"/>
  <c r="Q22" i="1"/>
  <c r="R22" i="1" s="1"/>
  <c r="Q26" i="1"/>
  <c r="R26" i="1" s="1"/>
  <c r="S26" i="1" s="1"/>
  <c r="Q31" i="1"/>
  <c r="Q40" i="1"/>
  <c r="R40" i="1" s="1"/>
  <c r="Q64" i="1"/>
  <c r="R64" i="1" s="1"/>
  <c r="S64" i="1" s="1"/>
  <c r="Q88" i="1"/>
  <c r="R88" i="1" s="1"/>
  <c r="S88" i="1" s="1"/>
  <c r="Q103" i="1"/>
  <c r="R103" i="1" s="1"/>
  <c r="S103" i="1" s="1"/>
  <c r="Q108" i="1"/>
  <c r="R108" i="1" s="1"/>
  <c r="S108" i="1" s="1"/>
  <c r="Q113" i="1"/>
  <c r="R113" i="1" s="1"/>
  <c r="Q123" i="1"/>
  <c r="S127" i="1"/>
  <c r="Q162" i="1"/>
  <c r="Q176" i="1"/>
  <c r="R176" i="1" s="1"/>
  <c r="S87" i="1"/>
  <c r="Q112" i="1"/>
  <c r="R112" i="1" s="1"/>
  <c r="S112" i="1" s="1"/>
  <c r="S171" i="1"/>
  <c r="S17" i="1"/>
  <c r="Q75" i="1"/>
  <c r="R75" i="1" s="1"/>
  <c r="S75" i="1" s="1"/>
  <c r="Q128" i="1"/>
  <c r="R128" i="1" s="1"/>
  <c r="S128" i="1" s="1"/>
  <c r="Q148" i="1"/>
  <c r="Q163" i="1"/>
  <c r="Q19" i="1"/>
  <c r="R19" i="1" s="1"/>
  <c r="Q100" i="1"/>
  <c r="S100" i="1" s="1"/>
  <c r="Q125" i="1"/>
  <c r="Q24" i="1"/>
  <c r="Q47" i="1"/>
  <c r="R47" i="1" s="1"/>
  <c r="S47" i="1" s="1"/>
  <c r="Q72" i="1"/>
  <c r="Q110" i="1"/>
  <c r="Q86" i="1"/>
  <c r="Q62" i="1"/>
  <c r="R62" i="1" s="1"/>
  <c r="Q151" i="1"/>
  <c r="R151" i="1" s="1"/>
  <c r="S92" i="1"/>
  <c r="Q70" i="1"/>
  <c r="Q138" i="1"/>
  <c r="R138" i="1" s="1"/>
  <c r="S138" i="1" s="1"/>
  <c r="Q143" i="1"/>
  <c r="R143" i="1" s="1"/>
  <c r="Q37" i="1"/>
  <c r="R37" i="1" s="1"/>
  <c r="Q51" i="1"/>
  <c r="Q55" i="1"/>
  <c r="S55" i="1" s="1"/>
  <c r="Q71" i="1"/>
  <c r="R71" i="1" s="1"/>
  <c r="S71" i="1" s="1"/>
  <c r="Q95" i="1"/>
  <c r="R95" i="1" s="1"/>
  <c r="S95" i="1" s="1"/>
  <c r="S99" i="1"/>
  <c r="Q114" i="1"/>
  <c r="Q120" i="1"/>
  <c r="Q144" i="1"/>
  <c r="Q159" i="1"/>
  <c r="L25" i="2"/>
  <c r="M25" i="2" s="1"/>
  <c r="R16" i="2"/>
  <c r="S16" i="2" s="1"/>
  <c r="T16" i="2" s="1"/>
  <c r="R28" i="2"/>
  <c r="S28" i="2" s="1"/>
  <c r="R32" i="2"/>
  <c r="S32" i="2" s="1"/>
  <c r="R44" i="2"/>
  <c r="R68" i="2"/>
  <c r="S68" i="2" s="1"/>
  <c r="T68" i="2" s="1"/>
  <c r="R72" i="2"/>
  <c r="S72" i="2" s="1"/>
  <c r="T72" i="2" s="1"/>
  <c r="R80" i="2"/>
  <c r="S80" i="2" s="1"/>
  <c r="R84" i="2"/>
  <c r="S84" i="2" s="1"/>
  <c r="T84" i="2" s="1"/>
  <c r="R88" i="2"/>
  <c r="S88" i="2" s="1"/>
  <c r="T88" i="2" s="1"/>
  <c r="R96" i="2"/>
  <c r="R108" i="2"/>
  <c r="R112" i="2"/>
  <c r="S112" i="2" s="1"/>
  <c r="R128" i="2"/>
  <c r="S128" i="2" s="1"/>
  <c r="R132" i="2"/>
  <c r="S132" i="2" s="1"/>
  <c r="T132" i="2" s="1"/>
  <c r="R136" i="2"/>
  <c r="S136" i="2" s="1"/>
  <c r="R152" i="2"/>
  <c r="S152" i="2" s="1"/>
  <c r="R156" i="2"/>
  <c r="R164" i="2"/>
  <c r="S164" i="2" s="1"/>
  <c r="R168" i="2"/>
  <c r="S168" i="2" s="1"/>
  <c r="T168" i="2" s="1"/>
  <c r="R172" i="2"/>
  <c r="S172" i="2" s="1"/>
  <c r="R176" i="2"/>
  <c r="S176" i="2" s="1"/>
  <c r="L17" i="2"/>
  <c r="M17" i="2" s="1"/>
  <c r="N17" i="2" s="1"/>
  <c r="L49" i="2"/>
  <c r="M49" i="2" s="1"/>
  <c r="N49" i="2" s="1"/>
  <c r="L57" i="2"/>
  <c r="M57" i="2" s="1"/>
  <c r="N57" i="2" s="1"/>
  <c r="L73" i="2"/>
  <c r="M73" i="2" s="1"/>
  <c r="N73" i="2" s="1"/>
  <c r="R90" i="6"/>
  <c r="S90" i="6" s="1"/>
  <c r="T90" i="6" s="1"/>
  <c r="R62" i="6"/>
  <c r="S62" i="6" s="1"/>
  <c r="T62" i="6" s="1"/>
  <c r="R59" i="6"/>
  <c r="R101" i="6"/>
  <c r="S101" i="6" s="1"/>
  <c r="T101" i="6" s="1"/>
  <c r="R74" i="6"/>
  <c r="S74" i="6" s="1"/>
  <c r="T74" i="6" s="1"/>
  <c r="R40" i="6"/>
  <c r="S40" i="6" s="1"/>
  <c r="T40" i="6" s="1"/>
  <c r="R66" i="6"/>
  <c r="S66" i="6" s="1"/>
  <c r="T66" i="6" s="1"/>
  <c r="R80" i="6"/>
  <c r="S80" i="6" s="1"/>
  <c r="T80" i="6" s="1"/>
  <c r="R109" i="6"/>
  <c r="S109" i="6" s="1"/>
  <c r="T109" i="6" s="1"/>
  <c r="L66" i="6"/>
  <c r="M66" i="6" s="1"/>
  <c r="L79" i="6"/>
  <c r="M79" i="6" s="1"/>
  <c r="N79" i="6" s="1"/>
  <c r="R89" i="6"/>
  <c r="S89" i="6" s="1"/>
  <c r="T89" i="6" s="1"/>
  <c r="R19" i="6"/>
  <c r="S19" i="6" s="1"/>
  <c r="T19" i="6" s="1"/>
  <c r="R27" i="6"/>
  <c r="S27" i="6" s="1"/>
  <c r="T27" i="6" s="1"/>
  <c r="R35" i="6"/>
  <c r="S35" i="6" s="1"/>
  <c r="T35" i="6" s="1"/>
  <c r="R51" i="6"/>
  <c r="S51" i="6" s="1"/>
  <c r="T51" i="6" s="1"/>
  <c r="R100" i="6"/>
  <c r="S100" i="6" s="1"/>
  <c r="R17" i="6"/>
  <c r="S17" i="6" s="1"/>
  <c r="T17" i="6" s="1"/>
  <c r="R30" i="6"/>
  <c r="S30" i="6" s="1"/>
  <c r="T30" i="6" s="1"/>
  <c r="R82" i="6"/>
  <c r="S82" i="6" s="1"/>
  <c r="T82" i="6" s="1"/>
  <c r="R52" i="6"/>
  <c r="S52" i="6" s="1"/>
  <c r="T52" i="6" s="1"/>
  <c r="R65" i="6"/>
  <c r="S65" i="6" s="1"/>
  <c r="T65" i="6" s="1"/>
  <c r="R70" i="6"/>
  <c r="S70" i="6" s="1"/>
  <c r="R78" i="6"/>
  <c r="S78" i="6" s="1"/>
  <c r="G116" i="6"/>
  <c r="R23" i="6"/>
  <c r="S23" i="6" s="1"/>
  <c r="T23" i="6" s="1"/>
  <c r="R26" i="6"/>
  <c r="S26" i="6" s="1"/>
  <c r="T26" i="6" s="1"/>
  <c r="R39" i="6"/>
  <c r="S39" i="6" s="1"/>
  <c r="T39" i="6" s="1"/>
  <c r="R67" i="6"/>
  <c r="S67" i="6" s="1"/>
  <c r="T67" i="6" s="1"/>
  <c r="R85" i="6"/>
  <c r="S85" i="6" s="1"/>
  <c r="T85" i="6" s="1"/>
  <c r="R102" i="6"/>
  <c r="S102" i="6" s="1"/>
  <c r="T102" i="6" s="1"/>
  <c r="R110" i="6"/>
  <c r="S110" i="6" s="1"/>
  <c r="L99" i="6"/>
  <c r="M99" i="6" s="1"/>
  <c r="R108" i="6"/>
  <c r="S108" i="6" s="1"/>
  <c r="R37" i="6"/>
  <c r="S37" i="6" s="1"/>
  <c r="T37" i="6" s="1"/>
  <c r="R53" i="6"/>
  <c r="S53" i="6" s="1"/>
  <c r="R56" i="6"/>
  <c r="S56" i="6" s="1"/>
  <c r="R103" i="6"/>
  <c r="S103" i="6" s="1"/>
  <c r="T103" i="6" s="1"/>
  <c r="R111" i="6"/>
  <c r="S111" i="6" s="1"/>
  <c r="R48" i="6"/>
  <c r="S48" i="6" s="1"/>
  <c r="T48" i="6" s="1"/>
  <c r="R79" i="6"/>
  <c r="S79" i="6" s="1"/>
  <c r="T79" i="6" s="1"/>
  <c r="R50" i="6"/>
  <c r="S50" i="6" s="1"/>
  <c r="T50" i="6" s="1"/>
  <c r="R20" i="6"/>
  <c r="S20" i="6" s="1"/>
  <c r="T20" i="6" s="1"/>
  <c r="R54" i="6"/>
  <c r="S54" i="6" s="1"/>
  <c r="T54" i="6" s="1"/>
  <c r="R92" i="6"/>
  <c r="S92" i="6" s="1"/>
  <c r="L52" i="6"/>
  <c r="K28" i="6"/>
  <c r="L28" i="6" s="1"/>
  <c r="M28" i="6" s="1"/>
  <c r="N28" i="6" s="1"/>
  <c r="K29" i="6"/>
  <c r="L29" i="6" s="1"/>
  <c r="M29" i="6" s="1"/>
  <c r="N29" i="6" s="1"/>
  <c r="L72" i="6"/>
  <c r="M72" i="6" s="1"/>
  <c r="L102" i="6"/>
  <c r="M102" i="6" s="1"/>
  <c r="R104" i="6"/>
  <c r="S104" i="6" s="1"/>
  <c r="L107" i="6"/>
  <c r="M107" i="6" s="1"/>
  <c r="N107" i="6" s="1"/>
  <c r="R15" i="6"/>
  <c r="S15" i="6" s="1"/>
  <c r="R38" i="6"/>
  <c r="S38" i="6" s="1"/>
  <c r="T38" i="6" s="1"/>
  <c r="R61" i="6"/>
  <c r="S61" i="6" s="1"/>
  <c r="T61" i="6" s="1"/>
  <c r="L74" i="6"/>
  <c r="M74" i="6" s="1"/>
  <c r="R86" i="6"/>
  <c r="S86" i="6" s="1"/>
  <c r="T86" i="6" s="1"/>
  <c r="R88" i="6"/>
  <c r="S88" i="6" s="1"/>
  <c r="R95" i="6"/>
  <c r="S95" i="6" s="1"/>
  <c r="R107" i="6"/>
  <c r="S107" i="6" s="1"/>
  <c r="T107" i="6" s="1"/>
  <c r="R112" i="6"/>
  <c r="S112" i="6" s="1"/>
  <c r="T112" i="6" s="1"/>
  <c r="R49" i="6"/>
  <c r="S49" i="6" s="1"/>
  <c r="R31" i="6"/>
  <c r="S31" i="6" s="1"/>
  <c r="T31" i="6" s="1"/>
  <c r="R36" i="6"/>
  <c r="S36" i="6" s="1"/>
  <c r="T36" i="6" s="1"/>
  <c r="R55" i="6"/>
  <c r="S55" i="6" s="1"/>
  <c r="T55" i="6" s="1"/>
  <c r="L71" i="6"/>
  <c r="M71" i="6" s="1"/>
  <c r="K73" i="6"/>
  <c r="L73" i="6" s="1"/>
  <c r="R114" i="6"/>
  <c r="S114" i="6" s="1"/>
  <c r="T114" i="6" s="1"/>
  <c r="L56" i="6"/>
  <c r="M56" i="6" s="1"/>
  <c r="N56" i="6" s="1"/>
  <c r="R14" i="6"/>
  <c r="R16" i="6"/>
  <c r="S16" i="6" s="1"/>
  <c r="T16" i="6" s="1"/>
  <c r="R32" i="6"/>
  <c r="S32" i="6" s="1"/>
  <c r="T32" i="6" s="1"/>
  <c r="R44" i="6"/>
  <c r="S44" i="6" s="1"/>
  <c r="T44" i="6" s="1"/>
  <c r="R71" i="6"/>
  <c r="S71" i="6" s="1"/>
  <c r="R75" i="6"/>
  <c r="S75" i="6" s="1"/>
  <c r="R87" i="6"/>
  <c r="S87" i="6" s="1"/>
  <c r="T87" i="6" s="1"/>
  <c r="R73" i="6"/>
  <c r="S73" i="6" s="1"/>
  <c r="T73" i="6" s="1"/>
  <c r="M51" i="6"/>
  <c r="N51" i="6" s="1"/>
  <c r="M62" i="6"/>
  <c r="N62" i="6" s="1"/>
  <c r="M43" i="6"/>
  <c r="N43" i="6" s="1"/>
  <c r="K18" i="6"/>
  <c r="L18" i="6" s="1"/>
  <c r="M18" i="6" s="1"/>
  <c r="R24" i="6"/>
  <c r="R46" i="6"/>
  <c r="S46" i="6" s="1"/>
  <c r="L48" i="6"/>
  <c r="M48" i="6" s="1"/>
  <c r="N48" i="6" s="1"/>
  <c r="K55" i="6"/>
  <c r="L55" i="6" s="1"/>
  <c r="R21" i="6"/>
  <c r="S21" i="6" s="1"/>
  <c r="T21" i="6" s="1"/>
  <c r="K35" i="6"/>
  <c r="L35" i="6" s="1"/>
  <c r="M35" i="6" s="1"/>
  <c r="N35" i="6" s="1"/>
  <c r="R41" i="6"/>
  <c r="S41" i="6" s="1"/>
  <c r="R58" i="6"/>
  <c r="S58" i="6" s="1"/>
  <c r="R60" i="6"/>
  <c r="S60" i="6" s="1"/>
  <c r="T60" i="6" s="1"/>
  <c r="L64" i="6"/>
  <c r="R97" i="6"/>
  <c r="S97" i="6" s="1"/>
  <c r="L103" i="6"/>
  <c r="M103" i="6" s="1"/>
  <c r="N103" i="6" s="1"/>
  <c r="L105" i="6"/>
  <c r="M105" i="6" s="1"/>
  <c r="N105" i="6" s="1"/>
  <c r="L111" i="6"/>
  <c r="M111" i="6" s="1"/>
  <c r="R113" i="6"/>
  <c r="S113" i="6" s="1"/>
  <c r="T113" i="6" s="1"/>
  <c r="R25" i="6"/>
  <c r="S25" i="6" s="1"/>
  <c r="T25" i="6" s="1"/>
  <c r="L27" i="6"/>
  <c r="M27" i="6" s="1"/>
  <c r="N27" i="6" s="1"/>
  <c r="R43" i="6"/>
  <c r="S43" i="6" s="1"/>
  <c r="T43" i="6" s="1"/>
  <c r="L90" i="6"/>
  <c r="M90" i="6" s="1"/>
  <c r="N90" i="6" s="1"/>
  <c r="R91" i="6"/>
  <c r="R105" i="6"/>
  <c r="R106" i="6"/>
  <c r="K22" i="6"/>
  <c r="L22" i="6" s="1"/>
  <c r="R33" i="6"/>
  <c r="S33" i="6" s="1"/>
  <c r="T33" i="6" s="1"/>
  <c r="R45" i="6"/>
  <c r="S45" i="6" s="1"/>
  <c r="N47" i="6"/>
  <c r="R64" i="6"/>
  <c r="R68" i="6"/>
  <c r="R72" i="6"/>
  <c r="S72" i="6" s="1"/>
  <c r="T72" i="6" s="1"/>
  <c r="R76" i="6"/>
  <c r="S76" i="6" s="1"/>
  <c r="T76" i="6" s="1"/>
  <c r="L96" i="6"/>
  <c r="M96" i="6" s="1"/>
  <c r="N96" i="6" s="1"/>
  <c r="R98" i="6"/>
  <c r="S98" i="6" s="1"/>
  <c r="T98" i="6" s="1"/>
  <c r="R28" i="6"/>
  <c r="S28" i="6" s="1"/>
  <c r="R42" i="6"/>
  <c r="S42" i="6" s="1"/>
  <c r="T42" i="6" s="1"/>
  <c r="L44" i="6"/>
  <c r="M44" i="6" s="1"/>
  <c r="N44" i="6" s="1"/>
  <c r="R47" i="6"/>
  <c r="S47" i="6" s="1"/>
  <c r="T47" i="6" s="1"/>
  <c r="L83" i="6"/>
  <c r="K94" i="6"/>
  <c r="L94" i="6" s="1"/>
  <c r="M94" i="6" s="1"/>
  <c r="N94" i="6" s="1"/>
  <c r="R96" i="6"/>
  <c r="S96" i="6" s="1"/>
  <c r="R22" i="6"/>
  <c r="S22" i="6" s="1"/>
  <c r="T22" i="6" s="1"/>
  <c r="R29" i="6"/>
  <c r="S29" i="6" s="1"/>
  <c r="T29" i="6" s="1"/>
  <c r="R34" i="6"/>
  <c r="L36" i="6"/>
  <c r="M36" i="6" s="1"/>
  <c r="N36" i="6" s="1"/>
  <c r="R63" i="6"/>
  <c r="S63" i="6" s="1"/>
  <c r="T63" i="6" s="1"/>
  <c r="R81" i="6"/>
  <c r="S81" i="6" s="1"/>
  <c r="R84" i="6"/>
  <c r="S84" i="6" s="1"/>
  <c r="T84" i="6" s="1"/>
  <c r="R94" i="6"/>
  <c r="M15" i="6"/>
  <c r="N15" i="6" s="1"/>
  <c r="S24" i="6"/>
  <c r="T24" i="6" s="1"/>
  <c r="M23" i="6"/>
  <c r="N23" i="6" s="1"/>
  <c r="M30" i="6"/>
  <c r="N30" i="6" s="1"/>
  <c r="M24" i="6"/>
  <c r="N24" i="6" s="1"/>
  <c r="K21" i="6"/>
  <c r="L21" i="6" s="1"/>
  <c r="K81" i="6"/>
  <c r="L81" i="6" s="1"/>
  <c r="S59" i="6"/>
  <c r="T59" i="6" s="1"/>
  <c r="N19" i="6"/>
  <c r="N39" i="6"/>
  <c r="N63" i="6"/>
  <c r="K78" i="6"/>
  <c r="L78" i="6" s="1"/>
  <c r="M14" i="6"/>
  <c r="N14" i="6" s="1"/>
  <c r="L16" i="6"/>
  <c r="K69" i="6"/>
  <c r="L69" i="6" s="1"/>
  <c r="K86" i="6"/>
  <c r="L86" i="6" s="1"/>
  <c r="M93" i="6"/>
  <c r="N93" i="6" s="1"/>
  <c r="N98" i="6"/>
  <c r="K114" i="6"/>
  <c r="L114" i="6" s="1"/>
  <c r="R18" i="6"/>
  <c r="L31" i="6"/>
  <c r="L37" i="6"/>
  <c r="L41" i="6"/>
  <c r="M65" i="6"/>
  <c r="N65" i="6" s="1"/>
  <c r="K82" i="6"/>
  <c r="L82" i="6" s="1"/>
  <c r="K49" i="6"/>
  <c r="L49" i="6" s="1"/>
  <c r="K108" i="6"/>
  <c r="L108" i="6" s="1"/>
  <c r="K113" i="6"/>
  <c r="L113" i="6" s="1"/>
  <c r="K17" i="6"/>
  <c r="L17" i="6" s="1"/>
  <c r="K20" i="6"/>
  <c r="L20" i="6" s="1"/>
  <c r="K33" i="6"/>
  <c r="L33" i="6" s="1"/>
  <c r="K45" i="6"/>
  <c r="L45" i="6" s="1"/>
  <c r="K53" i="6"/>
  <c r="L53" i="6" s="1"/>
  <c r="K84" i="6"/>
  <c r="L84" i="6" s="1"/>
  <c r="K109" i="6"/>
  <c r="L109" i="6" s="1"/>
  <c r="K58" i="6"/>
  <c r="L58" i="6" s="1"/>
  <c r="L40" i="6"/>
  <c r="M57" i="6"/>
  <c r="N57" i="6" s="1"/>
  <c r="N61" i="6"/>
  <c r="K77" i="6"/>
  <c r="L77" i="6" s="1"/>
  <c r="K25" i="6"/>
  <c r="L25" i="6" s="1"/>
  <c r="K70" i="6"/>
  <c r="L70" i="6" s="1"/>
  <c r="M91" i="6"/>
  <c r="N91" i="6" s="1"/>
  <c r="R83" i="6"/>
  <c r="N87" i="6"/>
  <c r="R99" i="6"/>
  <c r="K97" i="6"/>
  <c r="L97" i="6" s="1"/>
  <c r="L68" i="6"/>
  <c r="L76" i="6"/>
  <c r="M95" i="6"/>
  <c r="N95" i="6" s="1"/>
  <c r="L100" i="6"/>
  <c r="K104" i="6"/>
  <c r="L104" i="6" s="1"/>
  <c r="M106" i="6"/>
  <c r="N106" i="6" s="1"/>
  <c r="L112" i="6"/>
  <c r="K32" i="6"/>
  <c r="L32" i="6" s="1"/>
  <c r="K34" i="6"/>
  <c r="L34" i="6" s="1"/>
  <c r="K38" i="6"/>
  <c r="L38" i="6" s="1"/>
  <c r="K42" i="6"/>
  <c r="L42" i="6" s="1"/>
  <c r="K46" i="6"/>
  <c r="L46" i="6" s="1"/>
  <c r="K50" i="6"/>
  <c r="L50" i="6" s="1"/>
  <c r="K54" i="6"/>
  <c r="L54" i="6" s="1"/>
  <c r="K59" i="6"/>
  <c r="L59" i="6" s="1"/>
  <c r="L80" i="6"/>
  <c r="N89" i="6"/>
  <c r="R57" i="6"/>
  <c r="L60" i="6"/>
  <c r="L67" i="6"/>
  <c r="R69" i="6"/>
  <c r="L75" i="6"/>
  <c r="R77" i="6"/>
  <c r="L88" i="6"/>
  <c r="K92" i="6"/>
  <c r="L92" i="6" s="1"/>
  <c r="R93" i="6"/>
  <c r="N101" i="6"/>
  <c r="K85" i="6"/>
  <c r="L85" i="6" s="1"/>
  <c r="L110" i="6"/>
  <c r="L28" i="2"/>
  <c r="M28" i="2" s="1"/>
  <c r="N28" i="2" s="1"/>
  <c r="R14" i="2"/>
  <c r="S14" i="2" s="1"/>
  <c r="T14" i="2" s="1"/>
  <c r="R22" i="2"/>
  <c r="S22" i="2" s="1"/>
  <c r="T22" i="2" s="1"/>
  <c r="R34" i="2"/>
  <c r="S34" i="2" s="1"/>
  <c r="T34" i="2" s="1"/>
  <c r="R42" i="2"/>
  <c r="S42" i="2" s="1"/>
  <c r="T42" i="2" s="1"/>
  <c r="R66" i="2"/>
  <c r="S66" i="2" s="1"/>
  <c r="T66" i="2" s="1"/>
  <c r="R90" i="2"/>
  <c r="S90" i="2" s="1"/>
  <c r="T90" i="2" s="1"/>
  <c r="R94" i="2"/>
  <c r="S94" i="2" s="1"/>
  <c r="T94" i="2" s="1"/>
  <c r="R106" i="2"/>
  <c r="S106" i="2" s="1"/>
  <c r="T106" i="2" s="1"/>
  <c r="R110" i="2"/>
  <c r="R118" i="2"/>
  <c r="S118" i="2" s="1"/>
  <c r="T118" i="2" s="1"/>
  <c r="R138" i="2"/>
  <c r="S138" i="2" s="1"/>
  <c r="T138" i="2" s="1"/>
  <c r="R142" i="2"/>
  <c r="R146" i="2"/>
  <c r="S146" i="2" s="1"/>
  <c r="T146" i="2" s="1"/>
  <c r="R150" i="2"/>
  <c r="S150" i="2" s="1"/>
  <c r="T150" i="2" s="1"/>
  <c r="R158" i="2"/>
  <c r="S158" i="2" s="1"/>
  <c r="T158" i="2" s="1"/>
  <c r="R162" i="2"/>
  <c r="S162" i="2" s="1"/>
  <c r="T162" i="2" s="1"/>
  <c r="R166" i="2"/>
  <c r="S166" i="2" s="1"/>
  <c r="T166" i="2" s="1"/>
  <c r="R170" i="2"/>
  <c r="R174" i="2"/>
  <c r="S174" i="2" s="1"/>
  <c r="T174" i="2" s="1"/>
  <c r="L33" i="2"/>
  <c r="M33" i="2" s="1"/>
  <c r="N33" i="2" s="1"/>
  <c r="L39" i="2"/>
  <c r="M39" i="2" s="1"/>
  <c r="N39" i="2" s="1"/>
  <c r="L20" i="2"/>
  <c r="M20" i="2" s="1"/>
  <c r="N20" i="2" s="1"/>
  <c r="R59" i="2"/>
  <c r="S59" i="2" s="1"/>
  <c r="R63" i="2"/>
  <c r="S63" i="2" s="1"/>
  <c r="T63" i="2" s="1"/>
  <c r="R67" i="2"/>
  <c r="S67" i="2" s="1"/>
  <c r="T67" i="2" s="1"/>
  <c r="R71" i="2"/>
  <c r="S71" i="2" s="1"/>
  <c r="T71" i="2" s="1"/>
  <c r="R83" i="2"/>
  <c r="S83" i="2" s="1"/>
  <c r="T83" i="2" s="1"/>
  <c r="R87" i="2"/>
  <c r="S87" i="2" s="1"/>
  <c r="T87" i="2" s="1"/>
  <c r="R91" i="2"/>
  <c r="S91" i="2" s="1"/>
  <c r="R115" i="2"/>
  <c r="S115" i="2" s="1"/>
  <c r="T115" i="2" s="1"/>
  <c r="R131" i="2"/>
  <c r="S131" i="2" s="1"/>
  <c r="T131" i="2" s="1"/>
  <c r="L134" i="2"/>
  <c r="M134" i="2" s="1"/>
  <c r="L38" i="2"/>
  <c r="M38" i="2" s="1"/>
  <c r="N38" i="2" s="1"/>
  <c r="L59" i="2"/>
  <c r="L158" i="2"/>
  <c r="M158" i="2" s="1"/>
  <c r="L62" i="2"/>
  <c r="M62" i="2" s="1"/>
  <c r="N62" i="2" s="1"/>
  <c r="R29" i="2"/>
  <c r="S29" i="2" s="1"/>
  <c r="T29" i="2" s="1"/>
  <c r="R57" i="2"/>
  <c r="S57" i="2" s="1"/>
  <c r="T57" i="2" s="1"/>
  <c r="L42" i="2"/>
  <c r="M42" i="2" s="1"/>
  <c r="N42" i="2" s="1"/>
  <c r="L65" i="2"/>
  <c r="M65" i="2" s="1"/>
  <c r="N65" i="2" s="1"/>
  <c r="L23" i="2"/>
  <c r="M23" i="2" s="1"/>
  <c r="L46" i="2"/>
  <c r="M46" i="2" s="1"/>
  <c r="L67" i="2"/>
  <c r="M67" i="2" s="1"/>
  <c r="N67" i="2" s="1"/>
  <c r="N25" i="2"/>
  <c r="L51" i="2"/>
  <c r="M51" i="2" s="1"/>
  <c r="N51" i="2" s="1"/>
  <c r="L75" i="2"/>
  <c r="M75" i="2" s="1"/>
  <c r="N75" i="2" s="1"/>
  <c r="L30" i="2"/>
  <c r="M30" i="2" s="1"/>
  <c r="N30" i="2" s="1"/>
  <c r="L54" i="2"/>
  <c r="M54" i="2" s="1"/>
  <c r="N54" i="2" s="1"/>
  <c r="L82" i="2"/>
  <c r="M82" i="2" s="1"/>
  <c r="N82" i="2" s="1"/>
  <c r="L19" i="2"/>
  <c r="L27" i="2"/>
  <c r="L47" i="2"/>
  <c r="L55" i="2"/>
  <c r="L63" i="2"/>
  <c r="L71" i="2"/>
  <c r="L148" i="2"/>
  <c r="M148" i="2" s="1"/>
  <c r="L173" i="2"/>
  <c r="R27" i="2"/>
  <c r="S27" i="2" s="1"/>
  <c r="T27" i="2" s="1"/>
  <c r="R139" i="2"/>
  <c r="S139" i="2" s="1"/>
  <c r="T139" i="2" s="1"/>
  <c r="R143" i="2"/>
  <c r="S143" i="2" s="1"/>
  <c r="T143" i="2" s="1"/>
  <c r="R147" i="2"/>
  <c r="S147" i="2" s="1"/>
  <c r="T147" i="2" s="1"/>
  <c r="L48" i="2"/>
  <c r="L56" i="2"/>
  <c r="L64" i="2"/>
  <c r="L72" i="2"/>
  <c r="L149" i="2"/>
  <c r="L21" i="2"/>
  <c r="L40" i="2"/>
  <c r="L114" i="2"/>
  <c r="M114" i="2" s="1"/>
  <c r="L151" i="2"/>
  <c r="M59" i="2"/>
  <c r="N59" i="2" s="1"/>
  <c r="L15" i="2"/>
  <c r="M15" i="2" s="1"/>
  <c r="L22" i="2"/>
  <c r="L31" i="2"/>
  <c r="L41" i="2"/>
  <c r="L50" i="2"/>
  <c r="L58" i="2"/>
  <c r="L66" i="2"/>
  <c r="L74" i="2"/>
  <c r="L119" i="2"/>
  <c r="L153" i="2"/>
  <c r="R36" i="2"/>
  <c r="S36" i="2" s="1"/>
  <c r="T36" i="2" s="1"/>
  <c r="R73" i="2"/>
  <c r="S73" i="2" s="1"/>
  <c r="T73" i="2" s="1"/>
  <c r="R89" i="2"/>
  <c r="S89" i="2" s="1"/>
  <c r="T89" i="2" s="1"/>
  <c r="R93" i="2"/>
  <c r="S93" i="2" s="1"/>
  <c r="T93" i="2" s="1"/>
  <c r="R105" i="2"/>
  <c r="S105" i="2" s="1"/>
  <c r="T105" i="2" s="1"/>
  <c r="L32" i="2"/>
  <c r="L122" i="2"/>
  <c r="L24" i="2"/>
  <c r="L44" i="2"/>
  <c r="M44" i="2" s="1"/>
  <c r="N44" i="2" s="1"/>
  <c r="L52" i="2"/>
  <c r="L60" i="2"/>
  <c r="L68" i="2"/>
  <c r="L76" i="2"/>
  <c r="L133" i="2"/>
  <c r="M133" i="2" s="1"/>
  <c r="L161" i="2"/>
  <c r="L14" i="2"/>
  <c r="L36" i="2"/>
  <c r="M36" i="2" s="1"/>
  <c r="N36" i="2" s="1"/>
  <c r="L45" i="2"/>
  <c r="M45" i="2" s="1"/>
  <c r="N45" i="2" s="1"/>
  <c r="L53" i="2"/>
  <c r="L61" i="2"/>
  <c r="L69" i="2"/>
  <c r="L77" i="2"/>
  <c r="L162" i="2"/>
  <c r="L18" i="2"/>
  <c r="L26" i="2"/>
  <c r="L37" i="2"/>
  <c r="M37" i="2" s="1"/>
  <c r="N37" i="2" s="1"/>
  <c r="L80" i="2"/>
  <c r="L142" i="2"/>
  <c r="M142" i="2" s="1"/>
  <c r="N142" i="2" s="1"/>
  <c r="L168" i="2"/>
  <c r="M168" i="2" s="1"/>
  <c r="N168" i="2" s="1"/>
  <c r="L174" i="2"/>
  <c r="L167" i="2"/>
  <c r="L157" i="2"/>
  <c r="L150" i="2"/>
  <c r="N148" i="2"/>
  <c r="L144" i="2"/>
  <c r="L141" i="2"/>
  <c r="L138" i="2"/>
  <c r="L137" i="2"/>
  <c r="L136" i="2"/>
  <c r="L131" i="2"/>
  <c r="L130" i="2"/>
  <c r="L126" i="2"/>
  <c r="L125" i="2"/>
  <c r="L124" i="2"/>
  <c r="L123" i="2"/>
  <c r="L98" i="2"/>
  <c r="L97" i="2"/>
  <c r="L96" i="2"/>
  <c r="L87" i="2"/>
  <c r="L81" i="2"/>
  <c r="L79" i="2"/>
  <c r="L78" i="2"/>
  <c r="L43" i="2"/>
  <c r="R35" i="2"/>
  <c r="S35" i="2" s="1"/>
  <c r="T35" i="2" s="1"/>
  <c r="R43" i="2"/>
  <c r="S43" i="2" s="1"/>
  <c r="T43" i="2" s="1"/>
  <c r="R55" i="2"/>
  <c r="S55" i="2" s="1"/>
  <c r="T55" i="2" s="1"/>
  <c r="R69" i="2"/>
  <c r="S69" i="2" s="1"/>
  <c r="T69" i="2" s="1"/>
  <c r="R77" i="2"/>
  <c r="S77" i="2" s="1"/>
  <c r="T77" i="2" s="1"/>
  <c r="R125" i="2"/>
  <c r="S125" i="2" s="1"/>
  <c r="T125" i="2" s="1"/>
  <c r="R129" i="2"/>
  <c r="S129" i="2" s="1"/>
  <c r="T129" i="2" s="1"/>
  <c r="R137" i="2"/>
  <c r="S137" i="2" s="1"/>
  <c r="T137" i="2" s="1"/>
  <c r="R70" i="2"/>
  <c r="S70" i="2" s="1"/>
  <c r="T70" i="2" s="1"/>
  <c r="R46" i="2"/>
  <c r="S46" i="2" s="1"/>
  <c r="T46" i="2" s="1"/>
  <c r="R30" i="2"/>
  <c r="S30" i="2" s="1"/>
  <c r="T30" i="2" s="1"/>
  <c r="R21" i="2"/>
  <c r="S21" i="2" s="1"/>
  <c r="R41" i="2"/>
  <c r="S41" i="2" s="1"/>
  <c r="T41" i="2" s="1"/>
  <c r="R45" i="2"/>
  <c r="S45" i="2" s="1"/>
  <c r="T45" i="2" s="1"/>
  <c r="R53" i="2"/>
  <c r="S53" i="2" s="1"/>
  <c r="R64" i="2"/>
  <c r="S64" i="2" s="1"/>
  <c r="T64" i="2" s="1"/>
  <c r="R171" i="2"/>
  <c r="S171" i="2" s="1"/>
  <c r="T171" i="2" s="1"/>
  <c r="R65" i="2"/>
  <c r="S65" i="2" s="1"/>
  <c r="T65" i="2" s="1"/>
  <c r="R100" i="2"/>
  <c r="R122" i="2"/>
  <c r="S122" i="2" s="1"/>
  <c r="T122" i="2" s="1"/>
  <c r="R135" i="2"/>
  <c r="S135" i="2" s="1"/>
  <c r="T135" i="2" s="1"/>
  <c r="R155" i="2"/>
  <c r="S155" i="2" s="1"/>
  <c r="T155" i="2" s="1"/>
  <c r="R159" i="2"/>
  <c r="S159" i="2" s="1"/>
  <c r="T159" i="2" s="1"/>
  <c r="R175" i="2"/>
  <c r="S175" i="2" s="1"/>
  <c r="T175" i="2" s="1"/>
  <c r="R20" i="2"/>
  <c r="S20" i="2" s="1"/>
  <c r="R126" i="2"/>
  <c r="S126" i="2" s="1"/>
  <c r="T126" i="2" s="1"/>
  <c r="R39" i="2"/>
  <c r="S39" i="2" s="1"/>
  <c r="T39" i="2" s="1"/>
  <c r="R52" i="2"/>
  <c r="S52" i="2" s="1"/>
  <c r="T52" i="2" s="1"/>
  <c r="R56" i="2"/>
  <c r="S56" i="2" s="1"/>
  <c r="R101" i="2"/>
  <c r="S101" i="2" s="1"/>
  <c r="T101" i="2" s="1"/>
  <c r="R116" i="2"/>
  <c r="S116" i="2" s="1"/>
  <c r="T116" i="2" s="1"/>
  <c r="R123" i="2"/>
  <c r="S123" i="2" s="1"/>
  <c r="T123" i="2" s="1"/>
  <c r="R50" i="2"/>
  <c r="S50" i="2" s="1"/>
  <c r="T50" i="2" s="1"/>
  <c r="K70" i="2"/>
  <c r="L70" i="2" s="1"/>
  <c r="R26" i="2"/>
  <c r="S26" i="2" s="1"/>
  <c r="T26" i="2" s="1"/>
  <c r="R24" i="2"/>
  <c r="R104" i="2"/>
  <c r="S104" i="2" s="1"/>
  <c r="T104" i="2" s="1"/>
  <c r="R113" i="2"/>
  <c r="S113" i="2" s="1"/>
  <c r="R117" i="2"/>
  <c r="S117" i="2" s="1"/>
  <c r="T117" i="2" s="1"/>
  <c r="R19" i="2"/>
  <c r="S19" i="2" s="1"/>
  <c r="T19" i="2" s="1"/>
  <c r="R23" i="2"/>
  <c r="S23" i="2" s="1"/>
  <c r="T23" i="2" s="1"/>
  <c r="R31" i="2"/>
  <c r="S31" i="2" s="1"/>
  <c r="T31" i="2" s="1"/>
  <c r="R40" i="2"/>
  <c r="S40" i="2" s="1"/>
  <c r="T40" i="2" s="1"/>
  <c r="R61" i="2"/>
  <c r="S61" i="2" s="1"/>
  <c r="T61" i="2" s="1"/>
  <c r="R78" i="2"/>
  <c r="S78" i="2" s="1"/>
  <c r="T78" i="2" s="1"/>
  <c r="R85" i="2"/>
  <c r="S85" i="2" s="1"/>
  <c r="T85" i="2" s="1"/>
  <c r="R92" i="2"/>
  <c r="S92" i="2" s="1"/>
  <c r="R99" i="2"/>
  <c r="S99" i="2" s="1"/>
  <c r="T99" i="2" s="1"/>
  <c r="R114" i="2"/>
  <c r="S114" i="2" s="1"/>
  <c r="T114" i="2" s="1"/>
  <c r="R121" i="2"/>
  <c r="S121" i="2" s="1"/>
  <c r="R133" i="2"/>
  <c r="S133" i="2" s="1"/>
  <c r="T133" i="2" s="1"/>
  <c r="R145" i="2"/>
  <c r="S145" i="2" s="1"/>
  <c r="T145" i="2" s="1"/>
  <c r="R149" i="2"/>
  <c r="S149" i="2" s="1"/>
  <c r="T149" i="2" s="1"/>
  <c r="G178" i="2"/>
  <c r="K121" i="2"/>
  <c r="L121" i="2" s="1"/>
  <c r="M121" i="2" s="1"/>
  <c r="N121" i="2" s="1"/>
  <c r="K113" i="2"/>
  <c r="L113" i="2" s="1"/>
  <c r="N35" i="2"/>
  <c r="S108" i="2"/>
  <c r="T108" i="2" s="1"/>
  <c r="T32" i="2"/>
  <c r="R153" i="2"/>
  <c r="S153" i="2" s="1"/>
  <c r="T153" i="2" s="1"/>
  <c r="T172" i="2"/>
  <c r="R33" i="2"/>
  <c r="S33" i="2" s="1"/>
  <c r="T33" i="2" s="1"/>
  <c r="R38" i="2"/>
  <c r="S38" i="2" s="1"/>
  <c r="T38" i="2" s="1"/>
  <c r="R49" i="2"/>
  <c r="S49" i="2" s="1"/>
  <c r="T49" i="2" s="1"/>
  <c r="R102" i="2"/>
  <c r="S102" i="2" s="1"/>
  <c r="R130" i="2"/>
  <c r="S130" i="2" s="1"/>
  <c r="T130" i="2" s="1"/>
  <c r="R140" i="2"/>
  <c r="S140" i="2" s="1"/>
  <c r="T140" i="2" s="1"/>
  <c r="R151" i="2"/>
  <c r="R154" i="2"/>
  <c r="S154" i="2" s="1"/>
  <c r="R160" i="2"/>
  <c r="S160" i="2" s="1"/>
  <c r="T160" i="2" s="1"/>
  <c r="R163" i="2"/>
  <c r="S163" i="2" s="1"/>
  <c r="T163" i="2" s="1"/>
  <c r="R173" i="2"/>
  <c r="R17" i="2"/>
  <c r="S17" i="2" s="1"/>
  <c r="R54" i="2"/>
  <c r="S54" i="2" s="1"/>
  <c r="T54" i="2" s="1"/>
  <c r="R60" i="2"/>
  <c r="S60" i="2" s="1"/>
  <c r="T60" i="2" s="1"/>
  <c r="R75" i="2"/>
  <c r="S75" i="2" s="1"/>
  <c r="T75" i="2" s="1"/>
  <c r="R81" i="2"/>
  <c r="S81" i="2" s="1"/>
  <c r="T81" i="2" s="1"/>
  <c r="R103" i="2"/>
  <c r="S103" i="2" s="1"/>
  <c r="T103" i="2" s="1"/>
  <c r="R109" i="2"/>
  <c r="S109" i="2" s="1"/>
  <c r="T109" i="2" s="1"/>
  <c r="R127" i="2"/>
  <c r="S127" i="2" s="1"/>
  <c r="T127" i="2" s="1"/>
  <c r="R134" i="2"/>
  <c r="R144" i="2"/>
  <c r="S144" i="2" s="1"/>
  <c r="T144" i="2" s="1"/>
  <c r="R148" i="2"/>
  <c r="S148" i="2" s="1"/>
  <c r="T148" i="2" s="1"/>
  <c r="R157" i="2"/>
  <c r="S157" i="2" s="1"/>
  <c r="T157" i="2" s="1"/>
  <c r="R167" i="2"/>
  <c r="R124" i="2"/>
  <c r="S124" i="2" s="1"/>
  <c r="T124" i="2" s="1"/>
  <c r="R141" i="2"/>
  <c r="S141" i="2" s="1"/>
  <c r="T141" i="2" s="1"/>
  <c r="R18" i="2"/>
  <c r="S18" i="2" s="1"/>
  <c r="T18" i="2" s="1"/>
  <c r="R25" i="2"/>
  <c r="R37" i="2"/>
  <c r="S37" i="2" s="1"/>
  <c r="R51" i="2"/>
  <c r="S51" i="2" s="1"/>
  <c r="R58" i="2"/>
  <c r="S58" i="2" s="1"/>
  <c r="T58" i="2" s="1"/>
  <c r="R76" i="2"/>
  <c r="S76" i="2" s="1"/>
  <c r="R79" i="2"/>
  <c r="S79" i="2" s="1"/>
  <c r="T79" i="2" s="1"/>
  <c r="R82" i="2"/>
  <c r="S82" i="2" s="1"/>
  <c r="T82" i="2" s="1"/>
  <c r="R107" i="2"/>
  <c r="S107" i="2" s="1"/>
  <c r="T107" i="2" s="1"/>
  <c r="T164" i="2"/>
  <c r="R165" i="2"/>
  <c r="S165" i="2" s="1"/>
  <c r="T165" i="2" s="1"/>
  <c r="R62" i="2"/>
  <c r="S62" i="2" s="1"/>
  <c r="T62" i="2" s="1"/>
  <c r="R74" i="2"/>
  <c r="S74" i="2" s="1"/>
  <c r="R95" i="2"/>
  <c r="S95" i="2" s="1"/>
  <c r="T95" i="2" s="1"/>
  <c r="R111" i="2"/>
  <c r="S111" i="2" s="1"/>
  <c r="T111" i="2" s="1"/>
  <c r="R120" i="2"/>
  <c r="S120" i="2" s="1"/>
  <c r="T120" i="2" s="1"/>
  <c r="R169" i="2"/>
  <c r="R125" i="1"/>
  <c r="S125" i="1" s="1"/>
  <c r="R24" i="1"/>
  <c r="S24" i="1" s="1"/>
  <c r="R96" i="1"/>
  <c r="S96" i="1" s="1"/>
  <c r="R82" i="1"/>
  <c r="S82" i="1" s="1"/>
  <c r="R132" i="1"/>
  <c r="S132" i="1" s="1"/>
  <c r="R122" i="1"/>
  <c r="S122" i="1" s="1"/>
  <c r="R93" i="1"/>
  <c r="S93" i="1" s="1"/>
  <c r="R35" i="1"/>
  <c r="S35" i="1"/>
  <c r="R153" i="1"/>
  <c r="S153" i="1" s="1"/>
  <c r="S163" i="1"/>
  <c r="R160" i="1"/>
  <c r="S160" i="1" s="1"/>
  <c r="R27" i="1"/>
  <c r="S27" i="1" s="1"/>
  <c r="R45" i="1"/>
  <c r="S45" i="1" s="1"/>
  <c r="R119" i="1"/>
  <c r="S119" i="1"/>
  <c r="R70" i="1"/>
  <c r="S70" i="1" s="1"/>
  <c r="R144" i="1"/>
  <c r="S144" i="1" s="1"/>
  <c r="R90" i="1"/>
  <c r="S90" i="1" s="1"/>
  <c r="R59" i="1"/>
  <c r="S59" i="1"/>
  <c r="R18" i="1"/>
  <c r="S18" i="1" s="1"/>
  <c r="S41" i="1"/>
  <c r="R101" i="1"/>
  <c r="S101" i="1" s="1"/>
  <c r="R154" i="1"/>
  <c r="S154" i="1" s="1"/>
  <c r="R166" i="1"/>
  <c r="S166" i="1" s="1"/>
  <c r="M29" i="2"/>
  <c r="N29" i="2" s="1"/>
  <c r="R33" i="1"/>
  <c r="S33" i="1" s="1"/>
  <c r="R48" i="1"/>
  <c r="S48" i="1" s="1"/>
  <c r="R74" i="1"/>
  <c r="S74" i="1"/>
  <c r="R130" i="1"/>
  <c r="S130" i="1" s="1"/>
  <c r="R141" i="1"/>
  <c r="S141" i="1" s="1"/>
  <c r="S167" i="1"/>
  <c r="R167" i="1"/>
  <c r="S142" i="2"/>
  <c r="T142" i="2" s="1"/>
  <c r="S156" i="2"/>
  <c r="T156" i="2" s="1"/>
  <c r="R15" i="1"/>
  <c r="S15" i="1" s="1"/>
  <c r="R30" i="1"/>
  <c r="S30" i="1" s="1"/>
  <c r="R41" i="1"/>
  <c r="R66" i="1"/>
  <c r="S66" i="1" s="1"/>
  <c r="R81" i="1"/>
  <c r="S81" i="1" s="1"/>
  <c r="S85" i="1"/>
  <c r="S109" i="1"/>
  <c r="R109" i="1"/>
  <c r="R118" i="1"/>
  <c r="S118" i="1" s="1"/>
  <c r="R163" i="1"/>
  <c r="S19" i="1"/>
  <c r="R85" i="1"/>
  <c r="R94" i="1"/>
  <c r="S94" i="1" s="1"/>
  <c r="R114" i="1"/>
  <c r="S114" i="1" s="1"/>
  <c r="R137" i="1"/>
  <c r="S137" i="1" s="1"/>
  <c r="R150" i="1"/>
  <c r="S150" i="1" s="1"/>
  <c r="R175" i="1"/>
  <c r="S175" i="1" s="1"/>
  <c r="R23" i="1"/>
  <c r="S23" i="1"/>
  <c r="R34" i="1"/>
  <c r="S34" i="1" s="1"/>
  <c r="R57" i="1"/>
  <c r="S57" i="1" s="1"/>
  <c r="R110" i="1"/>
  <c r="S110" i="1" s="1"/>
  <c r="S146" i="1"/>
  <c r="R155" i="1"/>
  <c r="S155" i="1"/>
  <c r="R168" i="1"/>
  <c r="S168" i="1" s="1"/>
  <c r="S96" i="2"/>
  <c r="T96" i="2" s="1"/>
  <c r="R38" i="1"/>
  <c r="S38" i="1" s="1"/>
  <c r="R50" i="1"/>
  <c r="S50" i="1" s="1"/>
  <c r="R58" i="1"/>
  <c r="S58" i="1" s="1"/>
  <c r="R86" i="1"/>
  <c r="S86" i="1"/>
  <c r="R98" i="1"/>
  <c r="S98" i="1" s="1"/>
  <c r="S102" i="1"/>
  <c r="R134" i="1"/>
  <c r="S134" i="1" s="1"/>
  <c r="S172" i="1"/>
  <c r="S20" i="1"/>
  <c r="R42" i="1"/>
  <c r="S42" i="1" s="1"/>
  <c r="R54" i="1"/>
  <c r="S54" i="1" s="1"/>
  <c r="R115" i="1"/>
  <c r="S115" i="1" s="1"/>
  <c r="R173" i="1"/>
  <c r="S173" i="1" s="1"/>
  <c r="R46" i="1"/>
  <c r="S46" i="1" s="1"/>
  <c r="R68" i="1"/>
  <c r="S68" i="1" s="1"/>
  <c r="R107" i="1"/>
  <c r="S107" i="1"/>
  <c r="Q135" i="1"/>
  <c r="S147" i="1"/>
  <c r="R156" i="1"/>
  <c r="S156" i="1" s="1"/>
  <c r="S169" i="1"/>
  <c r="R83" i="1"/>
  <c r="S83" i="1"/>
  <c r="R104" i="1"/>
  <c r="S104" i="1" s="1"/>
  <c r="R116" i="1"/>
  <c r="S116" i="1" s="1"/>
  <c r="R55" i="1"/>
  <c r="R60" i="1"/>
  <c r="S60" i="1" s="1"/>
  <c r="S36" i="1"/>
  <c r="R52" i="1"/>
  <c r="S52" i="1" s="1"/>
  <c r="S124" i="1"/>
  <c r="R149" i="1"/>
  <c r="S149" i="1" s="1"/>
  <c r="R157" i="1"/>
  <c r="S157" i="1" s="1"/>
  <c r="O177" i="1"/>
  <c r="S44" i="2"/>
  <c r="T44" i="2" s="1"/>
  <c r="P177" i="1"/>
  <c r="Q14" i="1"/>
  <c r="S22" i="1"/>
  <c r="R25" i="1"/>
  <c r="S25" i="1"/>
  <c r="S37" i="1"/>
  <c r="Q65" i="1"/>
  <c r="R77" i="1"/>
  <c r="S77" i="1" s="1"/>
  <c r="R84" i="1"/>
  <c r="S84" i="1" s="1"/>
  <c r="Q89" i="1"/>
  <c r="R100" i="1"/>
  <c r="S113" i="1"/>
  <c r="Q129" i="1"/>
  <c r="R136" i="1"/>
  <c r="S136" i="1" s="1"/>
  <c r="T28" i="2"/>
  <c r="R119" i="2"/>
  <c r="R106" i="1"/>
  <c r="S106" i="1" s="1"/>
  <c r="S100" i="2"/>
  <c r="T100" i="2" s="1"/>
  <c r="S110" i="2"/>
  <c r="T110" i="2" s="1"/>
  <c r="R148" i="1"/>
  <c r="S148" i="1" s="1"/>
  <c r="R164" i="1"/>
  <c r="S164" i="1" s="1"/>
  <c r="S170" i="1"/>
  <c r="S170" i="2"/>
  <c r="T170" i="2" s="1"/>
  <c r="S49" i="1"/>
  <c r="S56" i="1"/>
  <c r="Q91" i="1"/>
  <c r="S97" i="1"/>
  <c r="Q117" i="1"/>
  <c r="R142" i="1"/>
  <c r="S142" i="1" s="1"/>
  <c r="R161" i="1"/>
  <c r="S161" i="1" s="1"/>
  <c r="R15" i="2"/>
  <c r="S24" i="2"/>
  <c r="T24" i="2" s="1"/>
  <c r="M34" i="2"/>
  <c r="N34" i="2" s="1"/>
  <c r="R53" i="1"/>
  <c r="S53" i="1" s="1"/>
  <c r="R69" i="1"/>
  <c r="S69" i="1" s="1"/>
  <c r="R131" i="1"/>
  <c r="S131" i="1"/>
  <c r="R162" i="1"/>
  <c r="S162" i="1" s="1"/>
  <c r="M16" i="2"/>
  <c r="N16" i="2" s="1"/>
  <c r="S63" i="1"/>
  <c r="Q105" i="1"/>
  <c r="Q111" i="1"/>
  <c r="R152" i="1"/>
  <c r="S152" i="1" s="1"/>
  <c r="R47" i="2"/>
  <c r="T112" i="2"/>
  <c r="R161" i="2"/>
  <c r="Q28" i="1"/>
  <c r="S80" i="1"/>
  <c r="Q139" i="1"/>
  <c r="R48" i="2"/>
  <c r="R86" i="2"/>
  <c r="R97" i="2"/>
  <c r="Q39" i="1"/>
  <c r="R98" i="2"/>
  <c r="S72" i="1" l="1"/>
  <c r="S151" i="1"/>
  <c r="S62" i="1"/>
  <c r="R31" i="1"/>
  <c r="S31" i="1"/>
  <c r="R120" i="1"/>
  <c r="S120" i="1" s="1"/>
  <c r="S143" i="1"/>
  <c r="R51" i="1"/>
  <c r="S51" i="1"/>
  <c r="R123" i="1"/>
  <c r="S123" i="1"/>
  <c r="R72" i="1"/>
  <c r="R159" i="1"/>
  <c r="S159" i="1"/>
  <c r="S40" i="1"/>
  <c r="S176" i="1"/>
  <c r="T128" i="2"/>
  <c r="T176" i="2"/>
  <c r="T152" i="2"/>
  <c r="T80" i="2"/>
  <c r="T59" i="2"/>
  <c r="T136" i="2"/>
  <c r="N134" i="2"/>
  <c r="T75" i="6"/>
  <c r="N72" i="6"/>
  <c r="T104" i="6"/>
  <c r="T53" i="6"/>
  <c r="T58" i="6"/>
  <c r="T92" i="6"/>
  <c r="T111" i="6"/>
  <c r="L115" i="6"/>
  <c r="T70" i="6"/>
  <c r="N66" i="6"/>
  <c r="T108" i="6"/>
  <c r="S14" i="6"/>
  <c r="R115" i="6"/>
  <c r="T88" i="6"/>
  <c r="T78" i="6"/>
  <c r="T95" i="6"/>
  <c r="T71" i="6"/>
  <c r="N71" i="6"/>
  <c r="T100" i="6"/>
  <c r="T110" i="6"/>
  <c r="M52" i="6"/>
  <c r="N52" i="6" s="1"/>
  <c r="T45" i="6"/>
  <c r="T15" i="6"/>
  <c r="T81" i="6"/>
  <c r="N99" i="6"/>
  <c r="T49" i="6"/>
  <c r="N111" i="6"/>
  <c r="T56" i="6"/>
  <c r="M73" i="6"/>
  <c r="N73" i="6" s="1"/>
  <c r="N102" i="6"/>
  <c r="N18" i="6"/>
  <c r="T96" i="6"/>
  <c r="T28" i="6"/>
  <c r="S34" i="6"/>
  <c r="T34" i="6" s="1"/>
  <c r="N74" i="6"/>
  <c r="S91" i="6"/>
  <c r="T91" i="6" s="1"/>
  <c r="M22" i="6"/>
  <c r="N22" i="6" s="1"/>
  <c r="S64" i="6"/>
  <c r="T64" i="6" s="1"/>
  <c r="S105" i="6"/>
  <c r="T105" i="6" s="1"/>
  <c r="M83" i="6"/>
  <c r="N83" i="6" s="1"/>
  <c r="S106" i="6"/>
  <c r="T106" i="6" s="1"/>
  <c r="T46" i="6"/>
  <c r="M55" i="6"/>
  <c r="N55" i="6" s="1"/>
  <c r="S94" i="6"/>
  <c r="T94" i="6" s="1"/>
  <c r="T41" i="6"/>
  <c r="S68" i="6"/>
  <c r="T68" i="6" s="1"/>
  <c r="T97" i="6"/>
  <c r="M64" i="6"/>
  <c r="N64" i="6" s="1"/>
  <c r="M53" i="6"/>
  <c r="N53" i="6" s="1"/>
  <c r="M46" i="6"/>
  <c r="N46" i="6" s="1"/>
  <c r="M108" i="6"/>
  <c r="N108" i="6" s="1"/>
  <c r="M49" i="6"/>
  <c r="N49" i="6" s="1"/>
  <c r="M59" i="6"/>
  <c r="N59" i="6" s="1"/>
  <c r="M97" i="6"/>
  <c r="N97" i="6" s="1"/>
  <c r="M25" i="6"/>
  <c r="M58" i="6"/>
  <c r="N58" i="6" s="1"/>
  <c r="M45" i="6"/>
  <c r="N45" i="6" s="1"/>
  <c r="M69" i="6"/>
  <c r="N69" i="6" s="1"/>
  <c r="M78" i="6"/>
  <c r="N78" i="6" s="1"/>
  <c r="M92" i="6"/>
  <c r="N92" i="6" s="1"/>
  <c r="M34" i="6"/>
  <c r="N34" i="6" s="1"/>
  <c r="M20" i="6"/>
  <c r="N20" i="6" s="1"/>
  <c r="M114" i="6"/>
  <c r="N114" i="6" s="1"/>
  <c r="M104" i="6"/>
  <c r="N104" i="6" s="1"/>
  <c r="M77" i="6"/>
  <c r="N77" i="6" s="1"/>
  <c r="M113" i="6"/>
  <c r="N113" i="6" s="1"/>
  <c r="M54" i="6"/>
  <c r="N54" i="6" s="1"/>
  <c r="M32" i="6"/>
  <c r="N32" i="6" s="1"/>
  <c r="M17" i="6"/>
  <c r="N17" i="6" s="1"/>
  <c r="M37" i="6"/>
  <c r="N37" i="6" s="1"/>
  <c r="S57" i="6"/>
  <c r="T57" i="6" s="1"/>
  <c r="M112" i="6"/>
  <c r="N112" i="6" s="1"/>
  <c r="M82" i="6"/>
  <c r="N82" i="6" s="1"/>
  <c r="S18" i="6"/>
  <c r="T18" i="6" s="1"/>
  <c r="S77" i="6"/>
  <c r="T77" i="6" s="1"/>
  <c r="M100" i="6"/>
  <c r="N100" i="6" s="1"/>
  <c r="M68" i="6"/>
  <c r="N68" i="6" s="1"/>
  <c r="M38" i="6"/>
  <c r="N38" i="6" s="1"/>
  <c r="M85" i="6"/>
  <c r="N85" i="6" s="1"/>
  <c r="M21" i="6"/>
  <c r="N21" i="6" s="1"/>
  <c r="M40" i="6"/>
  <c r="N40" i="6" s="1"/>
  <c r="M70" i="6"/>
  <c r="N70" i="6" s="1"/>
  <c r="M60" i="6"/>
  <c r="N60" i="6" s="1"/>
  <c r="M76" i="6"/>
  <c r="N76" i="6" s="1"/>
  <c r="S99" i="6"/>
  <c r="T99" i="6" s="1"/>
  <c r="M31" i="6"/>
  <c r="N31" i="6" s="1"/>
  <c r="S93" i="6"/>
  <c r="T93" i="6" s="1"/>
  <c r="M84" i="6"/>
  <c r="N84" i="6" s="1"/>
  <c r="M33" i="6"/>
  <c r="N33" i="6" s="1"/>
  <c r="S83" i="6"/>
  <c r="T83" i="6" s="1"/>
  <c r="M50" i="6"/>
  <c r="N50" i="6" s="1"/>
  <c r="M110" i="6"/>
  <c r="N110" i="6" s="1"/>
  <c r="S69" i="6"/>
  <c r="T69" i="6" s="1"/>
  <c r="M75" i="6"/>
  <c r="N75" i="6" s="1"/>
  <c r="M109" i="6"/>
  <c r="N109" i="6" s="1"/>
  <c r="M42" i="6"/>
  <c r="N42" i="6" s="1"/>
  <c r="M81" i="6"/>
  <c r="N81" i="6" s="1"/>
  <c r="M80" i="6"/>
  <c r="N80" i="6" s="1"/>
  <c r="M86" i="6"/>
  <c r="N86" i="6" s="1"/>
  <c r="M88" i="6"/>
  <c r="N88" i="6" s="1"/>
  <c r="M67" i="6"/>
  <c r="N67" i="6" s="1"/>
  <c r="M41" i="6"/>
  <c r="N41" i="6" s="1"/>
  <c r="M16" i="6"/>
  <c r="N16" i="6" s="1"/>
  <c r="N46" i="2"/>
  <c r="N23" i="2"/>
  <c r="T91" i="2"/>
  <c r="T56" i="2"/>
  <c r="N158" i="2"/>
  <c r="M18" i="2"/>
  <c r="N18" i="2" s="1"/>
  <c r="M24" i="2"/>
  <c r="N24" i="2" s="1"/>
  <c r="M69" i="2"/>
  <c r="N69" i="2" s="1"/>
  <c r="M80" i="2"/>
  <c r="N80" i="2" s="1"/>
  <c r="M61" i="2"/>
  <c r="N61" i="2" s="1"/>
  <c r="M76" i="2"/>
  <c r="N76" i="2" s="1"/>
  <c r="M41" i="2"/>
  <c r="N41" i="2" s="1"/>
  <c r="M151" i="2"/>
  <c r="N151" i="2"/>
  <c r="M64" i="2"/>
  <c r="N64" i="2" s="1"/>
  <c r="M173" i="2"/>
  <c r="N173" i="2" s="1"/>
  <c r="M14" i="2"/>
  <c r="N14" i="2" s="1"/>
  <c r="M32" i="2"/>
  <c r="N32" i="2" s="1"/>
  <c r="M162" i="2"/>
  <c r="N162" i="2" s="1"/>
  <c r="M47" i="2"/>
  <c r="N47" i="2" s="1"/>
  <c r="M27" i="2"/>
  <c r="N27" i="2" s="1"/>
  <c r="T154" i="2"/>
  <c r="M50" i="2"/>
  <c r="N50" i="2" s="1"/>
  <c r="T92" i="2"/>
  <c r="M53" i="2"/>
  <c r="N53" i="2" s="1"/>
  <c r="M68" i="2"/>
  <c r="N68" i="2" s="1"/>
  <c r="M31" i="2"/>
  <c r="N31" i="2" s="1"/>
  <c r="M56" i="2"/>
  <c r="N56" i="2" s="1"/>
  <c r="M74" i="2"/>
  <c r="N74" i="2" s="1"/>
  <c r="M55" i="2"/>
  <c r="N55" i="2" s="1"/>
  <c r="M66" i="2"/>
  <c r="N66" i="2" s="1"/>
  <c r="M77" i="2"/>
  <c r="N77" i="2" s="1"/>
  <c r="M161" i="2"/>
  <c r="N161" i="2" s="1"/>
  <c r="M58" i="2"/>
  <c r="N58" i="2" s="1"/>
  <c r="M19" i="2"/>
  <c r="N19" i="2" s="1"/>
  <c r="T20" i="2"/>
  <c r="N114" i="2"/>
  <c r="N133" i="2"/>
  <c r="M60" i="2"/>
  <c r="N60" i="2" s="1"/>
  <c r="M153" i="2"/>
  <c r="N153" i="2"/>
  <c r="M22" i="2"/>
  <c r="N22" i="2" s="1"/>
  <c r="M40" i="2"/>
  <c r="N40" i="2" s="1"/>
  <c r="M48" i="2"/>
  <c r="N48" i="2" s="1"/>
  <c r="M71" i="2"/>
  <c r="N71" i="2" s="1"/>
  <c r="M113" i="2"/>
  <c r="N113" i="2" s="1"/>
  <c r="M149" i="2"/>
  <c r="N149" i="2" s="1"/>
  <c r="M72" i="2"/>
  <c r="N72" i="2" s="1"/>
  <c r="M70" i="2"/>
  <c r="N70" i="2" s="1"/>
  <c r="M26" i="2"/>
  <c r="N26" i="2" s="1"/>
  <c r="M52" i="2"/>
  <c r="N52" i="2" s="1"/>
  <c r="M122" i="2"/>
  <c r="N122" i="2" s="1"/>
  <c r="M119" i="2"/>
  <c r="N119" i="2" s="1"/>
  <c r="N15" i="2"/>
  <c r="M21" i="2"/>
  <c r="N21" i="2" s="1"/>
  <c r="M63" i="2"/>
  <c r="N63" i="2" s="1"/>
  <c r="M174" i="2"/>
  <c r="N174" i="2" s="1"/>
  <c r="M167" i="2"/>
  <c r="N167" i="2" s="1"/>
  <c r="M157" i="2"/>
  <c r="N157" i="2" s="1"/>
  <c r="M150" i="2"/>
  <c r="N150" i="2" s="1"/>
  <c r="M144" i="2"/>
  <c r="N144" i="2" s="1"/>
  <c r="M141" i="2"/>
  <c r="N141" i="2" s="1"/>
  <c r="M138" i="2"/>
  <c r="N138" i="2" s="1"/>
  <c r="M137" i="2"/>
  <c r="N137" i="2" s="1"/>
  <c r="M136" i="2"/>
  <c r="N136" i="2" s="1"/>
  <c r="M131" i="2"/>
  <c r="N131" i="2" s="1"/>
  <c r="M130" i="2"/>
  <c r="N130" i="2" s="1"/>
  <c r="M126" i="2"/>
  <c r="N126" i="2" s="1"/>
  <c r="M125" i="2"/>
  <c r="N125" i="2" s="1"/>
  <c r="M124" i="2"/>
  <c r="N124" i="2" s="1"/>
  <c r="M123" i="2"/>
  <c r="N123" i="2" s="1"/>
  <c r="M98" i="2"/>
  <c r="N98" i="2"/>
  <c r="M97" i="2"/>
  <c r="N97" i="2" s="1"/>
  <c r="M96" i="2"/>
  <c r="N96" i="2" s="1"/>
  <c r="M87" i="2"/>
  <c r="N87" i="2" s="1"/>
  <c r="M81" i="2"/>
  <c r="N81" i="2" s="1"/>
  <c r="M79" i="2"/>
  <c r="N79" i="2" s="1"/>
  <c r="M78" i="2"/>
  <c r="N78" i="2" s="1"/>
  <c r="M43" i="2"/>
  <c r="N43" i="2" s="1"/>
  <c r="T37" i="2"/>
  <c r="T21" i="2"/>
  <c r="T53" i="2"/>
  <c r="T113" i="2"/>
  <c r="T51" i="2"/>
  <c r="T121" i="2"/>
  <c r="T102" i="2"/>
  <c r="S134" i="2"/>
  <c r="T134" i="2" s="1"/>
  <c r="T17" i="2"/>
  <c r="S173" i="2"/>
  <c r="T173" i="2" s="1"/>
  <c r="S167" i="2"/>
  <c r="T167" i="2" s="1"/>
  <c r="T76" i="2"/>
  <c r="S25" i="2"/>
  <c r="T25" i="2" s="1"/>
  <c r="T74" i="2"/>
  <c r="S169" i="2"/>
  <c r="T169" i="2" s="1"/>
  <c r="S151" i="2"/>
  <c r="T151" i="2" s="1"/>
  <c r="S48" i="2"/>
  <c r="T48" i="2" s="1"/>
  <c r="S47" i="2"/>
  <c r="T47" i="2" s="1"/>
  <c r="S119" i="2"/>
  <c r="T119" i="2" s="1"/>
  <c r="R139" i="1"/>
  <c r="S139" i="1" s="1"/>
  <c r="R89" i="1"/>
  <c r="S89" i="1" s="1"/>
  <c r="R111" i="1"/>
  <c r="S111" i="1"/>
  <c r="R105" i="1"/>
  <c r="S105" i="1" s="1"/>
  <c r="S98" i="2"/>
  <c r="T98" i="2" s="1"/>
  <c r="R65" i="1"/>
  <c r="S65" i="1" s="1"/>
  <c r="R39" i="1"/>
  <c r="S39" i="1"/>
  <c r="R135" i="1"/>
  <c r="S135" i="1"/>
  <c r="R28" i="1"/>
  <c r="S28" i="1" s="1"/>
  <c r="S161" i="2"/>
  <c r="T161" i="2" s="1"/>
  <c r="R117" i="1"/>
  <c r="S117" i="1"/>
  <c r="R129" i="1"/>
  <c r="S129" i="1" s="1"/>
  <c r="S97" i="2"/>
  <c r="T97" i="2" s="1"/>
  <c r="R91" i="1"/>
  <c r="S91" i="1"/>
  <c r="S15" i="2"/>
  <c r="S86" i="2"/>
  <c r="T86" i="2" s="1"/>
  <c r="Q177" i="1"/>
  <c r="R14" i="1"/>
  <c r="P118" i="6" l="1"/>
  <c r="T14" i="6"/>
  <c r="T115" i="6" s="1"/>
  <c r="S115" i="6"/>
  <c r="N25" i="6"/>
  <c r="N115" i="6" s="1"/>
  <c r="M115" i="6"/>
  <c r="T15" i="2"/>
  <c r="R177" i="1"/>
  <c r="S14" i="1"/>
  <c r="S177" i="1" s="1"/>
  <c r="Q118" i="6" l="1"/>
</calcChain>
</file>

<file path=xl/sharedStrings.xml><?xml version="1.0" encoding="utf-8"?>
<sst xmlns="http://schemas.openxmlformats.org/spreadsheetml/2006/main" count="5823" uniqueCount="631">
  <si>
    <t>CALENDARIO OPERATIVO Y RUTAS DE MANTENIMIENTO - OCTUBRE 2026</t>
  </si>
  <si>
    <t>SEMANA 2: DEL 12 AL 16 DE OCTUBRE DE 2026  (41 EQUIPOS PROGRAMADOS)</t>
  </si>
  <si>
    <t>LUNES 12 OCT (8 eq)</t>
  </si>
  <si>
    <t>MARTES 13 OCT (9 eq)</t>
  </si>
  <si>
    <t>MIÉRCOLES 14 OCT (10 eq)</t>
  </si>
  <si>
    <t>JUEVES 15 OCT (10 eq)</t>
  </si>
  <si>
    <t>VIERNES 16 OCT (4 eq)</t>
  </si>
  <si>
    <t>★ BLOQUE ALCON (Día 1) ★
• HMEO Constituyentes (5 eq):
  - Ing. 1: P19, P21, P23 (Centurion, Constellation)
  - Ing. 2: P20, P22 (Centurion)
• Subcentro CM 1-A (2 eq):
  - Ing. 3: P304, P305 (Fujifilm)</t>
  </si>
  <si>
    <t>★ BLOQUE ALCON (Día 2 - Cierre) ★
• HMEO Constituyentes (4 eq):
  - Ing. 1: P25, P338 (Constellation, LenSx)
  - Ing. 2: P24, P71 (Constellation, Wavelight)
• Subcentro CM 1-A (2 eq):
  - Ing. 3: P306 (Fujifilm), P307 (Pentacam)
• HMRE Guadalajara (1 eq):
  - Suc. GDL: P358 (OPMI Visu)</t>
  </si>
  <si>
    <t>★ BLOQUE ARFAMEX (Día 1) ★
• HMEO Constituyentes (6 eq):
  - Ing. 1: P27, P29, P34 (LKC, HRT3, Vitra)
  - Ing. 2: P28, P33, P35 (LKC, RetCam, Vitra)
• Hospital Central Militar (2 eq):
  - Ing. 3: P6 (Leica), P156 (Technix)
• HMZ Zapopan (1 eq):
  - Suc. GDL: P321 (M822)
• HMRE Monterrey (1 eq):
  - Suc. León: P159 (HS Hi-R 700)
• HMZ La Boticaría (1 eq):
  - Ing. 4: P221 (Fujifilm)</t>
  </si>
  <si>
    <t>★ BLOQUE ARFAMEX (Día 2 - Cierre) ★
• HMEO Constituyentes (7 eq):
  - Ing. 1: P70, P73, P79, P81 (Optimis, Vitra, Heidelberg)
  - Ing. 2: P72, P74, P80 (Vitra, KXL, Heidelberg)
• Hospital Central Militar (1 eq):
  - Ing. 3: P185 (Heidelberg)
• HMRE Mérida (1 eq):
  - Suc. Mérida: P208 (M844)
• HMZ La Boticaría (1 eq):
  - Ing. 4: P222 (Optikon)</t>
  </si>
  <si>
    <t>★ BLOQUE ALDAI (TOMEY) Y MD (SUOER) (Día 1) ★
• HMEO Constituyentes (7 eq):
  - Ing. 1: P26, P39, P41, P43 (FOX 810, PanoCam, TOMEY)
  - Ing. 2: P38, P40, P42 (PanoCam, TOMEY)
• HMEMyN Lomas de Sotelo (2 eq):
  - Ing. 3: P112 (RetCam 3), P218 (Codonics)
• HMZ Campo Militar 1-A (1 eq):
  - Ing. 3: P319 (Ziehm Vision R)</t>
  </si>
  <si>
    <t>SEMANA 3: DEL 19 AL 23 DE OCTUBRE DE 2026  (42 EQUIPOS PROGRAMADOS)</t>
  </si>
  <si>
    <t>LUNES 19 OCT (8 eq)</t>
  </si>
  <si>
    <t>MARTES 20 OCT (10 eq)</t>
  </si>
  <si>
    <t>MIÉRCOLES 21 OCT (11 eq)</t>
  </si>
  <si>
    <t>JUEVES 22 OCT (9 eq)</t>
  </si>
  <si>
    <t>VIERNES 23 OCT (4 eq)</t>
  </si>
  <si>
    <t>★ BLOQUE MD (SUOER) (Día 2 - Cierre) ★
• HMEO Constituyentes (6 eq):
  - Ing. 1: P44, P46, P48 (TOMEY, SUOER)
  - Ing. 2: P45, P47, P215 (SUOER, Banco Ojos)
• HMZ Cuernavaca, Mor (1 eq):
  - Ing. 3: P231 (Fujifilm)
• HMR Acapulco, Gro (1 eq):
  - Ing. 4: P232 (Fujifilm)</t>
  </si>
  <si>
    <t>★ BLOQUE S4 / NIDEK (Día 1: Autorefractores) ★
• HMEO Constituyentes (6 eq):
  - Ing. 1: P49, P51, P53 (ARK-F)
  - Ing. 2: P50, P52, P54 (ARK-F)
• HMZ Temamatla, EdoMex (2 eq):
  - Ing. 3: P227 (Fujifilm), P228 (Konica)
• HMZ Ixcotel, Oax (2 eq):
  - Ing. 4: P16, P17 (Heidelberg)</t>
  </si>
  <si>
    <t>★ BLOQUE S4 / NIDEK (Día 2: Autorefractores) ★
• HMEO Constituyentes (6 eq):
  - Ing. 1: P55, P57, P59 (ARK-F)
  - Ing. 2: P56, P58, P60 (ARK-F)
• HMR Santa Lucía, EdoMex (2 eq):
  - Ing. 3: P87, P88 (Nidek ARK-F y Sirius)
• HMZ Ixcotel, Oax (2 eq):
  - Ing. 4: P268 (Meridian), P273 (Alcon)
• HMRE Monterrey (1 eq):
  - Suc. León: P196 (SUNI)</t>
  </si>
  <si>
    <t>★ BLOQUE S4 / NIDEK (Día 3: Diagnóstico) ★
• HMEO Constituyentes (6 eq):
  - Ing. 1: P61, P63, P65 (TONOREF III)
  - Ing. 2: P62, P64, P68 (TONOREF III, OPD-Scan)
• HMR Santa Lucía, EdoMex (1 eq):
  - Ing. 3: P94 (Topcon Pascal)
• HMZ Chetumal, QRoo (1 eq):
  - Suc. Mérida: P298 (Fujifilm)
• HMRE Monterrey (1 eq):
  - Suc. León: P357 (Atlas 9000)</t>
  </si>
  <si>
    <t>★ BLOQUE S4 / NIDEK (Día 4 - Cierre: OCTs) ★
• HMEO Constituyentes (6 eq):
  - Ing. 1: P69, P76, P78 (OPD-Scan, Retina Scan)
  - Ing. 2: P75, P77, P351 (Retina Scan, OPD-Scan)
• Retorno Brigada Sur a CDMX
• Cierre actas Semana 3</t>
  </si>
  <si>
    <t>SEMANA 4: DEL 26 AL 30 DE OCTUBRE DE 2026  (18 EQUIPOS CAMPO + 3 DÍAS COLCHÓN DOCUMENTAL)</t>
  </si>
  <si>
    <t>LUNES 26 OCT (10 eq)</t>
  </si>
  <si>
    <t>MARTES 27 OCT (8 eq)</t>
  </si>
  <si>
    <t>MIÉRCOLES 28 OCT (COLCHÓN)</t>
  </si>
  <si>
    <t>JUEVES 29 OCT (COLCHÓN)</t>
  </si>
  <si>
    <t>VIERNES 30 OCT (COLCHÓN)</t>
  </si>
  <si>
    <t>★ BLOQUE ESPECIALIDADES (Día 1) ★
• HMEO Constituyentes (4 eq):
  - Ing. 1: P30, P82 (Pentacam, Optos)
  - Ing. 2: P32, P83 (Navilas, Optos)
• HMRE Mazatlán, Sin (1 eq):
  - Ing. 4: P154 (Moller Wedel)
• HMZ Sta. Gertrudis, Chih (1 eq):
  - Suc. León: P367 (Primax)
• HMZ Villahermosa, Tab (1 eq):
  - Suc. Mérida: P363 (Humphrey)</t>
  </si>
  <si>
    <t>★ BLOQUE ESPECIALIDADES (Día 2 - Cierre) ★
• HMEO Constituyentes (4 eq):
  - Ing. 1: P214, P283 (Pentacam, Zyoptix)
  - Ing. 2: P291, P292 (Zyoptix, CellChek)
• HMR La Paz, BCS (1 eq):
  - Ing. 4: P310 (Supra Scan)
★★★ FIN TOTAL DE TRABAJOS DE CAMPO ★★★</t>
  </si>
  <si>
    <t>DETALLE CRONOLÓGICO DE PARTIDAS, FECHAS Y ASIGNACIÓN TÉCNICA (101 EQUIPOS ADJUDICADOS)</t>
  </si>
  <si>
    <t>No.</t>
  </si>
  <si>
    <t>Partida</t>
  </si>
  <si>
    <t>Fecha Programada</t>
  </si>
  <si>
    <t>Semana Operativa</t>
  </si>
  <si>
    <t>Ingeniero / Frente Asignado</t>
  </si>
  <si>
    <t>Hospital / Unidad Médica</t>
  </si>
  <si>
    <t>Estado</t>
  </si>
  <si>
    <t>Equipo</t>
  </si>
  <si>
    <t>No. de Serie (N/S)</t>
  </si>
  <si>
    <t>Especialidad</t>
  </si>
  <si>
    <t>Estatus</t>
  </si>
  <si>
    <t>12/10/2026</t>
  </si>
  <si>
    <t>Semana 2 (12-16 Oct)</t>
  </si>
  <si>
    <t>Ing. 1 CDMX (Plaza Fija HMEO)</t>
  </si>
  <si>
    <t>H.M.E.O. Constituyentes</t>
  </si>
  <si>
    <t>CDMX</t>
  </si>
  <si>
    <t>Sistema de facoemulsificación, marca Alcon, modelo Centurion</t>
  </si>
  <si>
    <t>2201601801X</t>
  </si>
  <si>
    <t>OFTALMO</t>
  </si>
  <si>
    <t>Programado</t>
  </si>
  <si>
    <t>Ing. 2 CDMX (Plaza Fija HMEO)</t>
  </si>
  <si>
    <t>2201483301X</t>
  </si>
  <si>
    <t>2201602101X</t>
  </si>
  <si>
    <t>2202291501X</t>
  </si>
  <si>
    <t>Sistema de cirugía vitreorretiniana, marca Alcon, modelo Constellation</t>
  </si>
  <si>
    <t>2201508001X</t>
  </si>
  <si>
    <t>Ing. 3 CDMX (Ruta Metropolitana)</t>
  </si>
  <si>
    <t>Subcentro de Evaluación Médica, Campo Militar 1-A</t>
  </si>
  <si>
    <t>Impresora para placas radiográficas, marca Fujifilm, modelo Drypix 8000</t>
  </si>
  <si>
    <t>17130510</t>
  </si>
  <si>
    <t>IMAGEN</t>
  </si>
  <si>
    <t>17130513</t>
  </si>
  <si>
    <t>13/10/2026</t>
  </si>
  <si>
    <t>2201508101X</t>
  </si>
  <si>
    <t>2201541901X</t>
  </si>
  <si>
    <t>Láser excimer, marca Alcon, modelo Wavelight</t>
  </si>
  <si>
    <t>1016-4-3384</t>
  </si>
  <si>
    <t>17130554</t>
  </si>
  <si>
    <t>Cámara de Scheimpflug, marca Oculus, modelo Pentacam HR</t>
  </si>
  <si>
    <t>70900 2455 1210</t>
  </si>
  <si>
    <t>Láser de femtosegundo, marca Alcon, modelo LenSx</t>
  </si>
  <si>
    <t>2102004501X</t>
  </si>
  <si>
    <t>Sucursal Guadalajara</t>
  </si>
  <si>
    <t>H.M.R.E. Guadalajara</t>
  </si>
  <si>
    <t>JALISCO</t>
  </si>
  <si>
    <t>Microscopio, marca Carl Zeiss, modelo OPMI Visu 160</t>
  </si>
  <si>
    <t>6213404030</t>
  </si>
  <si>
    <t>14/10/2026</t>
  </si>
  <si>
    <t>H.C.M. Lomas de Sotelo</t>
  </si>
  <si>
    <t>Microscopio avanzado, marca Leica, modelo M320F12</t>
  </si>
  <si>
    <t>10724001</t>
  </si>
  <si>
    <t>Electroretinógrafo portátil, marca LKC, modelo RETeval</t>
  </si>
  <si>
    <t>R002034</t>
  </si>
  <si>
    <t>R002556</t>
  </si>
  <si>
    <t>Microscopio confocal, marca Heidelberg Engineering, modelo HRT3 RCM</t>
  </si>
  <si>
    <t>HRT3-08313</t>
  </si>
  <si>
    <t>Cámara de campo ultra amplio, marca Natus, modelo RetCam Envision</t>
  </si>
  <si>
    <t>RE-0276</t>
  </si>
  <si>
    <t>Láser, marca Quantel Medical, modelo Vitra 810</t>
  </si>
  <si>
    <t>574</t>
  </si>
  <si>
    <t>Láser, marca Quantel Medical, modelo Vitra 811</t>
  </si>
  <si>
    <t>575</t>
  </si>
  <si>
    <t>Equipo de rayos X móvil, marca Technix, modelo TMS 320</t>
  </si>
  <si>
    <t>80-16-79-150</t>
  </si>
  <si>
    <t>Sucursal León</t>
  </si>
  <si>
    <t>H.M.R.E. Monterrey</t>
  </si>
  <si>
    <t>NUEVO LEON</t>
  </si>
  <si>
    <t>Microscopio para cirugía, marca Haag-Streit Surgical, modelo HS Hi-R 700</t>
  </si>
  <si>
    <t>1303</t>
  </si>
  <si>
    <t>Ing. 4 CDMX (Brigada Foránea Sur)</t>
  </si>
  <si>
    <t>H.M.Z. La Boticaría</t>
  </si>
  <si>
    <t>VERACRUZ</t>
  </si>
  <si>
    <t>Sistema de digitalización de imágenes, marca Fujifilm, modelo Digitalizador: FCR Capsula XLII (CR-IR 359) Impresora: Drypix Plus</t>
  </si>
  <si>
    <t>Digitalizador: 46770610 Impresora: 36753809</t>
  </si>
  <si>
    <t>H.M.Z. Zapopan</t>
  </si>
  <si>
    <t>Microscopio quirúrgico oftalmológico, marca Leica, modelo M822 F40</t>
  </si>
  <si>
    <t>160219002</t>
  </si>
  <si>
    <t>15/10/2026</t>
  </si>
  <si>
    <t>Plataforma láser oftálmica combinada YAG/SLT, marca Quantel Medical, modelo Optimis Fusion</t>
  </si>
  <si>
    <t>62-10-135</t>
  </si>
  <si>
    <t>Láser oftálmico, marca Quantel Medical, modelo Easyret</t>
  </si>
  <si>
    <t>2209031</t>
  </si>
  <si>
    <t>2209032</t>
  </si>
  <si>
    <t>Equipo para crosslinking ocular, marca KXL, modelo Avedro</t>
  </si>
  <si>
    <t>KXL221005</t>
  </si>
  <si>
    <t>Sistema de diagnóstico oftálmico avanzado, marca Heidelberg Engineering, modelo Spectralis</t>
  </si>
  <si>
    <t>SPEC-CAM-21931-53610</t>
  </si>
  <si>
    <t>SPEC-CAM-21920-53610</t>
  </si>
  <si>
    <t>SPEC-CAM-21928-53610</t>
  </si>
  <si>
    <t>SPECT-KT-05789</t>
  </si>
  <si>
    <t>Sucursal Mérida</t>
  </si>
  <si>
    <t>H.M.R.E. Mérida</t>
  </si>
  <si>
    <t>YUCATAN</t>
  </si>
  <si>
    <t>Microscopio para cirugía, marca Leica, modelo M844F40</t>
  </si>
  <si>
    <t>160516003</t>
  </si>
  <si>
    <t>Ultrasonido oftálmico, marca OPTIKON, modelo HiScan</t>
  </si>
  <si>
    <t>387BC</t>
  </si>
  <si>
    <t>16/10/2026</t>
  </si>
  <si>
    <t>Láser de diodo, marca A.R.C. Laser, modelo FOX 810</t>
  </si>
  <si>
    <t>615423-AAAB</t>
  </si>
  <si>
    <t>Retinógrafo portátil de campo amplio para neonatos, marca Visunex Medical Systems, modelo PanoCam</t>
  </si>
  <si>
    <t>A237402</t>
  </si>
  <si>
    <t>A237403</t>
  </si>
  <si>
    <t>A237401</t>
  </si>
  <si>
    <t>Microscopio especular, marca TOMEY, modelo EM-4000</t>
  </si>
  <si>
    <t>354304</t>
  </si>
  <si>
    <t>Microscopio especular, marca TOMEY, modelo EM-4001</t>
  </si>
  <si>
    <t>349103</t>
  </si>
  <si>
    <t>Ultrasonido modo A-B, marca TOMEY, modelo UD-800</t>
  </si>
  <si>
    <t>366702</t>
  </si>
  <si>
    <t>H.M.E.M. Y N. Lomas de Sotelo</t>
  </si>
  <si>
    <t>Sistema digital de imagen de campo amplio, marca Clarity Medical Systems, modelo RetCam 3</t>
  </si>
  <si>
    <t>RC7406</t>
  </si>
  <si>
    <t>Impresora para placas radiográficas, marca Codonics, modelo Horizon Ci</t>
  </si>
  <si>
    <t>50C00394C</t>
  </si>
  <si>
    <t>H.M.Z. Campo Militar No. 1-A</t>
  </si>
  <si>
    <t>Arco en C, marca Ziehm Imaging, modelo Vision R</t>
  </si>
  <si>
    <t>10705</t>
  </si>
  <si>
    <t>19/10/2026</t>
  </si>
  <si>
    <t>Semana 3 (19-23 Oct)</t>
  </si>
  <si>
    <t>Ultrasonido modo A-B, marca TOMEY, modelo UD-801</t>
  </si>
  <si>
    <t>372404</t>
  </si>
  <si>
    <t>Autorrefractómetro, marca SUOER, modelo Ocular Screening SW-800</t>
  </si>
  <si>
    <t>BC0013GY1C</t>
  </si>
  <si>
    <t>BC0007GY1C</t>
  </si>
  <si>
    <t>BB0042GY1C</t>
  </si>
  <si>
    <t>BB0043GY1C</t>
  </si>
  <si>
    <t>Unidad de banco de ojos, marca Varios, modelo Varios</t>
  </si>
  <si>
    <t>Varios</t>
  </si>
  <si>
    <t>Ing. 3 CDMX (Ruta Morelos/EdoMex)</t>
  </si>
  <si>
    <t>H.M.Z. Cuernavaca</t>
  </si>
  <si>
    <t>MORELOS</t>
  </si>
  <si>
    <t>Sistema de digitalización de imágenes, marca Fujifilm, modelo Digitalizador: FCR Capsula XLII (CR-IR 359) Impresora: Drypix 4000</t>
  </si>
  <si>
    <t>Digitalizador: 46770614 Impresora: 36653758</t>
  </si>
  <si>
    <t>H.M.R. Acapulco</t>
  </si>
  <si>
    <t>GUERRERO</t>
  </si>
  <si>
    <t>Digitalizador de placas radiográficas, marca Fujifilm, modelo CR-IR359</t>
  </si>
  <si>
    <t>46270262</t>
  </si>
  <si>
    <t>20/10/2026</t>
  </si>
  <si>
    <t>H.M.Z. Ixcotel</t>
  </si>
  <si>
    <t>OAXACA</t>
  </si>
  <si>
    <t>Sistema de diagnóstico oftálmico avanzado, marca Heidelberg Engineering, modelo Anterion</t>
  </si>
  <si>
    <t>01827B0106</t>
  </si>
  <si>
    <t>SPEC-CAM-22694-S3610</t>
  </si>
  <si>
    <t>Autoqueratorrefractor, marca Nidek, modelo ARK-F</t>
  </si>
  <si>
    <t>270021</t>
  </si>
  <si>
    <t>270029</t>
  </si>
  <si>
    <t>270031</t>
  </si>
  <si>
    <t>270032</t>
  </si>
  <si>
    <t>270023</t>
  </si>
  <si>
    <t>270034</t>
  </si>
  <si>
    <t>H.M.Z. Temamatla</t>
  </si>
  <si>
    <t>EDO DE MEX</t>
  </si>
  <si>
    <t>Digitalizador: 46370281 Impresora: 36753805</t>
  </si>
  <si>
    <t>Impresora para placas radiográficas, marca Konica Minolta, modelo DryPro 873</t>
  </si>
  <si>
    <t>0992-50128</t>
  </si>
  <si>
    <t>21/10/2026</t>
  </si>
  <si>
    <t>270035</t>
  </si>
  <si>
    <t>270036</t>
  </si>
  <si>
    <t>270037</t>
  </si>
  <si>
    <t>270038</t>
  </si>
  <si>
    <t>270033</t>
  </si>
  <si>
    <t>270025</t>
  </si>
  <si>
    <t>H.M.R. Santa Lucía</t>
  </si>
  <si>
    <t>270010</t>
  </si>
  <si>
    <t>Tomógrafo-topógrafo corneal, marca CSO, modelo Sirius</t>
  </si>
  <si>
    <t>21091186</t>
  </si>
  <si>
    <t>Sistema de digitalización de imágenes, marca SUNI, modelo SUNI</t>
  </si>
  <si>
    <t>DI2014106149</t>
  </si>
  <si>
    <t>Fotocoagulador láser , marca Meridian AG, modelo SLA-UNI</t>
  </si>
  <si>
    <t>0069</t>
  </si>
  <si>
    <t>Láser oftálmico, marca Alcon, modelo 3000LE</t>
  </si>
  <si>
    <t>5342LX</t>
  </si>
  <si>
    <t>22/10/2026</t>
  </si>
  <si>
    <t>Sistema de diagnóstico oftálmico avanzado, marca Nidek, modelo TONOREF III</t>
  </si>
  <si>
    <t>170692</t>
  </si>
  <si>
    <t>170696</t>
  </si>
  <si>
    <t>170711</t>
  </si>
  <si>
    <t>170712</t>
  </si>
  <si>
    <t>170715</t>
  </si>
  <si>
    <t>Sistema de diagnóstico oftálmico avanzado, marca Nidek, modelo OPD-Scan III</t>
  </si>
  <si>
    <t>470112</t>
  </si>
  <si>
    <t>Fotocoagulador láser, marca Topcon, modelo Pascal Synthesis</t>
  </si>
  <si>
    <t>79140219</t>
  </si>
  <si>
    <t>H.M.Z. Chetumal</t>
  </si>
  <si>
    <t>QUINTANA ROO</t>
  </si>
  <si>
    <t>Sistema de digitalización de imágenes, marca Fujifilm, modelo Digitalizador: FCR Capsula XLII (CR-IR 359)</t>
  </si>
  <si>
    <t>46770608</t>
  </si>
  <si>
    <t>Topógrafo corneal, marca Zeiss, modelo Atlas 9000</t>
  </si>
  <si>
    <t>9000-2972</t>
  </si>
  <si>
    <t>23/10/2026</t>
  </si>
  <si>
    <t>470113</t>
  </si>
  <si>
    <t>OCT con retinógrafo integrado, marca Nidek, modelo Retina Scan DUO-2 (RS-300)</t>
  </si>
  <si>
    <t>742223</t>
  </si>
  <si>
    <t>741879</t>
  </si>
  <si>
    <t>742356</t>
  </si>
  <si>
    <t>741940</t>
  </si>
  <si>
    <t>470023</t>
  </si>
  <si>
    <t>26/10/2026</t>
  </si>
  <si>
    <t>Semana 4 (26-30 Oct)</t>
  </si>
  <si>
    <t>Topógrafo corneal con cámara Scheimpflug, marca Oculus, modelo Pentacam</t>
  </si>
  <si>
    <t>7010054522270</t>
  </si>
  <si>
    <t>Sistema de fotocoagulación láser con estación de trabajo, marca OD-OS, modelo Navilas</t>
  </si>
  <si>
    <t>158000-3215</t>
  </si>
  <si>
    <t>Retinógrafo de campo ultra amplio, marca Optos, modelo California</t>
  </si>
  <si>
    <t>41652</t>
  </si>
  <si>
    <t>41656</t>
  </si>
  <si>
    <t>Ing. 4 CDMX (Brigada Foránea Pacífico)</t>
  </si>
  <si>
    <t>H.M.R.E. Mazatlán</t>
  </si>
  <si>
    <t>SINALOA</t>
  </si>
  <si>
    <t>Microscopio para cirugía, marca Haag-Streit Surgical, modelo Moller Wedel</t>
  </si>
  <si>
    <t>30155514</t>
  </si>
  <si>
    <t>H.M.Z. Villahermosa</t>
  </si>
  <si>
    <t>TABASCO</t>
  </si>
  <si>
    <t>Campímetro, marca Carl Zeiss Meditec, modelo Humphrey 740I</t>
  </si>
  <si>
    <t>740I-14200</t>
  </si>
  <si>
    <t>H.M.Z. Santa Gertrudis</t>
  </si>
  <si>
    <t>CHIHUAHUA</t>
  </si>
  <si>
    <t>Equipo de rayos X móvil, marca Primax, modelo Raybow dR</t>
  </si>
  <si>
    <t>10076715</t>
  </si>
  <si>
    <t>27/10/2026</t>
  </si>
  <si>
    <t>64835160</t>
  </si>
  <si>
    <t>Láser excimer, marca Bausch &amp; Lomb, modelo Zyoptix XP</t>
  </si>
  <si>
    <t>2805</t>
  </si>
  <si>
    <t>XL500322</t>
  </si>
  <si>
    <t>Microscopio especular, marca Konan, modelo CellChek XL NSP9900</t>
  </si>
  <si>
    <t>NPA-3-1816</t>
  </si>
  <si>
    <t>H.M.R. La Paz</t>
  </si>
  <si>
    <t>BAJA CALIFORNIA</t>
  </si>
  <si>
    <t>Fotocoagulador láser , marca Quantel Medical, modelo Supra Scan</t>
  </si>
  <si>
    <t>454</t>
  </si>
  <si>
    <t xml:space="preserve">COTIZACION
MEDICAL DIMEGAR S.A. DE C.V. </t>
  </si>
  <si>
    <t xml:space="preserve">Nombre del proyecto:  "Servicio de Mantenimiento Integral a Equipos Médicos de Diversas Marcas". </t>
  </si>
  <si>
    <t>BL</t>
  </si>
  <si>
    <t>N/S</t>
  </si>
  <si>
    <t>Unidad Médica</t>
  </si>
  <si>
    <t>Descripcion del servicio</t>
  </si>
  <si>
    <t>Unidad de medida</t>
  </si>
  <si>
    <t>Cantidad solicitada</t>
  </si>
  <si>
    <t xml:space="preserve">País de origen </t>
  </si>
  <si>
    <t>P. Máximo</t>
  </si>
  <si>
    <t>costo</t>
  </si>
  <si>
    <t>Precio Unitario</t>
  </si>
  <si>
    <t>Precio unitario sin I.V.A.</t>
  </si>
  <si>
    <t>Total sin I.V.A.</t>
  </si>
  <si>
    <t>I.V.A.</t>
  </si>
  <si>
    <t>Total con I.V.A.</t>
  </si>
  <si>
    <t>Observaciones</t>
  </si>
  <si>
    <t xml:space="preserve">Garantía </t>
  </si>
  <si>
    <t>Cumple la normatividad</t>
  </si>
  <si>
    <t>ESPECIALIDAD</t>
  </si>
  <si>
    <t>PROVEEDOR</t>
  </si>
  <si>
    <t>Si/No</t>
  </si>
  <si>
    <t>XP SU</t>
  </si>
  <si>
    <t>Servicio de mantenimiento integral para: Microscopio avanzado, marca Leica, modelo M320F12, serie 10724001;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</si>
  <si>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Servicio</t>
  </si>
  <si>
    <t>México</t>
  </si>
  <si>
    <t>Accesorios: No incluye
Consumibles: No incluye</t>
  </si>
  <si>
    <t>Durante la vigencia del contrato</t>
  </si>
  <si>
    <t>SI</t>
  </si>
  <si>
    <t>COINDISA</t>
  </si>
  <si>
    <t>RO</t>
  </si>
  <si>
    <t>Servicio de mantenimiento integral para: Sistema de diagnóstico oftálmico avanzado, marca Heidelberg Engineering, modelo Anterion, serie 01827B0106;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</si>
  <si>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ARFAMEX</t>
  </si>
  <si>
    <t>US</t>
  </si>
  <si>
    <t>Servicio de mantenimiento integral para: Sistema de diagnóstico oftálmico avanzado, marca Heidelberg Engineering, modelo Spectralis, serie SPEC-CAM-22694-S3610;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</si>
  <si>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XP WH / D&amp;A</t>
  </si>
  <si>
    <t>Servicio de mantenimiento integral para: Sistema de facoemulsificación, marca Alcon, modelo Centurion, serie 2201601801X;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</si>
  <si>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ALCON</t>
  </si>
  <si>
    <t>Servicio de mantenimiento integral para: Sistema de facoemulsificación, marca Alcon, modelo Centurion, serie 2201483301X;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</si>
  <si>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AXA</t>
  </si>
  <si>
    <t>Servicio de mantenimiento integral para: Sistema de facoemulsificación, marca Alcon, modelo Centurion, serie 2201602101X;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</si>
  <si>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facoemulsificación, marca Alcon, modelo Centurion, serie 2202291501X;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</si>
  <si>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cirugía vitreorretiniana, marca Alcon, modelo Constellation, serie 2201508001X;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</si>
  <si>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CT / D&amp;A</t>
  </si>
  <si>
    <t>Servicio de mantenimiento integral para: Sistema de cirugía vitreorretiniana, marca Alcon, modelo Constellation, serie 2201508101X;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</si>
  <si>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cirugía vitreorretiniana, marca Alcon, modelo Constellation, serie 2201541901X;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</si>
  <si>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XP RF</t>
  </si>
  <si>
    <t>Servicio de mantenimiento integral para: Láser de diodo, marca A.R.C. Laser, modelo FOX 810, serie 615423-AAAB;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</si>
  <si>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MD</t>
  </si>
  <si>
    <t>Servicio de mantenimiento integral para: Electroretinógrafo portátil, marca LKC, modelo RETeval, serie R002034;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</si>
  <si>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Electroretinógrafo portátil, marca LKC, modelo RETeval, serie R002556;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</si>
  <si>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confocal, marca Heidelberg Engineering, modelo HRT3 RCM, serie HRT3-08313;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</si>
  <si>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Topógrafo corneal con cámara Scheimpflug, marca Oculus, modelo Pentacam, serie 7010054522270;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</si>
  <si>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CYAN</t>
  </si>
  <si>
    <t>CT</t>
  </si>
  <si>
    <t>Ultrasonido, marca Quantel Medical, modelo Absolu</t>
  </si>
  <si>
    <t>1131</t>
  </si>
  <si>
    <t>Servicio de mantenimiento integral para: Ultrasonido, marca Quantel Medical, modelo Absolu, serie 1131;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</si>
  <si>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fotocoagulación láser con estación de trabajo, marca OD-OS, modelo Navilas, serie 158000-3215;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</si>
  <si>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FARBAC</t>
  </si>
  <si>
    <t>Servicio de mantenimiento integral para: Cámara de campo ultra amplio, marca Natus, modelo RetCam Envision, serie RE-0276;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</si>
  <si>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Láser, marca Quantel Medical, modelo Vitra 810, serie 574;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</si>
  <si>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Láser, marca Quantel Medical, modelo Vitra 811, serie 575;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</si>
  <si>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Ultrasonido terapéutico, marca Eye Tech Care, modelo UCP Flex</t>
  </si>
  <si>
    <t>19/015</t>
  </si>
  <si>
    <t>Servicio de mantenimiento integral para: Ultrasonido terapéutico, marca Eye Tech Care, modelo UCP Flex, serie 19/015;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</si>
  <si>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EYCCO</t>
  </si>
  <si>
    <t>20/016</t>
  </si>
  <si>
    <t>Servicio de mantenimiento integral para: Ultrasonido terapéutico, marca Eye Tech Care, modelo UCP Flex, serie 20/016;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</si>
  <si>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Retinógrafo portátil de campo amplio para neonatos, marca Visunex Medical Systems, modelo PanoCam, serie A237402;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</si>
  <si>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Retinógrafo portátil de campo amplio para neonatos, marca Visunex Medical Systems, modelo PanoCam, serie A237403;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</si>
  <si>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Retinógrafo portátil de campo amplio para neonatos, marca Visunex Medical Systems, modelo PanoCam, serie A237401;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</si>
  <si>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especular, marca TOMEY, modelo EM-4000, serie 354304;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</si>
  <si>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 xml:space="preserve">ALDAI </t>
  </si>
  <si>
    <t>Servicio de mantenimiento integral para: Microscopio especular, marca TOMEY, modelo EM-4001, serie 349103;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</si>
  <si>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Ultrasonido modo A-B, marca TOMEY, modelo UD-800, serie 366702;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</si>
  <si>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Ultrasonido modo A-B, marca TOMEY, modelo UD-801, serie 372404;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</si>
  <si>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Autorrefractómetro, marca SUOER, modelo Ocular Screening SW-800, serie BC0013GY1C;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</si>
  <si>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Autorrefractómetro, marca SUOER, modelo Ocular Screening SW-800, serie BC0007GY1C;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</si>
  <si>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Autorrefractómetro, marca SUOER, modelo Ocular Screening SW-800, serie BB0042GY1C;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</si>
  <si>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Autorrefractómetro, marca SUOER, modelo Ocular Screening SW-800, serie BB0043GY1C;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</si>
  <si>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270021;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</si>
  <si>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S4</t>
  </si>
  <si>
    <t>Servicio de mantenimiento integral para: Autoqueratorrefractor, marca Nidek, modelo ARK-F, serie 270029;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</si>
  <si>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</si>
  <si>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</si>
  <si>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</si>
  <si>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</si>
  <si>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</si>
  <si>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</si>
  <si>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270037;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</si>
  <si>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270038;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</si>
  <si>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270033;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</si>
  <si>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270025;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</si>
  <si>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TONOREF III, serie 170692;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</si>
  <si>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TONOREF III, serie 170696;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</si>
  <si>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TONOREF III, serie 170711;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</si>
  <si>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TONOREF III, serie 170712;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</si>
  <si>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TONOREF III, serie 170715;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</si>
  <si>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OPD-Scan III, serie 470112;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</si>
  <si>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OPD-Scan III, serie 470113;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</si>
  <si>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Plataforma láser oftálmica combinada YAG/SLT, marca Quantel Medical, modelo Optimis Fusion, serie 62-10-135;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</si>
  <si>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excimer, marca Alcon, modelo Wavelight, serie 1016-4-3384;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</si>
  <si>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oftálmico, marca Quantel Medical, modelo Easyret, serie 2209031;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</si>
  <si>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oftálmico, marca Quantel Medical, modelo Easyret, serie 2209032;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</si>
  <si>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Equipo para crosslinking ocular, marca KXL, modelo Avedro, serie KXL221005;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</si>
  <si>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OCT con retinógrafo integrado, marca Nidek, modelo Retina Scan DUO-2 (RS-300), serie 742223;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</si>
  <si>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OCT con retinógrafo integrado, marca Nidek, modelo Retina Scan DUO-2 (RS-300), serie 741879;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</si>
  <si>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OCT con retinógrafo integrado, marca Nidek, modelo Retina Scan DUO-2 (RS-300), serie 742356;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</si>
  <si>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OCT con retinógrafo integrado, marca Nidek, modelo Retina Scan DUO-2 (RS-300), serie 741940;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</si>
  <si>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Heidelberg Engineering, modelo Spectralis, serie SPEC-CAM-21931-53610;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</si>
  <si>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Heidelberg Engineering, modelo Spectralis, serie SPEC-CAM-21920-53610;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</si>
  <si>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Heidelberg Engineering, modelo Spectralis, serie SPEC-CAM-21928-53610; ubicado en H.M.E.O. Constituyentes,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</si>
  <si>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Retinógrafo de campo ultra amplio, marca Optos, modelo California, serie 41652;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</si>
  <si>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DEWIMED</t>
  </si>
  <si>
    <t>Servicio de mantenimiento integral para: Retinógrafo de campo ultra amplio, marca Optos, modelo California, serie 41656;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</si>
  <si>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Autoqueratorrefractor, marca Nidek, modelo ARK-F, serie 270010; ubicado en H.M.R. Santa Lucía, Edo.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</si>
  <si>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Tomógrafo-topógrafo corneal, marca CSO, modelo Sirius, serie 21091186; ubicado en H.M.R. Santa Lucía, Edo. Méx.
Consistente en 1 evento de mantenimiento preventivo por semestre y todos los mantenimientos correctivos que se requieran para mantener, conservar y/o recuperar la operatividad del equipo al 100% durante el periodo de cobertura.</t>
  </si>
  <si>
    <t>NO</t>
  </si>
  <si>
    <t>Servicio de mantenimiento integral para: Fotocoagulador láser, marca Topcon, modelo Pascal Synthesis, serie 79140219; ubicado en H.M.R. Santa Lucía, Edo. Méx.
Consistente en 1 evento de mantenimiento preventivo por semestre y todos los mantenimientos correctivos que se requieran para mantener, conservar y/o recuperar la operatividad del equipo al 100% durante el periodo de cobertura.</t>
  </si>
  <si>
    <t>TOPCON</t>
  </si>
  <si>
    <t>Tomógrafo-topógrafo corneal, marca Bausch &amp; Lomb, modelo Orbscan II</t>
  </si>
  <si>
    <t>71023432</t>
  </si>
  <si>
    <t>Servicio de mantenimiento integral para: Tomógrafo-topógrafo corneal, marca Bausch &amp; Lomb, modelo Orbscan II, serie 71023432; ubicado en H.M.R. La Paz, B.C.
Consistente en 1 evento de mantenimiento preventivo por semestre y todos los mantenimientos correctivos que se requieran para mantener, conservar y/o recuperar la operatividad del equipo al 100% durante el periodo de cobertura.</t>
  </si>
  <si>
    <t>BAUSH</t>
  </si>
  <si>
    <t>DURANGO</t>
  </si>
  <si>
    <t>Rayos X fijo, marca Del Medical, modelo EV 800</t>
  </si>
  <si>
    <t>02776-1019-W</t>
  </si>
  <si>
    <t>H.M.Z. Cinco de Mayo</t>
  </si>
  <si>
    <t>Servicio de mantenimiento integral para: Rayos X fijo, marca Del Medical, modelo EV 800, serie 02776-1019-W; ubicado en H.M.Z. Cinco de Mayo, Dgo.
Consistente en 1 evento de mantenimiento preventivo por semestre y todos los mantenimientos correctivos que se requieran para mantener, conservar y/o recuperar la operatividad del equipo al 100% durante el periodo de cobertura.</t>
  </si>
  <si>
    <t>Rayos X móvil, marca Fujifilm, modelo DR-XD 1000</t>
  </si>
  <si>
    <t>77250288</t>
  </si>
  <si>
    <t>Servicio de mantenimiento integral para: Rayos X móvil, marca Fujifilm, modelo DR-XD 1000, serie 77250288;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</si>
  <si>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Rayos X móvil, marca Fujifilm, modelo FDR Go</t>
  </si>
  <si>
    <t>566-19888-11</t>
  </si>
  <si>
    <t>Servicio de mantenimiento integral para: Rayos X móvil, marca Fujifilm, modelo FDR Go, serie 566-19888-11;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</si>
  <si>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digital de imagen de campo amplio, marca Clarity Medical Systems, modelo RetCam 3, serie RC7406;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</si>
  <si>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F168B78007</t>
  </si>
  <si>
    <t>Servicio de mantenimiento integral para: Rayos X móvil, marca Fujifilm, modelo FDR Go, serie  F168B78007; ubicado en H.M.Z. Zapopan, Jal.
Consistente en 1 evento de mantenimiento preventivo por semestre y todos los mantenimientos correctivos que se requieran para mantener, conservar y/o recuperar la operatividad del equipo al 100% durante el periodo de cobertura.</t>
  </si>
  <si>
    <t>COAHUILA</t>
  </si>
  <si>
    <t>41DBBA14CO</t>
  </si>
  <si>
    <t>H.M.R. Torreón</t>
  </si>
  <si>
    <t>Servicio de mantenimiento integral para: Rayos X móvil, marca Fujifilm, modelo FDR Go, serie 41DBBA14CO; ubicado en H.M.R. Torreón, Coah.
Consistente en 1 evento de mantenimiento preventivo por semestre y todos los mantenimientos correctivos que se requieran para mantener, conservar y/o recuperar la operatividad del equipo al 100% durante el periodo de cobertura.</t>
  </si>
  <si>
    <t>41DBBA14A019</t>
  </si>
  <si>
    <t>H.M.R. Tuxpan</t>
  </si>
  <si>
    <t>Servicio de mantenimiento integral para: Rayos X móvil, marca Fujifilm, modelo FDR Go, serie 41DBBA14A019; ubicado en H.M.R. Tuxpan, Ver.
Consistente en 1 evento de mantenimiento preventivo por semestre y todos los mantenimientos correctivos que se requieran para mantener, conservar y/o recuperar la operatividad del equipo al 100% durante el periodo de cobertura.</t>
  </si>
  <si>
    <t>CHIAPAS</t>
  </si>
  <si>
    <t>41DBBA146046</t>
  </si>
  <si>
    <t>H.M.R. Tuxtla Gutiérrez</t>
  </si>
  <si>
    <t>Servicio de mantenimiento integral para: Rayos X móvil, marca Fujifilm, modelo FDR Go, serie 41DBBA146046;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</si>
  <si>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Rayos X móvil, marca Villa Sistemi Medicali, modelo Visitor T30 M-DR</t>
  </si>
  <si>
    <t>17091017</t>
  </si>
  <si>
    <t>Servicio de mantenimiento integral para: Rayos X móvil, marca Villa Sistemi Medicali, modelo Visitor T30 M-DR, serie 17091017; ubicado en H.M.R.E. Mérida, Yuc.
Consistente en 1 evento de mantenimiento preventivo por semestre y todos los mantenimientos correctivos que se requieran para mantener, conservar y/o recuperar la operatividad del equipo al 100% durante el periodo de cobertura.</t>
  </si>
  <si>
    <t>80-16-103-174</t>
  </si>
  <si>
    <t>Servicio de mantenimiento integral para: Equipo de rayos X móvil, marca Technix, modelo TMS 320, serie 80-16-103-174; ubicado en H.M.R.E. Mérida, Yuc.
Consistente en 1 evento de mantenimiento preventivo por semestre y todos los mantenimientos correctivos que se requieran para mantener, conservar y/o recuperar la operatividad del equipo al 100% durante el periodo de cobertura.</t>
  </si>
  <si>
    <t>SAN LUIS POTOSI</t>
  </si>
  <si>
    <t>80-16-87-158</t>
  </si>
  <si>
    <t>H.M.R. San Luis Potosí</t>
  </si>
  <si>
    <t>Servicio de mantenimiento integral para: Equipo de rayos X móvil, marca Technix, modelo TMS 320, serie 80-16-87-158; ubicado en H.M.R. San Luis Potosí, S.L.P.
Consistente en 1 evento de mantenimiento preventivo por semestre y todos los mantenimientos correctivos que se requieran para mantener, conservar y/o recuperar la operatividad del equipo al 100% durante el periodo de cobertura.</t>
  </si>
  <si>
    <t>50C00404C</t>
  </si>
  <si>
    <t>Servicio de mantenimiento integral para: Impresora para placas radiográficas, marca Codonics, modelo Horizon Ci, serie 50C00404C;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</si>
  <si>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para cirugía, marca Haag-Streit Surgical, modelo Moller Wedel, serie 30155514;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</si>
  <si>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P</t>
  </si>
  <si>
    <t>Servicio de mantenimiento integral para: Equipo de rayos X móvil, marca Technix, modelo TMS 320, serie 80-16-79-150; ubicado en H.C.M.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</si>
  <si>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para cirugía, marca Haag-Streit Surgical, modelo HS Hi-R 700, serie 1303; ubicado en H.M.R.E. Monterrey, N.L.
Consistente en 1 evento de mantenimiento preventivo por semestre y todos los mantenimientos correctivos que se requieran para mantener, conservar y/o recuperar la operatividad del equipo al 100% durante el periodo de cobertura.</t>
  </si>
  <si>
    <t>TAMAULIPAS</t>
  </si>
  <si>
    <t>80-16-89-160</t>
  </si>
  <si>
    <t>H.M.R. Tampico</t>
  </si>
  <si>
    <t>Servicio de mantenimiento integral para: Equipo de rayos X móvil, marca Technix, modelo TMS 320, serie 80-16-89-160; ubicado en H.M.R. Tampico, Tamps.
Consistente en 1 evento de mantenimiento preventivo por semestre y todos los mantenimientos correctivos que se requieran para mantener, conservar y/o recuperar la operatividad del equipo al 100% durante el periodo de cobertura.</t>
  </si>
  <si>
    <t>80-16-90-161</t>
  </si>
  <si>
    <t>H.M.Z. El Vergel, Iztapalapa</t>
  </si>
  <si>
    <t>Servicio de mantenimiento integral para: Equipo de rayos X móvil, marca Technix, modelo TMS 320, serie 80-16-90-161; ubicado en H.M.Z. El Vergel, Iztapalapa, Cd. Méx.
Consistente en 1 evento de mantenimiento preventivo por semestre y todos los mantenimientos correctivos que se requieran para mantener, conservar y/o recuperar la operatividad del equipo al 100% durante el periodo de cobertura.</t>
  </si>
  <si>
    <t>80-16-95-166</t>
  </si>
  <si>
    <t>Servicio de mantenimiento integral para: Equipo de rayos X móvil, marca Technix, modelo TMS 320, serie 80-16-95-166; ubicado en H.M.Z. Zapopan, Jal.
Consistente en 1 evento de mantenimiento preventivo por semestre y todos los mantenimientos correctivos que se requieran para mantener, conservar y/o recuperar la operatividad del equipo al 100% durante el periodo de cobertura.</t>
  </si>
  <si>
    <t>80-16-105-176</t>
  </si>
  <si>
    <t>Servicio de mantenimiento integral para: Equipo de rayos X móvil, marca Technix, modelo TMS 320, serie 80-16-105-176; ubicado en H.M.Z. Temamatla, Edo. Méx.
Consistente en 1 evento de mantenimiento preventivo por semestre y todos los mantenimientos correctivos que se requieran para mantener, conservar y/o recuperar la operatividad del equipo al 100% durante el periodo de cobertura.</t>
  </si>
  <si>
    <t>80-16-104-175</t>
  </si>
  <si>
    <t>Servicio de mantenimiento integral para: Equipo de rayos X móvil, marca Technix, modelo TMS 320, serie 80-16-104-175;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</si>
  <si>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SONORA</t>
  </si>
  <si>
    <t>80-16-80-151</t>
  </si>
  <si>
    <t>H.M.R. Hermosillo</t>
  </si>
  <si>
    <t>Servicio de mantenimiento integral para: Equipo de rayos X móvil, marca Technix, modelo TMS 320, serie 80-16-80-151; ubicado en H.M.R. 
Hermosillo, Son.
Consistente en 1 evento de mantenimiento preventivo por semestre y todos los mantenimientos correctivos que se requieran para mantener, conservar y/o recuperar la operatividad del equipo al 100% durante el periodo de cobertura.</t>
  </si>
  <si>
    <t>80-16-102-173</t>
  </si>
  <si>
    <t>Servicio de mantenimiento integral para: Equipo de rayos X móvil, marca Technix, modelo TMS 320, serie 80-16-102-173;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</si>
  <si>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PS01209</t>
  </si>
  <si>
    <t>Servicio de mantenimiento integral para: Láser excimer, marca Bausch &amp; Lomb, modelo Zyoptix XP, serie PS01209;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</si>
  <si>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80-16-88-159</t>
  </si>
  <si>
    <t>Servicio de mantenimiento integral para: Equipo de rayos X móvil, marca Technix, modelo TMS 320, serie 80-16-88-159; ubicado en H.M.Z. Cuernavaca, Mor.
Consistente en 1 evento de mantenimiento preventivo por semestre y todos los mantenimientos correctivos que se requieran para mantener, conservar y/o recuperar la operatividad del equipo al 100% durante el periodo de cobertura.</t>
  </si>
  <si>
    <t>80-16-83-154</t>
  </si>
  <si>
    <t>H.M.Z. Mexicali</t>
  </si>
  <si>
    <t>Servicio de mantenimiento integral para: Equipo de rayos X móvil, marca Technix, modelo TMS 320, serie 80-16-83-154; ubicado en H.M.Z. Mexicali, B.C.
Consistente en 1 evento de mantenimiento preventivo por semestre y todos los mantenimientos correctivos que se requieran para mantener, conservar y/o recuperar la operatividad del equipo al 100% durante el periodo de cobertura.</t>
  </si>
  <si>
    <t>80-16-81-152</t>
  </si>
  <si>
    <t>H.M.R. El Ciprés</t>
  </si>
  <si>
    <t>Servicio de mantenimiento integral para: Equipo de rayos X móvil, marca Technix, modelo TMS 320, serie 80-16-81-152; ubicado en H.M.R. El Ciprés, B.C.
Consistente en 1 evento de mantenimiento preventivo por semestre y todos los mantenimientos correctivos que se requieran para mantener, conservar y/o recuperar la operatividad del equipo al 100% durante el periodo de cobertura.</t>
  </si>
  <si>
    <t>80-16-91-162</t>
  </si>
  <si>
    <t>Servicio de mantenimiento integral para: Equipo de rayos X móvil, marca Technix, modelo TMS 320, serie 80-16-91-162; ubicado en H.M.R.E. Guadalajara, Jal.
Consistente en 1 evento de mantenimiento preventivo por semestre y todos los mantenimientos correctivos que se requieran para mantener, conservar y/o recuperar la operatividad del equipo al 100% durante el periodo de cobertura.</t>
  </si>
  <si>
    <t>Impresora para placas radiográficas, marca Fujifilm, modelo Drypix Smart</t>
  </si>
  <si>
    <t>56728475</t>
  </si>
  <si>
    <t>Servicio de mantenimiento integral para: Impresora para placas radiográficas, marca Fujifilm, modelo Drypix Smart, serie 56728475;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</si>
  <si>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66131122</t>
  </si>
  <si>
    <t>Servicio de mantenimiento integral para: Impresora para placas radiográficas, marca Fujifilm, modelo Drypix Smart, serie 66131122;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</si>
  <si>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Heidelberg Engineering, modelo Spectralis, serie SPECT-KT-05789; ubicado en H.C.M. Lomas de Sotelo, Cd. Méx.
Consistente en 2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</si>
  <si>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digitalización de imágenes, marca SUNI, modelo SUNI, serie DI2014106149; ubicado en H.M.R.E. Monterrey, N.L.
Consistente en 1 evento de mantenimiento preventivo por semestre y todos los mantenimientos correctivos que se requieran para mantener, conservar y/o recuperar la operatividad del equipo al 100% durante el periodo de cobertura.</t>
  </si>
  <si>
    <t>10704</t>
  </si>
  <si>
    <t>Servicio de mantenimiento integral para: Arco en C, marca Ziehm Imaging, modelo Vision R, serie 10704; ubicado en H.M.Z. La Boticaría, Ver.
Consistente en 1 evento de mantenimiento preventivo por semestre y todos los mantenimientos correctivos que se requieran para mantener, conservar y/o recuperar la operatividad del equipo al 100% durante el periodo de cobertura.</t>
  </si>
  <si>
    <t>10703</t>
  </si>
  <si>
    <t>H.M.R. Chihuahua</t>
  </si>
  <si>
    <t>Servicio de mantenimiento integral para: Arco en C, marca Ziehm Imaging, modelo Vision R, serie 10703; ubicado en H.M.R. Chihuahua, Chih.
Consistente en 1 evento de mantenimiento preventivo por semestre y todos los mantenimientos correctivos que se requieran para mantener, conservar y/o recuperar la operatividad del equipo al 100% durante el periodo de cobertura.</t>
  </si>
  <si>
    <t>Topógrafo corneal , marca Bausch &amp; Lomb, modelo ORBSCAN lll</t>
  </si>
  <si>
    <t>50004019-0093</t>
  </si>
  <si>
    <t>Servicio de mantenimiento integral para: Topógrafo corneal , marca Bausch &amp; Lomb, modelo ORBSCAN lll, serie 50004019-0093;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</si>
  <si>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Láser oftálmico, marca LightMed Corporation, modelo LIGHTLas</t>
  </si>
  <si>
    <t>SC22-0487</t>
  </si>
  <si>
    <t>Servicio de mantenimiento integral para: Láser oftálmico, marca LightMed Corporation, modelo LIGHTLas, serie SC22-0487;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</si>
  <si>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para cirugía, marca Leica, modelo M844F40, serie 160516003; ubicado en H.M.R.E. Mérida, Yuc.
Consistente en 1 evento de mantenimiento preventivo por semestre y todos los mantenimientos correctivos que se requieran para mantener, conservar y/o recuperar la operatividad del equipo al 100% durante el periodo de cobertura.</t>
  </si>
  <si>
    <t>Ultrasonido modo A-B, marca Quantel Medical, modelo Aviso</t>
  </si>
  <si>
    <t>3640</t>
  </si>
  <si>
    <t>Servicio de mantenimiento integral para: Ultrasonido modo A-B, marca Quantel Medical, modelo Aviso, serie 3640;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</si>
  <si>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Ultrasonido modo A-B y UBM, marca Quantel Medical, modelo Compact Touch</t>
  </si>
  <si>
    <t>2746</t>
  </si>
  <si>
    <t>Servicio de mantenimiento integral para: Ultrasonido modo A-B y UBM, marca Quantel Medical, modelo Compact Touch, serie 2746;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</si>
  <si>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Cámara de Scheimpflug, marca Oculus, modelo Pentacam HR, serie 64835160;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</si>
  <si>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Unidad de banco de ojos, marca Varios, modelo Varios, serie Varios;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</si>
  <si>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Impresora para placas radiográficas, marca Codonics, modelo Horizon Ci, serie 50C00394C;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</si>
  <si>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digitalización de imágenes, marca Fujifilm, modelo Digitalizador: FCR Capsula XLII (CR-IR 359) Impresora: Drypix Plus, serie Digitalizador: 46770610 Impresora: 36753809 ; ubicado en H.M.Z. La Boticaría, Ver.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</si>
  <si>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Ultrasonido oftálmico, marca OPTIKON, modelo HiScan, serie 387BC; ubicado en H.M.Z. La Boticaría, Ver.
Consistente en 1 evento de mantenimiento preventivo por semestre y todos los mantenimientos correctivos que se requieran para mantener, conservar y/o recuperar la operatividad del equipo al 100% durante el periodo de cobertura.</t>
  </si>
  <si>
    <t>OPTIKON</t>
  </si>
  <si>
    <t>Rayos X móvil, marca Shimadzu, modelo MobileArt Evolution</t>
  </si>
  <si>
    <t>41000333B017</t>
  </si>
  <si>
    <t>H.M.R. Chilpancingo</t>
  </si>
  <si>
    <t>Servicio de mantenimiento integral para: Rayos X móvil, marca Shimadzu, modelo MobileArt Evolution, serie 41000333B017; ubicado en H.M.R. Chilpancingo, Gro .
Consistente en 1 evento de mantenimiento preventivo por semestre y todos los mantenimientos correctivos que se requieran para mantener, conservar y/o recuperar la operatividad del equipo al 100% durante el periodo de cobertura.</t>
  </si>
  <si>
    <t>ZACATECAS</t>
  </si>
  <si>
    <t>80-16-86-157</t>
  </si>
  <si>
    <t>H.M.Z. Guadalupe</t>
  </si>
  <si>
    <t>Servicio de mantenimiento integral para: Equipo de rayos X móvil, marca Technix, modelo TMS 320, serie 80-16-86-157; ubicado en H.M.Z. Guadalupe, Zac.
Consistente en 1 evento de mantenimiento preventivo por semestre y todos los mantenimientos correctivos que se requieran para mantener, conservar y/o recuperar la operatividad del equipo al 100% durante el periodo de cobertura.</t>
  </si>
  <si>
    <t>Digitalizador: 37240106 Impresora: 36653761</t>
  </si>
  <si>
    <t>Servicio de mantenimiento integral para: Sistema de digitalización de imágenes, marca Fujifilm, modelo Digitalizador: FCR Capsula XLII (CR-IR 359) Impresora: Drypix 4000, serie Digitalizador: 37240106 Impresora: 36653761; ubicado en H.M.R. Chihuahua, Chih.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</si>
  <si>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digitalización de imágenes, marca Fujifilm, modelo Digitalizador: FCR Capsula XLII (CR-IR 359) Impresora: Drypix 4000, serie Digitalizador: 46370281 Impresora: 36753805; ubicado en H.M.Z. Temamatla, Edo.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</si>
  <si>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Impresora para placas radiográficas, marca Konica Minolta, modelo DryPro 873, serie 0992-50128; ubicado en H.M.Z. Temamatla, Edo. Méx.
Consistente en 1 evento de mantenimiento preventivo por semestre y todos los mantenimientos correctivos que se requieran para mantener, conservar y/o recuperar la operatividad del equipo al 100% durante el periodo de cobertura.</t>
  </si>
  <si>
    <t>GUANAJUATO</t>
  </si>
  <si>
    <t>80-16-85-156</t>
  </si>
  <si>
    <t>H.M.R., Irapuato</t>
  </si>
  <si>
    <t>Servicio de mantenimiento integral para: Equipo de rayos X móvil, marca Technix, modelo TMS 320, serie 80-16-85-156; ubicado en H.M.R., Irapuato, Gto..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</si>
  <si>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digitalización de imágenes, marca Fujifilm, modelo Digitalizador: FCR Capsula XLII (CR-IR 359) Impresora: Drypix 4000, serie Digitalizador: 46770614 Impresora: 36653758 ; ubicado en H.M.Z. Cuernavaca, Mor.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</si>
  <si>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Digitalizador de placas radiográficas, marca Fujifilm, modelo CR-IR359, serie 46270262; ubicado en H.M.R. Acapulco, Gro.
Consistente en 1 evento de mantenimiento preventivo por semestre y todos los mantenimientos correctivos que se requieran para mantener, conservar y/o recuperar la operatividad del equipo al 100% durante el periodo de cobertura.</t>
  </si>
  <si>
    <t>Rayos X móvil, marca Listem, modelo MOBIX-1000</t>
  </si>
  <si>
    <t>10 0155</t>
  </si>
  <si>
    <t>H.M.Z. Santa María Rayón</t>
  </si>
  <si>
    <t>Servicio de mantenimiento integral para: Rayos X móvil, marca Listem, modelo MOBIX-1000, serie 10 0155; ubicado en H.M.Z. Santa María Rayón, Edo.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</si>
  <si>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Fotocoagulador láser , marca Meridian AG, modelo SLA-UNI, serie 0069;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</si>
  <si>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oftálmico, marca Alcon, modelo 3000LE, serie 5342LX;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</si>
  <si>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excimer, marca Bausch &amp; Lomb, modelo Zyoptix XP, serie 2805;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</si>
  <si>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Láser de fotocoagulación oftálmico, marca Carl Zeiss, modelo Visulas 532s</t>
  </si>
  <si>
    <t>936471</t>
  </si>
  <si>
    <t>Servicio de mantenimiento integral para: Láser de fotocoagulación oftálmico, marca Carl Zeiss, modelo Visulas 532s, serie 936471; ubicado en H.M.R.E. Guadalajara, Jal.
Consistente en 1 evento de mantenimiento preventivo por semestre y todos los mantenimientos correctivos que se requieran para mantener, conservar y/o recuperar la operatividad del equipo al 100% durante el periodo de cobertura.</t>
  </si>
  <si>
    <t>ZEISS</t>
  </si>
  <si>
    <t>Topógrafo corneal, marca Bausch &amp; Lomb, modelo Orbscan II-Z</t>
  </si>
  <si>
    <t>06061672 Z</t>
  </si>
  <si>
    <t>Servicio de mantenimiento integral para: Topógrafo corneal, marca Bausch &amp; Lomb, modelo Orbscan II-Z, serie 06061672 Z; ubicado en H.M.R.E. Guadalajara, Jal.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</si>
  <si>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excimer, marca Bausch &amp; Lomb, modelo Zyoptix XP, serie XL500322;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</si>
  <si>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especular, marca Konan, modelo CellChek XL NSP9900, serie NPA-3-1816;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</si>
  <si>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TECHNOMIX</t>
  </si>
  <si>
    <t>Láser excimer, marca WaveLight, modelo Allegretto</t>
  </si>
  <si>
    <t>1010-2-382</t>
  </si>
  <si>
    <t>Servicio de mantenimiento integral para: Láser excimer, marca WaveLight, modelo Allegretto, serie 1010-2-382;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</si>
  <si>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digitalización de imágenes, marca Fujifilm, modelo Digitalizador: FCR Capsula XLII (CR-IR 359) , serie 46770608; ubicado en H.M.Z. Chetumal, Q. Roo.
Consistente en 1 evento de mantenimiento preventivo por semestre y todos los mantenimientos correctivos que se requieran para mantener, conservar y/o recuperar la operatividad del equipo al 100% durante el periodo de cobertura.</t>
  </si>
  <si>
    <t>Rayos X fijo, marca Osko, modelo XR5</t>
  </si>
  <si>
    <t>XRC1094990MX</t>
  </si>
  <si>
    <t>Servicio de mantenimiento integral para: Rayos X fijo, marca Osko, modelo XR5, serie XRC1094990MX;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</si>
  <si>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XRC1095095MX</t>
  </si>
  <si>
    <t>Servicio de mantenimiento integral para: Rayos X fijo, marca Osko, modelo XR5, serie XRC1095095MX;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</si>
  <si>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XRC1094988MX</t>
  </si>
  <si>
    <t>Servicio de mantenimiento integral para: Rayos X fijo, marca Osko, modelo XR5, serie XRC1094988MX;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</si>
  <si>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Impresora para placas radiográficas, marca Fujifilm, modelo Drypix 8000, serie 17130510;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</si>
  <si>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Impresora para placas radiográficas, marca Fujifilm, modelo Drypix 8000, serie 17130513;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</si>
  <si>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Impresora para placas radiográficas, marca Fujifilm, modelo Drypix 8000, serie 17130554;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</si>
  <si>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Cámara de Scheimpflug, marca Oculus, modelo Pentacam HR, serie 70900 2455 1210; ubicado en Subcentro de Evaluación Médica, Campo Militar 1-A, Cd. México.
Consistente en 1 evento de mantenimiento preventivo por semestre y todos los mantenimientos correctivos que se requieran para mantener, conservar y/o recuperar la operatividad del equipo al 100% durante el periodo de cobertura.</t>
  </si>
  <si>
    <t>80-16-82-153</t>
  </si>
  <si>
    <t>Servicio de mantenimiento integral para: Equipo de rayos X móvil, marca Technix, modelo TMS 320, serie 80-16-82-153; ubicado en H.M.R. La Paz, B.C.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</si>
  <si>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Fotocoagulador láser , marca Quantel Medical, modelo Supra Scan, serie 454; ubicado en H.M.R. La Paz, B.C.
Consistente en 1 evento de mantenimiento preventivo por semestre y todos los mantenimientos correctivos que se requieran para mantener, conservar y/o recuperar la operatividad del equipo al 100% durante el periodo de cobertura.</t>
  </si>
  <si>
    <t>14-11-1038</t>
  </si>
  <si>
    <t>Servicio de mantenimiento integral para: Rayos X móvil, marca Villa Sistemi Medicali, modelo Visitor T30 M-DR, serie 14-11-1038;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</si>
  <si>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PUEBLA</t>
  </si>
  <si>
    <t>80-16-101-172</t>
  </si>
  <si>
    <t>H.M.R. Puebla</t>
  </si>
  <si>
    <t>Servicio de mantenimiento integral para: Equipo de rayos X móvil, marca Technix, modelo TMS 320, serie 80-16-101-172; ubicado en H.M.R. Puebla, Pue.
Consistente en 1 evento de mantenimiento preventivo por semestre y todos los mantenimientos correctivos que se requieran para mantener, conservar y/o recuperar la operatividad del equipo al 100% durante el periodo de cobertura.</t>
  </si>
  <si>
    <t>Equipo de rayos X móvil, marca Mindray, modelo MobiEye 700</t>
  </si>
  <si>
    <t>C8-05002378T</t>
  </si>
  <si>
    <t>Servicio de mantenimiento integral para: Equipo de rayos X móvil, marca Mindray, modelo MobiEye 700, serie C8-05002378T; ubicado en H.M.R. Puebla, Pue.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</si>
  <si>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Arco en C, marca Ziehm Imaging, modelo Vision R, serie 10705; ubicado en H.M.Z. Campo Militar No. 1-A, Cd. de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</si>
  <si>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 quirúrgico oftalmológico, marca Leica, modelo M822 F40, serie 160219002; ubicado en H.M.Z. Zapopan, Jal.
Consistente en 1 evento de mantenimiento preventivo por semestre y todos los mantenimientos correctivos que se requieran para mantener, conservar y/o recuperar la operatividad del equipo al 100% durante el periodo de cobertura.</t>
  </si>
  <si>
    <t>Rayos X móvil, marca Philips, modelo MobileDiagnost wDR Release 2</t>
  </si>
  <si>
    <t>15100252</t>
  </si>
  <si>
    <t>Servicio de mantenimiento integral para: Rayos X móvil, marca Philips, modelo MobileDiagnost wDR Release 2, serie 15100252; ubicado en H.M.E.M. Y N. Lomas de Sotelo, Cd. Méx.
Consistente en 1 evento de mantenimiento preventivo por semestre y todos los mantenimientos correctivos que se requieran para mantener, conservar y/o recuperar la operatividad del equipo al 100% durante el periodo de cobertura.</t>
  </si>
  <si>
    <t>16200158</t>
  </si>
  <si>
    <t>Servicio de mantenimiento integral para: Rayos X móvil, marca Philips, modelo MobileDiagnost wDR Release 2, serie 16200158; ubicado en H.M.R.E. Monterrey, N.L.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</si>
  <si>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Láser de femtosegundo, marca Alcon, modelo LenSx, serie 2102004501X;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</si>
  <si>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Sistema de diagnóstico oftálmico avanzado, marca Nidek, modelo OPD-Scan III, serie 470023; ubicado en H.M.E.O. Constituyentes, Cd. Méx.
Consistente en 1 evento de mantenimiento preventivo por semestre y todos los mantenimientos correctivos que se requieran para mantener, conservar y/o recuperar la operatividad del equipo al 100% durante el periodo de cobertura.</t>
  </si>
  <si>
    <t>Rayos X portátil, marca Carestream, modelo DRX Revolution</t>
  </si>
  <si>
    <t>21F0363</t>
  </si>
  <si>
    <t>U.M.C.E. Tlalpan</t>
  </si>
  <si>
    <t>Servicio de mantenimiento integral para: Rayos X portátil, marca Carestream, modelo DRX Revolution, serie 21F0363; ubicado en U.M.C.E. Tlalpan, Cd. Méx.
Consistente en 1 evento de mantenimiento preventivo por semestre y todos los mantenimientos correctivos que se requieran para mantener, conservar y/o recuperar la operatividad del equipo al 100% durante el periodo de cobertura.</t>
  </si>
  <si>
    <t>MM00296</t>
  </si>
  <si>
    <t>U.M.C.E. Reynosa</t>
  </si>
  <si>
    <t>Servicio de mantenimiento integral para: Rayos X portátil, marca Carestream, modelo DRX Revolution, serie MM00296; ubicado en U.M.C.E. Reynosa, Tamps.
Consistente en 1 evento de mantenimiento preventivo por semestre y todos los mantenimientos correctivos que se requieran para mantener, conservar y/o recuperar la operatividad del equipo al 100% durante el periodo de cobertura.</t>
  </si>
  <si>
    <t>Sistema de digitalización de imágenes, marca Carestream, modelo Digitalizador: Direct</t>
  </si>
  <si>
    <t>Pendiente</t>
  </si>
  <si>
    <t>Servicio de mantenimiento integral para: Sistema de digitalización de imágenes, marca Carestream, modelo Digitalizador: Direct, serie Pendiente; ubicado en H.M.Z. Ixcotel, Oax.
Consistente en 1 evento de mantenimiento preventivo por semestre y todos los mantenimientos correctivos que se requieran para mantener, conservar y/o recuperar la operatividad del equipo al 100% durante el periodo de cobertura.</t>
  </si>
  <si>
    <t>Microscopio, marca Carl Zeiss, modelo OPMI</t>
  </si>
  <si>
    <t>6628503641</t>
  </si>
  <si>
    <t>Servicio de mantenimiento integral para: Microscopio, marca Carl Zeiss, modelo OPMI, serie 6628503641; ubicado en H.M.R.E. Mazatlán, Sin.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</si>
  <si>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Topógrafo corneal, marca Zeiss, modelo Atlas 9000, serie 9000-2972; ubicado en H.M.R.E. Monterrey, N.L.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</si>
  <si>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Microscopio, marca Carl Zeiss, modelo OPMI Visu 160, serie 6213404030; ubicado en H.M.R.E. Guadalajara, Jal.
Consistente en 1 evento de mantenimiento preventivo por semestre y todos los mantenimientos correctivos que se requieran para mantener, conservar y/o recuperar la operatividad del equipo al 100% durante el periodo de cobertura.</t>
  </si>
  <si>
    <t>Campímetro, marca Carl Zeiss, modelo Humphrey 750</t>
  </si>
  <si>
    <t>11974</t>
  </si>
  <si>
    <t>Servicio de mantenimiento integral para: Campímetro, marca Carl Zeiss, modelo Humphrey 750, serie 11974; ubicado en H.M.R. Santa Lucía, Edo. Méx.
Consistente en 1 evento de mantenimiento preventivo por semestre y todos los mantenimientos correctivos que se requieran para mantener, conservar y/o recuperar la operatividad del equipo al 100% durante el periodo de cobertura.</t>
  </si>
  <si>
    <t>Campímetro, marca Carl Zeiss Meditec, modelo Humphrey Matrix 800</t>
  </si>
  <si>
    <t>56000002990</t>
  </si>
  <si>
    <t>Servicio de mantenimiento integral para: Campímetro, marca Carl Zeiss Meditec, modelo Humphrey Matrix 800, serie 56000002990;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</si>
  <si>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Microscopio , marca Carl Zeiss, modelo OPMI Visu 160</t>
  </si>
  <si>
    <t>6629120864</t>
  </si>
  <si>
    <t>Servicio de mantenimiento integral para: Microscopio , marca Carl Zeiss, modelo OPMI Visu 160, serie 6629120864; ubicado en H.M.R. Tuxtla Gutiérrez, Chis.
Consistente en 1 evento de mantenimiento preventivo por semestre y todos los mantenimientos correctivos que se requieran para mantener, conservar y/o recuperar la operatividad del equipo al 100% durante el periodo de cobertura.</t>
  </si>
  <si>
    <t>Microscopio, marca Carl Zeiss, modelo OPMI Visu 210</t>
  </si>
  <si>
    <t>662950</t>
  </si>
  <si>
    <t>Servicio de mantenimiento integral para: Microscopio, marca Carl Zeiss, modelo OPMI Visu 210, serie 662950; ubicado en H.M.R. La Paz, B.C.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</si>
  <si>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Campímetro, marca Carl Zeiss Meditec, modelo Humphrey 740I, serie 740I-14200; ubicado en H.M.Z. Villahermosa, Tab.
Consistente en 1 evento de mantenimiento preventivo por semestre y todos los mantenimientos correctivos que se requieran para mantener, conservar y/o recuperar la operatividad del equipo al 100% durante el periodo de cobertura.</t>
  </si>
  <si>
    <t>Servicio de mantenimiento integral para: Equipo de rayos X móvil, marca Primax, modelo Raybow dR, serie 10076715; ubicado en H.M.Z. Santa Gertrudis, Chih.
Consistente en 1 evento de mantenimiento preventivo por semestre y todos los mantenimientos correctivos que se requieran para mantener, conservar y/o recuperar la operatividad del equipo al 100% durante el periodo de cobertura.</t>
  </si>
  <si>
    <t>BAJA CALIFORNIA SUR</t>
  </si>
  <si>
    <t>Equipo de rayos X móvil, marca Primax Internacional, modelo Raybow dR</t>
  </si>
  <si>
    <t>10106715</t>
  </si>
  <si>
    <t>H.M.Z. Guerrero Negro</t>
  </si>
  <si>
    <t>Servicio de mantenimiento integral para: Equipo de rayos X móvil, marca Primax Internacional, modelo Raybow dR, serie 10106715; ubicado en H.M.Z. Guerrero Negro, B.C.S..
Consistente en 1 evento de mantenimiento preventivo por semestre y todos los mantenimientos correctivos que se requieran para mantener, conservar y/o recuperar la operatividad del equipo al 100% durante el periodo de cobertura.</t>
  </si>
  <si>
    <t>10116715</t>
  </si>
  <si>
    <t>Servicio de mantenimiento integral para: Equipo de rayos X móvil, marca Primax, modelo Raybow dR, serie 10116715; ubicado en U.M.C.E. Reynosa, Tamps.
Consistente en 1 evento de mantenimiento preventivo por semestre y todos los mantenimientos correctivos que se requieran para mantener, conservar y/o recuperar la operatividad del equipo al 100% durante el periodo de cobertura.</t>
  </si>
  <si>
    <t>Las condiciones de entrega son conforme a lo especificado en el "Anexo administrativo".</t>
  </si>
  <si>
    <t>Los bienes requeridos son conforme a lo especificado en los anexos "Consolidado de necesidades",  "Anexos técnicos" y  "Anexo administrativo".</t>
  </si>
  <si>
    <t>El porcentaje de garantia de cumplimiento será del 10%.</t>
  </si>
  <si>
    <t>El lugar  de entrega:  será en las instalaciones de los diferentes escalones sanitarios donde se encuentran instalados los equipos médicos conforme al anexo "Consolidado de necesidades" y "Lugares de prestación de servicios".</t>
  </si>
  <si>
    <t>La garantías que debe entregar: de calidad, de cumplimiento y de responsabilidad civil, serán conforme a lo especificado en el "Anexo administrativo".</t>
  </si>
  <si>
    <t>El precio será fijo y definitivo desde el momento del fallo y durante la vigencia del contrato.</t>
  </si>
  <si>
    <t>El precio está moneda nacional.</t>
  </si>
  <si>
    <t>La forma y condiciones de pago será de acuerdo a lo especificado en el "Anexo administrativo".</t>
  </si>
  <si>
    <t>Esta cotización tiene vigencia hasta el 30 Jun. 2026.</t>
  </si>
  <si>
    <t xml:space="preserve">
MEDICAL DIMEGAR S.A. DE C.V. </t>
  </si>
  <si>
    <t>Precio Ofertado</t>
  </si>
  <si>
    <t>ADJUDICADO</t>
  </si>
  <si>
    <t>1ER 2027</t>
  </si>
  <si>
    <t>2DO 2027</t>
  </si>
  <si>
    <t>NO ADJUDICADO</t>
  </si>
  <si>
    <t>Cantidad (2026)</t>
  </si>
  <si>
    <t>Cantidad (2027)</t>
  </si>
  <si>
    <t>Fecha Programada (Octubre 2026)</t>
  </si>
  <si>
    <t>Equipos</t>
  </si>
  <si>
    <t>TOTAL</t>
  </si>
  <si>
    <t xml:space="preserve">★★★ COLCHÓN DOCUMENTAL ★★★
</t>
  </si>
  <si>
    <t>SUBTOTAL COSTO</t>
  </si>
  <si>
    <t>IVA</t>
  </si>
  <si>
    <t>SUBTOTAL INGRESO</t>
  </si>
  <si>
    <t>TOTAL COSTO</t>
  </si>
  <si>
    <t>TOTAL INGRESO</t>
  </si>
  <si>
    <t>UTILIDAD NETA ESPERADA</t>
  </si>
  <si>
    <t>VARIOS</t>
  </si>
  <si>
    <t xml:space="preserve">Jorge </t>
  </si>
  <si>
    <t>Axel</t>
  </si>
  <si>
    <t>Fer/Merida</t>
  </si>
  <si>
    <t>Guadalajara</t>
  </si>
  <si>
    <t xml:space="preserve">Guanajuato </t>
  </si>
  <si>
    <t xml:space="preserve">Sophia y Jose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</si>
</sst>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ova"/>
      <family val="2"/>
    </font>
    <font>
      <sz val="12"/>
      <color theme="1"/>
      <name val="Arial Nova"/>
      <family val="2"/>
    </font>
    <font>
      <sz val="12"/>
      <color theme="0"/>
      <name val="Arial Nova"/>
      <family val="2"/>
    </font>
    <font>
      <b/>
      <sz val="12"/>
      <color rgb="FF000000"/>
      <name val="Arial Nova"/>
      <family val="2"/>
    </font>
    <font>
      <sz val="12"/>
      <color rgb="FF000000"/>
      <name val="Arial Nova"/>
      <family val="2"/>
    </font>
    <font>
      <sz val="12"/>
      <name val="Arial Nova"/>
      <family val="2"/>
    </font>
    <font>
      <sz val="12"/>
      <color indexed="8"/>
      <name val="Arial Nova"/>
      <family val="2"/>
    </font>
    <font>
      <b/>
      <u/>
      <sz val="20"/>
      <color rgb="FF000000"/>
      <name val="Arial Nova"/>
      <family val="2"/>
    </font>
    <font>
      <b/>
      <sz val="12"/>
      <color rgb="FF000000"/>
      <name val="Arial Nova"/>
    </font>
    <font>
      <sz val="12"/>
      <name val="Arial Nova"/>
    </font>
    <font>
      <b/>
      <sz val="11"/>
      <color rgb="FFFFFFFF"/>
      <name val="Arial Nova"/>
    </font>
    <font>
      <sz val="10"/>
      <name val="Arial Nova"/>
    </font>
    <font>
      <b/>
      <sz val="10"/>
      <name val="Arial Nova"/>
    </font>
    <font>
      <b/>
      <sz val="14"/>
      <color rgb="FFFFFFFF"/>
      <name val="Arial Nova"/>
    </font>
    <font>
      <i/>
      <sz val="10"/>
      <color rgb="FFFFFFFF"/>
      <name val="Arial Nova"/>
    </font>
    <font>
      <b/>
      <sz val="9"/>
      <name val="Arial Nova"/>
    </font>
    <font>
      <sz val="9"/>
      <name val="Arial Nova"/>
    </font>
    <font>
      <b/>
      <sz val="11"/>
      <color rgb="FFB25900"/>
      <name val="Arial Nova"/>
    </font>
    <font>
      <i/>
      <sz val="9"/>
      <color rgb="FF7F6000"/>
      <name val="Arial Nova"/>
    </font>
    <font>
      <b/>
      <sz val="10"/>
      <color rgb="FFFFFFFF"/>
      <name val="Arial Nova"/>
    </font>
    <font>
      <b/>
      <sz val="16"/>
      <color theme="1"/>
      <name val="Arial Nova"/>
      <family val="2"/>
    </font>
    <font>
      <sz val="10"/>
      <name val="Arial Nova"/>
      <family val="2"/>
    </font>
  </fonts>
  <fills count="3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190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2F5597"/>
        <bgColor rgb="FF2F5597"/>
      </patternFill>
    </fill>
    <fill>
      <patternFill patternType="solid">
        <fgColor rgb="FF203764"/>
        <bgColor rgb="FF203764"/>
      </patternFill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7"/>
        <bgColor rgb="FFF2F4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66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vertical="top" wrapText="1"/>
    </xf>
    <xf numFmtId="49" fontId="5" fillId="2" borderId="2" xfId="0" applyNumberFormat="1" applyFont="1" applyFill="1" applyBorder="1" applyAlignment="1">
      <alignment vertical="top" wrapText="1"/>
    </xf>
    <xf numFmtId="49" fontId="5" fillId="2" borderId="2" xfId="0" applyNumberFormat="1" applyFont="1" applyFill="1" applyBorder="1" applyAlignment="1">
      <alignment horizontal="center" vertical="top" wrapText="1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center"/>
    </xf>
    <xf numFmtId="49" fontId="5" fillId="2" borderId="4" xfId="0" applyNumberFormat="1" applyFont="1" applyFill="1" applyBorder="1" applyAlignment="1">
      <alignment horizontal="center" wrapText="1"/>
    </xf>
    <xf numFmtId="49" fontId="5" fillId="2" borderId="5" xfId="0" applyNumberFormat="1" applyFont="1" applyFill="1" applyBorder="1" applyAlignment="1">
      <alignment horizontal="center" wrapText="1"/>
    </xf>
    <xf numFmtId="49" fontId="5" fillId="2" borderId="6" xfId="0" applyNumberFormat="1" applyFont="1" applyFill="1" applyBorder="1" applyAlignment="1">
      <alignment horizontal="center" wrapText="1"/>
    </xf>
    <xf numFmtId="49" fontId="5" fillId="2" borderId="7" xfId="0" applyNumberFormat="1" applyFont="1" applyFill="1" applyBorder="1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5" fillId="2" borderId="5" xfId="0" applyNumberFormat="1" applyFont="1" applyFill="1" applyBorder="1" applyAlignment="1">
      <alignment horizontal="center" vertical="distributed" wrapText="1"/>
    </xf>
    <xf numFmtId="49" fontId="5" fillId="2" borderId="5" xfId="0" applyNumberFormat="1" applyFont="1" applyFill="1" applyBorder="1" applyAlignment="1">
      <alignment vertical="center" wrapText="1"/>
    </xf>
    <xf numFmtId="49" fontId="5" fillId="2" borderId="4" xfId="0" applyNumberFormat="1" applyFont="1" applyFill="1" applyBorder="1" applyAlignment="1">
      <alignment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4" borderId="0" xfId="0" applyFont="1" applyFill="1" applyAlignment="1">
      <alignment vertical="center"/>
    </xf>
    <xf numFmtId="0" fontId="3" fillId="0" borderId="8" xfId="0" applyFont="1" applyBorder="1" applyAlignment="1">
      <alignment horizontal="center" vertical="center"/>
    </xf>
    <xf numFmtId="44" fontId="2" fillId="0" borderId="8" xfId="0" applyNumberFormat="1" applyFont="1" applyBorder="1" applyAlignment="1">
      <alignment vertical="center"/>
    </xf>
    <xf numFmtId="0" fontId="3" fillId="0" borderId="0" xfId="0" applyFont="1"/>
    <xf numFmtId="0" fontId="3" fillId="0" borderId="0" xfId="0" quotePrefix="1" applyFont="1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justify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44" fontId="5" fillId="5" borderId="8" xfId="0" applyNumberFormat="1" applyFont="1" applyFill="1" applyBorder="1" applyAlignment="1">
      <alignment horizontal="center" vertical="center" wrapText="1"/>
    </xf>
    <xf numFmtId="49" fontId="5" fillId="5" borderId="8" xfId="0" applyNumberFormat="1" applyFont="1" applyFill="1" applyBorder="1" applyAlignment="1">
      <alignment horizontal="left"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49" fontId="5" fillId="5" borderId="9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 wrapText="1"/>
    </xf>
    <xf numFmtId="44" fontId="5" fillId="6" borderId="8" xfId="0" applyNumberFormat="1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justify" vertical="center" wrapText="1"/>
    </xf>
    <xf numFmtId="49" fontId="5" fillId="7" borderId="3" xfId="0" applyNumberFormat="1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/>
    </xf>
    <xf numFmtId="49" fontId="7" fillId="7" borderId="8" xfId="0" applyNumberFormat="1" applyFont="1" applyFill="1" applyBorder="1" applyAlignment="1">
      <alignment horizontal="center" vertical="center"/>
    </xf>
    <xf numFmtId="49" fontId="5" fillId="7" borderId="8" xfId="0" applyNumberFormat="1" applyFont="1" applyFill="1" applyBorder="1" applyAlignment="1">
      <alignment horizontal="center" vertical="center" wrapText="1"/>
    </xf>
    <xf numFmtId="44" fontId="5" fillId="7" borderId="8" xfId="0" applyNumberFormat="1" applyFont="1" applyFill="1" applyBorder="1" applyAlignment="1">
      <alignment horizontal="center" vertical="center" wrapText="1"/>
    </xf>
    <xf numFmtId="49" fontId="5" fillId="7" borderId="8" xfId="0" applyNumberFormat="1" applyFont="1" applyFill="1" applyBorder="1" applyAlignment="1">
      <alignment horizontal="left" vertical="center" wrapText="1"/>
    </xf>
    <xf numFmtId="49" fontId="5" fillId="7" borderId="9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justify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justify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44" fontId="5" fillId="9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5" borderId="8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center" vertical="center"/>
    </xf>
    <xf numFmtId="1" fontId="11" fillId="0" borderId="13" xfId="0" applyNumberFormat="1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44" fontId="5" fillId="11" borderId="8" xfId="0" applyNumberFormat="1" applyFont="1" applyFill="1" applyBorder="1" applyAlignment="1">
      <alignment horizontal="center" vertical="center" wrapText="1"/>
    </xf>
    <xf numFmtId="49" fontId="5" fillId="11" borderId="8" xfId="0" applyNumberFormat="1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49" fontId="7" fillId="11" borderId="8" xfId="0" applyNumberFormat="1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49" fontId="2" fillId="11" borderId="8" xfId="0" applyNumberFormat="1" applyFont="1" applyFill="1" applyBorder="1" applyAlignment="1">
      <alignment horizontal="center" vertical="center" wrapText="1"/>
    </xf>
    <xf numFmtId="0" fontId="11" fillId="11" borderId="8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top"/>
    </xf>
    <xf numFmtId="0" fontId="6" fillId="11" borderId="8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1" fontId="11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14" borderId="8" xfId="0" applyFont="1" applyFill="1" applyBorder="1" applyAlignment="1">
      <alignment horizontal="center" vertical="center"/>
    </xf>
    <xf numFmtId="0" fontId="13" fillId="14" borderId="8" xfId="0" applyFont="1" applyFill="1" applyBorder="1" applyAlignment="1">
      <alignment horizontal="left" vertical="center" wrapText="1"/>
    </xf>
    <xf numFmtId="0" fontId="17" fillId="19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 wrapText="1"/>
    </xf>
    <xf numFmtId="0" fontId="19" fillId="20" borderId="16" xfId="0" applyFont="1" applyFill="1" applyBorder="1" applyAlignment="1">
      <alignment horizontal="center" vertical="center"/>
    </xf>
    <xf numFmtId="0" fontId="20" fillId="20" borderId="16" xfId="0" applyFont="1" applyFill="1" applyBorder="1" applyAlignment="1">
      <alignment horizontal="left" vertical="center" wrapText="1"/>
    </xf>
    <xf numFmtId="0" fontId="21" fillId="17" borderId="16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1" fontId="11" fillId="0" borderId="12" xfId="0" applyNumberFormat="1" applyFont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3" fillId="11" borderId="8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 wrapText="1"/>
    </xf>
    <xf numFmtId="0" fontId="18" fillId="21" borderId="17" xfId="0" applyFont="1" applyFill="1" applyBorder="1" applyAlignment="1">
      <alignment horizontal="center" vertical="center"/>
    </xf>
    <xf numFmtId="0" fontId="18" fillId="21" borderId="17" xfId="0" applyFont="1" applyFill="1" applyBorder="1" applyAlignment="1">
      <alignment horizontal="left" vertical="center"/>
    </xf>
    <xf numFmtId="0" fontId="18" fillId="21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44" fontId="5" fillId="6" borderId="9" xfId="0" applyNumberFormat="1" applyFont="1" applyFill="1" applyBorder="1" applyAlignment="1">
      <alignment horizontal="center" vertical="center" wrapText="1"/>
    </xf>
    <xf numFmtId="44" fontId="2" fillId="0" borderId="9" xfId="0" applyNumberFormat="1" applyFont="1" applyBorder="1" applyAlignment="1">
      <alignment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44" fontId="5" fillId="0" borderId="8" xfId="0" applyNumberFormat="1" applyFont="1" applyBorder="1" applyAlignment="1">
      <alignment horizontal="center" vertical="center" wrapText="1"/>
    </xf>
    <xf numFmtId="44" fontId="5" fillId="22" borderId="1" xfId="0" applyNumberFormat="1" applyFont="1" applyFill="1" applyBorder="1" applyAlignment="1">
      <alignment horizontal="center" vertical="center" wrapText="1"/>
    </xf>
    <xf numFmtId="44" fontId="5" fillId="11" borderId="9" xfId="0" applyNumberFormat="1" applyFont="1" applyFill="1" applyBorder="1" applyAlignment="1">
      <alignment horizontal="center" vertical="center" wrapText="1"/>
    </xf>
    <xf numFmtId="44" fontId="5" fillId="23" borderId="23" xfId="0" applyNumberFormat="1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44" fontId="5" fillId="24" borderId="1" xfId="0" applyNumberFormat="1" applyFont="1" applyFill="1" applyBorder="1" applyAlignment="1">
      <alignment horizontal="center" vertical="center" wrapText="1"/>
    </xf>
    <xf numFmtId="44" fontId="5" fillId="0" borderId="3" xfId="0" applyNumberFormat="1" applyFont="1" applyBorder="1" applyAlignment="1">
      <alignment horizontal="center" vertical="center" wrapText="1"/>
    </xf>
    <xf numFmtId="44" fontId="5" fillId="25" borderId="23" xfId="0" applyNumberFormat="1" applyFont="1" applyFill="1" applyBorder="1" applyAlignment="1">
      <alignment horizontal="center" vertical="center" wrapText="1"/>
    </xf>
    <xf numFmtId="44" fontId="3" fillId="0" borderId="0" xfId="0" applyNumberFormat="1" applyFont="1" applyAlignment="1">
      <alignment vertical="center"/>
    </xf>
    <xf numFmtId="9" fontId="3" fillId="0" borderId="0" xfId="2" applyFont="1" applyAlignment="1">
      <alignment vertical="center"/>
    </xf>
    <xf numFmtId="0" fontId="22" fillId="7" borderId="20" xfId="0" applyFont="1" applyFill="1" applyBorder="1" applyAlignment="1">
      <alignment horizontal="center" vertical="center" wrapText="1"/>
    </xf>
    <xf numFmtId="44" fontId="22" fillId="23" borderId="20" xfId="0" applyNumberFormat="1" applyFont="1" applyFill="1" applyBorder="1" applyAlignment="1">
      <alignment vertical="center"/>
    </xf>
    <xf numFmtId="9" fontId="22" fillId="23" borderId="22" xfId="2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10" fillId="10" borderId="14" xfId="0" applyFont="1" applyFill="1" applyBorder="1" applyAlignment="1">
      <alignment horizontal="center" vertical="center" wrapText="1"/>
    </xf>
    <xf numFmtId="0" fontId="0" fillId="0" borderId="15" xfId="0" applyBorder="1"/>
    <xf numFmtId="164" fontId="3" fillId="0" borderId="8" xfId="1" applyNumberFormat="1" applyFont="1" applyBorder="1" applyAlignment="1">
      <alignment horizontal="center" vertical="center"/>
    </xf>
    <xf numFmtId="0" fontId="0" fillId="0" borderId="3" xfId="0" applyBorder="1"/>
    <xf numFmtId="49" fontId="5" fillId="6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5" fillId="2" borderId="8" xfId="0" applyNumberFormat="1" applyFont="1" applyFill="1" applyBorder="1" applyAlignment="1">
      <alignment horizontal="center" vertical="top" wrapText="1"/>
    </xf>
    <xf numFmtId="0" fontId="0" fillId="0" borderId="2" xfId="0" applyBorder="1"/>
    <xf numFmtId="49" fontId="2" fillId="3" borderId="11" xfId="0" quotePrefix="1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49" fontId="5" fillId="2" borderId="8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49" fontId="5" fillId="2" borderId="11" xfId="0" applyNumberFormat="1" applyFont="1" applyFill="1" applyBorder="1" applyAlignment="1">
      <alignment horizontal="center" vertical="center" wrapText="1"/>
    </xf>
    <xf numFmtId="0" fontId="0" fillId="0" borderId="11" xfId="0" applyBorder="1"/>
    <xf numFmtId="49" fontId="9" fillId="8" borderId="8" xfId="0" applyNumberFormat="1" applyFont="1" applyFill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0" fontId="12" fillId="17" borderId="18" xfId="0" applyFont="1" applyFill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0" fillId="0" borderId="0" xfId="0"/>
    <xf numFmtId="0" fontId="16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center" vertical="center"/>
    </xf>
    <xf numFmtId="0" fontId="13" fillId="26" borderId="8" xfId="0" applyFont="1" applyFill="1" applyBorder="1" applyAlignment="1">
      <alignment horizontal="left" vertical="center"/>
    </xf>
    <xf numFmtId="0" fontId="14" fillId="26" borderId="8" xfId="0" applyFont="1" applyFill="1" applyBorder="1" applyAlignment="1">
      <alignment horizontal="center" vertical="center"/>
    </xf>
    <xf numFmtId="0" fontId="13" fillId="27" borderId="8" xfId="0" applyFont="1" applyFill="1" applyBorder="1" applyAlignment="1">
      <alignment horizontal="left" vertical="center"/>
    </xf>
    <xf numFmtId="0" fontId="14" fillId="27" borderId="8" xfId="0" applyFont="1" applyFill="1" applyBorder="1" applyAlignment="1">
      <alignment horizontal="center" vertical="center"/>
    </xf>
    <xf numFmtId="0" fontId="13" fillId="28" borderId="8" xfId="0" applyFont="1" applyFill="1" applyBorder="1" applyAlignment="1">
      <alignment horizontal="left" vertical="center"/>
    </xf>
    <xf numFmtId="0" fontId="14" fillId="28" borderId="8" xfId="0" applyFont="1" applyFill="1" applyBorder="1" applyAlignment="1">
      <alignment horizontal="center" vertical="center"/>
    </xf>
    <xf numFmtId="0" fontId="13" fillId="29" borderId="8" xfId="0" applyFont="1" applyFill="1" applyBorder="1" applyAlignment="1">
      <alignment horizontal="left" vertical="center"/>
    </xf>
    <xf numFmtId="0" fontId="14" fillId="29" borderId="8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left" vertical="center"/>
    </xf>
    <xf numFmtId="0" fontId="14" fillId="30" borderId="8" xfId="0" applyFont="1" applyFill="1" applyBorder="1" applyAlignment="1">
      <alignment horizontal="center" vertical="center"/>
    </xf>
    <xf numFmtId="0" fontId="23" fillId="27" borderId="8" xfId="0" applyFont="1" applyFill="1" applyBorder="1" applyAlignment="1">
      <alignment horizontal="left" vertical="center"/>
    </xf>
    <xf numFmtId="0" fontId="23" fillId="29" borderId="8" xfId="0" applyFont="1" applyFill="1" applyBorder="1" applyAlignment="1">
      <alignment horizontal="left" vertical="center"/>
    </xf>
    <xf numFmtId="0" fontId="0" fillId="27" borderId="0" xfId="0" applyFill="1"/>
    <xf numFmtId="0" fontId="0" fillId="0" borderId="0" xfId="0" applyAlignment="1">
      <alignment vertical="center"/>
    </xf>
    <xf numFmtId="0" fontId="0" fillId="29" borderId="0" xfId="0" applyFill="1"/>
    <xf numFmtId="0" fontId="0" fillId="3" borderId="0" xfId="0" applyFill="1"/>
    <xf numFmtId="0" fontId="0" fillId="26" borderId="0" xfId="0" applyFill="1"/>
    <xf numFmtId="0" fontId="0" fillId="28" borderId="0" xfId="0" applyFill="1"/>
    <xf numFmtId="0" fontId="0" fillId="30" borderId="0" xfId="0" applyFill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0"/>
  <sheetViews>
    <sheetView view="pageBreakPreview" topLeftCell="F5" zoomScale="90" zoomScaleNormal="70" zoomScaleSheetLayoutView="90" workbookViewId="0">
      <selection activeCell="W8" sqref="W8"/>
    </sheetView>
  </sheetViews>
  <sheetFormatPr baseColWidth="10" defaultColWidth="11.44140625" defaultRowHeight="15.6" x14ac:dyDescent="0.3"/>
  <cols>
    <col min="1" max="1" width="25.5546875" style="2" customWidth="1"/>
    <col min="2" max="2" width="9.44140625" style="2" customWidth="1"/>
    <col min="3" max="3" width="10.33203125" style="2" customWidth="1"/>
    <col min="4" max="4" width="14.88671875" style="2" customWidth="1"/>
    <col min="5" max="5" width="17.109375" style="2" customWidth="1"/>
    <col min="6" max="6" width="18" style="2" customWidth="1"/>
    <col min="7" max="7" width="63.33203125" style="2" customWidth="1"/>
    <col min="8" max="8" width="11.6640625" style="2" customWidth="1"/>
    <col min="9" max="10" width="6.5546875" style="3" customWidth="1"/>
    <col min="11" max="11" width="8.88671875" style="2" bestFit="1" customWidth="1"/>
    <col min="12" max="13" width="17.6640625" style="62" customWidth="1"/>
    <col min="14" max="14" width="18.109375" style="2" bestFit="1" customWidth="1"/>
    <col min="15" max="16" width="21.88671875" style="2" bestFit="1" customWidth="1"/>
    <col min="17" max="17" width="19.88671875" style="2" bestFit="1" customWidth="1"/>
    <col min="18" max="18" width="19.109375" style="2" bestFit="1" customWidth="1"/>
    <col min="19" max="19" width="19.88671875" style="2" bestFit="1" customWidth="1"/>
    <col min="20" max="20" width="32.44140625" style="4" customWidth="1"/>
    <col min="21" max="21" width="10.88671875" style="2" bestFit="1" customWidth="1"/>
    <col min="22" max="22" width="17" style="2" customWidth="1"/>
    <col min="23" max="23" width="23.109375" style="2" customWidth="1"/>
    <col min="24" max="24" width="18.5546875" style="64" bestFit="1" customWidth="1"/>
    <col min="25" max="34" width="11.44140625" style="5" customWidth="1"/>
    <col min="35" max="16384" width="11.44140625" style="5"/>
  </cols>
  <sheetData>
    <row r="1" spans="1:24" x14ac:dyDescent="0.3">
      <c r="L1" s="2"/>
      <c r="M1" s="2"/>
    </row>
    <row r="2" spans="1:24" x14ac:dyDescent="0.3">
      <c r="A2" s="1"/>
      <c r="B2" s="1"/>
      <c r="L2" s="2"/>
      <c r="M2" s="2"/>
    </row>
    <row r="3" spans="1:24" x14ac:dyDescent="0.3">
      <c r="A3" s="1"/>
      <c r="B3" s="1"/>
      <c r="L3" s="2"/>
      <c r="M3" s="2"/>
    </row>
    <row r="4" spans="1:24" x14ac:dyDescent="0.3">
      <c r="A4" s="1"/>
      <c r="B4" s="1"/>
      <c r="G4" s="3"/>
      <c r="L4" s="2"/>
      <c r="M4" s="2"/>
    </row>
    <row r="5" spans="1:24" x14ac:dyDescent="0.3">
      <c r="A5" s="151"/>
      <c r="B5" s="145"/>
      <c r="C5" s="145"/>
      <c r="D5" s="145"/>
      <c r="E5" s="145"/>
      <c r="F5" s="145"/>
      <c r="G5" s="145"/>
      <c r="L5" s="2"/>
      <c r="M5" s="2"/>
    </row>
    <row r="6" spans="1:24" x14ac:dyDescent="0.3">
      <c r="A6" s="145"/>
      <c r="B6" s="145"/>
      <c r="C6" s="145"/>
      <c r="D6" s="145"/>
      <c r="E6" s="145"/>
      <c r="F6" s="145"/>
      <c r="G6" s="145"/>
      <c r="L6" s="2"/>
      <c r="M6" s="2"/>
      <c r="Q6" s="5"/>
      <c r="T6" s="6"/>
    </row>
    <row r="7" spans="1:24" x14ac:dyDescent="0.3">
      <c r="A7" s="145"/>
      <c r="B7" s="145"/>
      <c r="C7" s="145"/>
      <c r="D7" s="145"/>
      <c r="E7" s="145"/>
      <c r="F7" s="145"/>
      <c r="G7" s="145"/>
      <c r="L7" s="2"/>
      <c r="M7" s="2"/>
    </row>
    <row r="8" spans="1:24" ht="33.75" customHeight="1" x14ac:dyDescent="0.3">
      <c r="A8" s="145"/>
      <c r="B8" s="145"/>
      <c r="C8" s="145"/>
      <c r="D8" s="145"/>
      <c r="E8" s="145"/>
      <c r="F8" s="145"/>
      <c r="G8" s="145"/>
      <c r="L8" s="2"/>
      <c r="M8" s="2"/>
      <c r="N8" s="144" t="s">
        <v>263</v>
      </c>
      <c r="O8" s="145"/>
      <c r="P8" s="145"/>
    </row>
    <row r="9" spans="1:24" x14ac:dyDescent="0.3">
      <c r="L9" s="2"/>
      <c r="M9" s="2"/>
      <c r="R9" s="7">
        <v>0.16</v>
      </c>
    </row>
    <row r="10" spans="1:24" s="11" customFormat="1" x14ac:dyDescent="0.3">
      <c r="A10" s="8"/>
      <c r="B10" s="9"/>
      <c r="C10" s="9"/>
      <c r="D10" s="9"/>
      <c r="E10" s="9"/>
      <c r="F10" s="9"/>
      <c r="G10" s="9"/>
      <c r="H10" s="9"/>
      <c r="I10" s="10"/>
      <c r="J10" s="10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46"/>
      <c r="W10" s="147"/>
      <c r="X10" s="142"/>
    </row>
    <row r="11" spans="1:24" s="12" customFormat="1" ht="15.6" customHeight="1" x14ac:dyDescent="0.3">
      <c r="A11" s="148" t="s">
        <v>264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</row>
    <row r="12" spans="1:24" s="17" customFormat="1" ht="31.2" customHeight="1" x14ac:dyDescent="0.3">
      <c r="A12" s="150" t="s">
        <v>33</v>
      </c>
      <c r="B12" s="13" t="s">
        <v>38</v>
      </c>
      <c r="C12" s="13" t="s">
        <v>265</v>
      </c>
      <c r="D12" s="13" t="s">
        <v>39</v>
      </c>
      <c r="E12" s="13" t="s">
        <v>266</v>
      </c>
      <c r="F12" s="13" t="s">
        <v>267</v>
      </c>
      <c r="G12" s="137" t="s">
        <v>268</v>
      </c>
      <c r="H12" s="150" t="s">
        <v>269</v>
      </c>
      <c r="I12" s="137" t="s">
        <v>270</v>
      </c>
      <c r="J12" s="142"/>
      <c r="K12" s="13" t="s">
        <v>271</v>
      </c>
      <c r="L12" s="154" t="s">
        <v>272</v>
      </c>
      <c r="M12" s="155" t="s">
        <v>273</v>
      </c>
      <c r="N12" s="13" t="s">
        <v>274</v>
      </c>
      <c r="O12" s="14" t="s">
        <v>275</v>
      </c>
      <c r="P12" s="15" t="s">
        <v>275</v>
      </c>
      <c r="Q12" s="13" t="s">
        <v>276</v>
      </c>
      <c r="R12" s="13" t="s">
        <v>277</v>
      </c>
      <c r="S12" s="13" t="s">
        <v>278</v>
      </c>
      <c r="T12" s="16" t="s">
        <v>279</v>
      </c>
      <c r="U12" s="13" t="s">
        <v>280</v>
      </c>
      <c r="V12" s="14" t="s">
        <v>281</v>
      </c>
      <c r="W12" s="152" t="s">
        <v>282</v>
      </c>
      <c r="X12" s="152" t="s">
        <v>283</v>
      </c>
    </row>
    <row r="13" spans="1:24" s="26" customFormat="1" ht="25.5" customHeight="1" x14ac:dyDescent="0.3">
      <c r="A13" s="138"/>
      <c r="B13" s="18"/>
      <c r="C13" s="19"/>
      <c r="D13" s="20"/>
      <c r="E13" s="20"/>
      <c r="F13" s="20"/>
      <c r="G13" s="138"/>
      <c r="H13" s="138"/>
      <c r="I13" s="21">
        <v>2026</v>
      </c>
      <c r="J13" s="21">
        <v>2027</v>
      </c>
      <c r="K13" s="20"/>
      <c r="L13" s="138"/>
      <c r="M13" s="138"/>
      <c r="N13" s="19"/>
      <c r="O13" s="22">
        <v>2026</v>
      </c>
      <c r="P13" s="23">
        <v>2027</v>
      </c>
      <c r="Q13" s="19"/>
      <c r="R13" s="19"/>
      <c r="S13" s="19"/>
      <c r="T13" s="24"/>
      <c r="U13" s="20"/>
      <c r="V13" s="25" t="s">
        <v>284</v>
      </c>
      <c r="W13" s="153"/>
      <c r="X13" s="153"/>
    </row>
    <row r="14" spans="1:24" s="29" customFormat="1" ht="124.95" customHeight="1" x14ac:dyDescent="0.3">
      <c r="A14" s="49">
        <v>6</v>
      </c>
      <c r="B14" s="68" t="s">
        <v>47</v>
      </c>
      <c r="C14" s="27" t="s">
        <v>285</v>
      </c>
      <c r="D14" s="69" t="s">
        <v>81</v>
      </c>
      <c r="E14" s="70" t="s">
        <v>82</v>
      </c>
      <c r="F14" s="71" t="s">
        <v>80</v>
      </c>
      <c r="G14" s="50" t="s">
        <v>286</v>
      </c>
      <c r="H14" s="51" t="s">
        <v>287</v>
      </c>
      <c r="I14" s="52">
        <v>1</v>
      </c>
      <c r="J14" s="53">
        <v>2</v>
      </c>
      <c r="K14" s="54" t="s">
        <v>288</v>
      </c>
      <c r="L14" s="63">
        <v>156725</v>
      </c>
      <c r="M14" s="48">
        <v>125000</v>
      </c>
      <c r="N14" s="55">
        <v>150000</v>
      </c>
      <c r="O14" s="55">
        <f t="shared" ref="O14:O45" si="0">I14*N14</f>
        <v>150000</v>
      </c>
      <c r="P14" s="55">
        <f t="shared" ref="P14:P45" si="1">J14*N14</f>
        <v>300000</v>
      </c>
      <c r="Q14" s="55">
        <f t="shared" ref="Q14:Q45" si="2">SUM(O14:P14)</f>
        <v>450000</v>
      </c>
      <c r="R14" s="55">
        <f t="shared" ref="R14:R45" si="3">Q14*$R$9</f>
        <v>72000</v>
      </c>
      <c r="S14" s="55">
        <f t="shared" ref="S14:S45" si="4">SUM(Q14:R14)</f>
        <v>522000</v>
      </c>
      <c r="T14" s="56" t="s">
        <v>289</v>
      </c>
      <c r="U14" s="54" t="s">
        <v>290</v>
      </c>
      <c r="V14" s="57" t="s">
        <v>291</v>
      </c>
      <c r="W14" s="54" t="s">
        <v>50</v>
      </c>
      <c r="X14" s="66" t="s">
        <v>292</v>
      </c>
    </row>
    <row r="15" spans="1:24" s="29" customFormat="1" ht="140.4" customHeight="1" x14ac:dyDescent="0.3">
      <c r="A15" s="49">
        <v>16</v>
      </c>
      <c r="B15" s="68" t="s">
        <v>172</v>
      </c>
      <c r="C15" s="27" t="s">
        <v>293</v>
      </c>
      <c r="D15" s="72" t="s">
        <v>173</v>
      </c>
      <c r="E15" s="73" t="s">
        <v>174</v>
      </c>
      <c r="F15" s="72" t="s">
        <v>171</v>
      </c>
      <c r="G15" s="50" t="s">
        <v>294</v>
      </c>
      <c r="H15" s="51" t="s">
        <v>287</v>
      </c>
      <c r="I15" s="52">
        <v>1</v>
      </c>
      <c r="J15" s="53">
        <v>2</v>
      </c>
      <c r="K15" s="54" t="s">
        <v>288</v>
      </c>
      <c r="L15" s="63">
        <v>182160</v>
      </c>
      <c r="M15" s="48">
        <v>110000</v>
      </c>
      <c r="N15" s="55">
        <v>180000</v>
      </c>
      <c r="O15" s="55">
        <f t="shared" si="0"/>
        <v>180000</v>
      </c>
      <c r="P15" s="55">
        <f t="shared" si="1"/>
        <v>360000</v>
      </c>
      <c r="Q15" s="55">
        <f t="shared" si="2"/>
        <v>540000</v>
      </c>
      <c r="R15" s="55">
        <f t="shared" si="3"/>
        <v>86400</v>
      </c>
      <c r="S15" s="55">
        <f t="shared" si="4"/>
        <v>626400</v>
      </c>
      <c r="T15" s="56" t="s">
        <v>289</v>
      </c>
      <c r="U15" s="54" t="s">
        <v>290</v>
      </c>
      <c r="V15" s="57" t="s">
        <v>291</v>
      </c>
      <c r="W15" s="54" t="s">
        <v>50</v>
      </c>
      <c r="X15" s="66" t="s">
        <v>295</v>
      </c>
    </row>
    <row r="16" spans="1:24" s="29" customFormat="1" ht="140.4" customHeight="1" x14ac:dyDescent="0.3">
      <c r="A16" s="49">
        <v>17</v>
      </c>
      <c r="B16" s="68" t="s">
        <v>172</v>
      </c>
      <c r="C16" s="27" t="s">
        <v>296</v>
      </c>
      <c r="D16" s="69" t="s">
        <v>117</v>
      </c>
      <c r="E16" s="70" t="s">
        <v>175</v>
      </c>
      <c r="F16" s="71" t="s">
        <v>171</v>
      </c>
      <c r="G16" s="50" t="s">
        <v>297</v>
      </c>
      <c r="H16" s="51" t="s">
        <v>287</v>
      </c>
      <c r="I16" s="52">
        <v>1</v>
      </c>
      <c r="J16" s="53">
        <v>2</v>
      </c>
      <c r="K16" s="54" t="s">
        <v>288</v>
      </c>
      <c r="L16" s="63">
        <v>230215.52</v>
      </c>
      <c r="M16" s="48">
        <v>125000</v>
      </c>
      <c r="N16" s="55">
        <v>225000</v>
      </c>
      <c r="O16" s="55">
        <f t="shared" si="0"/>
        <v>225000</v>
      </c>
      <c r="P16" s="55">
        <f t="shared" si="1"/>
        <v>450000</v>
      </c>
      <c r="Q16" s="55">
        <f t="shared" si="2"/>
        <v>675000</v>
      </c>
      <c r="R16" s="55">
        <f t="shared" si="3"/>
        <v>108000</v>
      </c>
      <c r="S16" s="55">
        <f t="shared" si="4"/>
        <v>783000</v>
      </c>
      <c r="T16" s="56" t="s">
        <v>289</v>
      </c>
      <c r="U16" s="54" t="s">
        <v>290</v>
      </c>
      <c r="V16" s="57" t="s">
        <v>291</v>
      </c>
      <c r="W16" s="54" t="s">
        <v>50</v>
      </c>
      <c r="X16" s="66" t="s">
        <v>295</v>
      </c>
    </row>
    <row r="17" spans="1:24" s="29" customFormat="1" ht="124.95" customHeight="1" x14ac:dyDescent="0.3">
      <c r="A17" s="49">
        <v>19</v>
      </c>
      <c r="B17" s="68" t="s">
        <v>47</v>
      </c>
      <c r="C17" s="27" t="s">
        <v>298</v>
      </c>
      <c r="D17" s="72" t="s">
        <v>48</v>
      </c>
      <c r="E17" s="73" t="s">
        <v>49</v>
      </c>
      <c r="F17" s="72" t="s">
        <v>46</v>
      </c>
      <c r="G17" s="50" t="s">
        <v>299</v>
      </c>
      <c r="H17" s="51" t="s">
        <v>287</v>
      </c>
      <c r="I17" s="52">
        <v>1</v>
      </c>
      <c r="J17" s="53">
        <v>2</v>
      </c>
      <c r="K17" s="54" t="s">
        <v>288</v>
      </c>
      <c r="L17" s="63">
        <v>230215.52</v>
      </c>
      <c r="M17" s="48">
        <v>75000</v>
      </c>
      <c r="N17" s="55">
        <v>160000</v>
      </c>
      <c r="O17" s="55">
        <f t="shared" si="0"/>
        <v>160000</v>
      </c>
      <c r="P17" s="55">
        <f t="shared" si="1"/>
        <v>320000</v>
      </c>
      <c r="Q17" s="55">
        <f t="shared" si="2"/>
        <v>480000</v>
      </c>
      <c r="R17" s="55">
        <f t="shared" si="3"/>
        <v>76800</v>
      </c>
      <c r="S17" s="55">
        <f t="shared" si="4"/>
        <v>556800</v>
      </c>
      <c r="T17" s="56" t="s">
        <v>289</v>
      </c>
      <c r="U17" s="54" t="s">
        <v>290</v>
      </c>
      <c r="V17" s="57" t="s">
        <v>291</v>
      </c>
      <c r="W17" s="54" t="s">
        <v>50</v>
      </c>
      <c r="X17" s="66" t="s">
        <v>300</v>
      </c>
    </row>
    <row r="18" spans="1:24" s="29" customFormat="1" ht="124.95" customHeight="1" x14ac:dyDescent="0.3">
      <c r="A18" s="49">
        <v>20</v>
      </c>
      <c r="B18" s="68" t="s">
        <v>47</v>
      </c>
      <c r="C18" s="27" t="s">
        <v>285</v>
      </c>
      <c r="D18" s="72" t="s">
        <v>48</v>
      </c>
      <c r="E18" s="68" t="s">
        <v>53</v>
      </c>
      <c r="F18" s="69" t="s">
        <v>46</v>
      </c>
      <c r="G18" s="50" t="s">
        <v>301</v>
      </c>
      <c r="H18" s="51" t="s">
        <v>287</v>
      </c>
      <c r="I18" s="52">
        <v>1</v>
      </c>
      <c r="J18" s="53">
        <v>2</v>
      </c>
      <c r="K18" s="54" t="s">
        <v>288</v>
      </c>
      <c r="L18" s="63">
        <v>213318.97</v>
      </c>
      <c r="M18" s="48">
        <v>75000</v>
      </c>
      <c r="N18" s="55">
        <v>160000</v>
      </c>
      <c r="O18" s="55">
        <f t="shared" si="0"/>
        <v>160000</v>
      </c>
      <c r="P18" s="55">
        <f t="shared" si="1"/>
        <v>320000</v>
      </c>
      <c r="Q18" s="55">
        <f t="shared" si="2"/>
        <v>480000</v>
      </c>
      <c r="R18" s="55">
        <f t="shared" si="3"/>
        <v>76800</v>
      </c>
      <c r="S18" s="55">
        <f t="shared" si="4"/>
        <v>556800</v>
      </c>
      <c r="T18" s="56" t="s">
        <v>289</v>
      </c>
      <c r="U18" s="54" t="s">
        <v>290</v>
      </c>
      <c r="V18" s="57" t="s">
        <v>291</v>
      </c>
      <c r="W18" s="54" t="s">
        <v>50</v>
      </c>
      <c r="X18" s="66" t="s">
        <v>300</v>
      </c>
    </row>
    <row r="19" spans="1:24" s="29" customFormat="1" ht="140.4" customHeight="1" x14ac:dyDescent="0.3">
      <c r="A19" s="49">
        <v>21</v>
      </c>
      <c r="B19" s="68" t="s">
        <v>47</v>
      </c>
      <c r="C19" s="27" t="s">
        <v>302</v>
      </c>
      <c r="D19" s="72" t="s">
        <v>48</v>
      </c>
      <c r="E19" s="73" t="s">
        <v>54</v>
      </c>
      <c r="F19" s="72" t="s">
        <v>46</v>
      </c>
      <c r="G19" s="58" t="s">
        <v>303</v>
      </c>
      <c r="H19" s="51" t="s">
        <v>287</v>
      </c>
      <c r="I19" s="52">
        <v>1</v>
      </c>
      <c r="J19" s="53">
        <v>2</v>
      </c>
      <c r="K19" s="54" t="s">
        <v>288</v>
      </c>
      <c r="L19" s="63">
        <v>220410</v>
      </c>
      <c r="M19" s="48">
        <v>75000</v>
      </c>
      <c r="N19" s="55">
        <v>160000</v>
      </c>
      <c r="O19" s="55">
        <f t="shared" si="0"/>
        <v>160000</v>
      </c>
      <c r="P19" s="55">
        <f t="shared" si="1"/>
        <v>320000</v>
      </c>
      <c r="Q19" s="55">
        <f t="shared" si="2"/>
        <v>480000</v>
      </c>
      <c r="R19" s="55">
        <f t="shared" si="3"/>
        <v>76800</v>
      </c>
      <c r="S19" s="55">
        <f t="shared" si="4"/>
        <v>556800</v>
      </c>
      <c r="T19" s="56" t="s">
        <v>289</v>
      </c>
      <c r="U19" s="54" t="s">
        <v>290</v>
      </c>
      <c r="V19" s="57" t="s">
        <v>291</v>
      </c>
      <c r="W19" s="54" t="s">
        <v>50</v>
      </c>
      <c r="X19" s="66" t="s">
        <v>300</v>
      </c>
    </row>
    <row r="20" spans="1:24" s="29" customFormat="1" ht="124.95" customHeight="1" x14ac:dyDescent="0.3">
      <c r="A20" s="49">
        <v>22</v>
      </c>
      <c r="B20" s="68" t="s">
        <v>47</v>
      </c>
      <c r="C20" s="27" t="s">
        <v>302</v>
      </c>
      <c r="D20" s="72" t="s">
        <v>48</v>
      </c>
      <c r="E20" s="68" t="s">
        <v>55</v>
      </c>
      <c r="F20" s="69" t="s">
        <v>46</v>
      </c>
      <c r="G20" s="50" t="s">
        <v>304</v>
      </c>
      <c r="H20" s="51" t="s">
        <v>287</v>
      </c>
      <c r="I20" s="52">
        <v>1</v>
      </c>
      <c r="J20" s="53">
        <v>2</v>
      </c>
      <c r="K20" s="54" t="s">
        <v>288</v>
      </c>
      <c r="L20" s="63">
        <v>447758.62</v>
      </c>
      <c r="M20" s="48">
        <v>75000</v>
      </c>
      <c r="N20" s="55">
        <v>160000</v>
      </c>
      <c r="O20" s="55">
        <f t="shared" si="0"/>
        <v>160000</v>
      </c>
      <c r="P20" s="55">
        <f t="shared" si="1"/>
        <v>320000</v>
      </c>
      <c r="Q20" s="55">
        <f t="shared" si="2"/>
        <v>480000</v>
      </c>
      <c r="R20" s="55">
        <f t="shared" si="3"/>
        <v>76800</v>
      </c>
      <c r="S20" s="55">
        <f t="shared" si="4"/>
        <v>556800</v>
      </c>
      <c r="T20" s="56" t="s">
        <v>289</v>
      </c>
      <c r="U20" s="54" t="s">
        <v>290</v>
      </c>
      <c r="V20" s="57" t="s">
        <v>291</v>
      </c>
      <c r="W20" s="54" t="s">
        <v>50</v>
      </c>
      <c r="X20" s="66" t="s">
        <v>300</v>
      </c>
    </row>
    <row r="21" spans="1:24" s="29" customFormat="1" ht="124.95" customHeight="1" x14ac:dyDescent="0.3">
      <c r="A21" s="49">
        <v>23</v>
      </c>
      <c r="B21" s="68" t="s">
        <v>47</v>
      </c>
      <c r="C21" s="27" t="s">
        <v>298</v>
      </c>
      <c r="D21" s="72" t="s">
        <v>56</v>
      </c>
      <c r="E21" s="73" t="s">
        <v>57</v>
      </c>
      <c r="F21" s="72" t="s">
        <v>46</v>
      </c>
      <c r="G21" s="50" t="s">
        <v>305</v>
      </c>
      <c r="H21" s="51" t="s">
        <v>287</v>
      </c>
      <c r="I21" s="52">
        <v>1</v>
      </c>
      <c r="J21" s="53">
        <v>2</v>
      </c>
      <c r="K21" s="54" t="s">
        <v>288</v>
      </c>
      <c r="L21" s="63">
        <v>447758.62</v>
      </c>
      <c r="M21" s="48">
        <v>120000</v>
      </c>
      <c r="N21" s="55">
        <v>350000</v>
      </c>
      <c r="O21" s="55">
        <f t="shared" si="0"/>
        <v>350000</v>
      </c>
      <c r="P21" s="55">
        <f t="shared" si="1"/>
        <v>700000</v>
      </c>
      <c r="Q21" s="55">
        <f t="shared" si="2"/>
        <v>1050000</v>
      </c>
      <c r="R21" s="55">
        <f t="shared" si="3"/>
        <v>168000</v>
      </c>
      <c r="S21" s="55">
        <f t="shared" si="4"/>
        <v>1218000</v>
      </c>
      <c r="T21" s="56" t="s">
        <v>289</v>
      </c>
      <c r="U21" s="54" t="s">
        <v>290</v>
      </c>
      <c r="V21" s="57" t="s">
        <v>291</v>
      </c>
      <c r="W21" s="54" t="s">
        <v>50</v>
      </c>
      <c r="X21" s="66" t="s">
        <v>300</v>
      </c>
    </row>
    <row r="22" spans="1:24" s="29" customFormat="1" ht="124.95" customHeight="1" x14ac:dyDescent="0.3">
      <c r="A22" s="49">
        <v>24</v>
      </c>
      <c r="B22" s="68" t="s">
        <v>47</v>
      </c>
      <c r="C22" s="27" t="s">
        <v>306</v>
      </c>
      <c r="D22" s="72" t="s">
        <v>56</v>
      </c>
      <c r="E22" s="73" t="s">
        <v>65</v>
      </c>
      <c r="F22" s="72" t="s">
        <v>46</v>
      </c>
      <c r="G22" s="58" t="s">
        <v>307</v>
      </c>
      <c r="H22" s="51" t="s">
        <v>287</v>
      </c>
      <c r="I22" s="52">
        <v>1</v>
      </c>
      <c r="J22" s="53">
        <v>2</v>
      </c>
      <c r="K22" s="54" t="s">
        <v>288</v>
      </c>
      <c r="L22" s="63">
        <v>451982.76</v>
      </c>
      <c r="M22" s="48">
        <v>120000</v>
      </c>
      <c r="N22" s="55">
        <v>350000</v>
      </c>
      <c r="O22" s="55">
        <f t="shared" si="0"/>
        <v>350000</v>
      </c>
      <c r="P22" s="55">
        <f t="shared" si="1"/>
        <v>700000</v>
      </c>
      <c r="Q22" s="55">
        <f t="shared" si="2"/>
        <v>1050000</v>
      </c>
      <c r="R22" s="55">
        <f t="shared" si="3"/>
        <v>168000</v>
      </c>
      <c r="S22" s="55">
        <f t="shared" si="4"/>
        <v>1218000</v>
      </c>
      <c r="T22" s="56" t="s">
        <v>289</v>
      </c>
      <c r="U22" s="54" t="s">
        <v>290</v>
      </c>
      <c r="V22" s="57" t="s">
        <v>291</v>
      </c>
      <c r="W22" s="54" t="s">
        <v>50</v>
      </c>
      <c r="X22" s="66" t="s">
        <v>300</v>
      </c>
    </row>
    <row r="23" spans="1:24" s="29" customFormat="1" ht="124.95" customHeight="1" x14ac:dyDescent="0.3">
      <c r="A23" s="49">
        <v>25</v>
      </c>
      <c r="B23" s="68" t="s">
        <v>47</v>
      </c>
      <c r="C23" s="27" t="s">
        <v>302</v>
      </c>
      <c r="D23" s="72" t="s">
        <v>56</v>
      </c>
      <c r="E23" s="68" t="s">
        <v>66</v>
      </c>
      <c r="F23" s="69" t="s">
        <v>46</v>
      </c>
      <c r="G23" s="50" t="s">
        <v>308</v>
      </c>
      <c r="H23" s="51" t="s">
        <v>287</v>
      </c>
      <c r="I23" s="52">
        <v>1</v>
      </c>
      <c r="J23" s="53">
        <v>2</v>
      </c>
      <c r="K23" s="54" t="s">
        <v>288</v>
      </c>
      <c r="L23" s="63">
        <v>439310.34</v>
      </c>
      <c r="M23" s="48">
        <v>120000</v>
      </c>
      <c r="N23" s="55">
        <v>350000</v>
      </c>
      <c r="O23" s="55">
        <f t="shared" si="0"/>
        <v>350000</v>
      </c>
      <c r="P23" s="55">
        <f t="shared" si="1"/>
        <v>700000</v>
      </c>
      <c r="Q23" s="55">
        <f t="shared" si="2"/>
        <v>1050000</v>
      </c>
      <c r="R23" s="55">
        <f t="shared" si="3"/>
        <v>168000</v>
      </c>
      <c r="S23" s="55">
        <f t="shared" si="4"/>
        <v>1218000</v>
      </c>
      <c r="T23" s="56" t="s">
        <v>289</v>
      </c>
      <c r="U23" s="54" t="s">
        <v>290</v>
      </c>
      <c r="V23" s="57" t="s">
        <v>291</v>
      </c>
      <c r="W23" s="54" t="s">
        <v>50</v>
      </c>
      <c r="X23" s="66" t="s">
        <v>300</v>
      </c>
    </row>
    <row r="24" spans="1:24" s="29" customFormat="1" ht="124.95" customHeight="1" x14ac:dyDescent="0.3">
      <c r="A24" s="49">
        <v>26</v>
      </c>
      <c r="B24" s="68" t="s">
        <v>47</v>
      </c>
      <c r="C24" s="27" t="s">
        <v>309</v>
      </c>
      <c r="D24" s="72" t="s">
        <v>130</v>
      </c>
      <c r="E24" s="68" t="s">
        <v>131</v>
      </c>
      <c r="F24" s="69" t="s">
        <v>46</v>
      </c>
      <c r="G24" s="50" t="s">
        <v>310</v>
      </c>
      <c r="H24" s="51" t="s">
        <v>287</v>
      </c>
      <c r="I24" s="52">
        <v>1</v>
      </c>
      <c r="J24" s="53">
        <v>2</v>
      </c>
      <c r="K24" s="54" t="s">
        <v>288</v>
      </c>
      <c r="L24" s="63">
        <v>566214</v>
      </c>
      <c r="M24" s="48">
        <v>1</v>
      </c>
      <c r="N24" s="55">
        <v>500000</v>
      </c>
      <c r="O24" s="55">
        <f t="shared" si="0"/>
        <v>500000</v>
      </c>
      <c r="P24" s="55">
        <f t="shared" si="1"/>
        <v>1000000</v>
      </c>
      <c r="Q24" s="55">
        <f t="shared" si="2"/>
        <v>1500000</v>
      </c>
      <c r="R24" s="55">
        <f t="shared" si="3"/>
        <v>240000</v>
      </c>
      <c r="S24" s="55">
        <f t="shared" si="4"/>
        <v>1740000</v>
      </c>
      <c r="T24" s="56" t="s">
        <v>289</v>
      </c>
      <c r="U24" s="54" t="s">
        <v>290</v>
      </c>
      <c r="V24" s="57" t="s">
        <v>291</v>
      </c>
      <c r="W24" s="54" t="s">
        <v>50</v>
      </c>
      <c r="X24" s="66" t="s">
        <v>311</v>
      </c>
    </row>
    <row r="25" spans="1:24" s="29" customFormat="1" ht="124.95" customHeight="1" x14ac:dyDescent="0.3">
      <c r="A25" s="49">
        <v>27</v>
      </c>
      <c r="B25" s="68" t="s">
        <v>47</v>
      </c>
      <c r="C25" s="27" t="s">
        <v>298</v>
      </c>
      <c r="D25" s="72" t="s">
        <v>83</v>
      </c>
      <c r="E25" s="73" t="s">
        <v>84</v>
      </c>
      <c r="F25" s="72" t="s">
        <v>46</v>
      </c>
      <c r="G25" s="50" t="s">
        <v>312</v>
      </c>
      <c r="H25" s="51" t="s">
        <v>287</v>
      </c>
      <c r="I25" s="52">
        <v>1</v>
      </c>
      <c r="J25" s="53">
        <v>2</v>
      </c>
      <c r="K25" s="54" t="s">
        <v>288</v>
      </c>
      <c r="L25" s="63">
        <v>435086.2</v>
      </c>
      <c r="M25" s="48"/>
      <c r="N25" s="55">
        <v>420000</v>
      </c>
      <c r="O25" s="55">
        <f t="shared" si="0"/>
        <v>420000</v>
      </c>
      <c r="P25" s="55">
        <f t="shared" si="1"/>
        <v>840000</v>
      </c>
      <c r="Q25" s="55">
        <f t="shared" si="2"/>
        <v>1260000</v>
      </c>
      <c r="R25" s="55">
        <f t="shared" si="3"/>
        <v>201600</v>
      </c>
      <c r="S25" s="55">
        <f t="shared" si="4"/>
        <v>1461600</v>
      </c>
      <c r="T25" s="56" t="s">
        <v>289</v>
      </c>
      <c r="U25" s="54" t="s">
        <v>290</v>
      </c>
      <c r="V25" s="57" t="s">
        <v>291</v>
      </c>
      <c r="W25" s="54" t="s">
        <v>50</v>
      </c>
      <c r="X25" s="66" t="s">
        <v>295</v>
      </c>
    </row>
    <row r="26" spans="1:24" s="29" customFormat="1" ht="124.95" customHeight="1" x14ac:dyDescent="0.3">
      <c r="A26" s="49">
        <v>28</v>
      </c>
      <c r="B26" s="68" t="s">
        <v>47</v>
      </c>
      <c r="C26" s="27" t="s">
        <v>296</v>
      </c>
      <c r="D26" s="72" t="s">
        <v>83</v>
      </c>
      <c r="E26" s="68" t="s">
        <v>85</v>
      </c>
      <c r="F26" s="69" t="s">
        <v>46</v>
      </c>
      <c r="G26" s="50" t="s">
        <v>313</v>
      </c>
      <c r="H26" s="51" t="s">
        <v>287</v>
      </c>
      <c r="I26" s="52">
        <v>1</v>
      </c>
      <c r="J26" s="53">
        <v>2</v>
      </c>
      <c r="K26" s="54" t="s">
        <v>288</v>
      </c>
      <c r="L26" s="63">
        <v>460000</v>
      </c>
      <c r="M26" s="48"/>
      <c r="N26" s="55">
        <v>420000</v>
      </c>
      <c r="O26" s="55">
        <f t="shared" si="0"/>
        <v>420000</v>
      </c>
      <c r="P26" s="55">
        <f t="shared" si="1"/>
        <v>840000</v>
      </c>
      <c r="Q26" s="55">
        <f t="shared" si="2"/>
        <v>1260000</v>
      </c>
      <c r="R26" s="55">
        <f t="shared" si="3"/>
        <v>201600</v>
      </c>
      <c r="S26" s="55">
        <f t="shared" si="4"/>
        <v>1461600</v>
      </c>
      <c r="T26" s="56" t="s">
        <v>289</v>
      </c>
      <c r="U26" s="54" t="s">
        <v>290</v>
      </c>
      <c r="V26" s="57" t="s">
        <v>291</v>
      </c>
      <c r="W26" s="54" t="s">
        <v>50</v>
      </c>
      <c r="X26" s="66" t="s">
        <v>295</v>
      </c>
    </row>
    <row r="27" spans="1:24" s="29" customFormat="1" ht="124.95" customHeight="1" x14ac:dyDescent="0.3">
      <c r="A27" s="49">
        <v>29</v>
      </c>
      <c r="B27" s="68" t="s">
        <v>47</v>
      </c>
      <c r="C27" s="27" t="s">
        <v>309</v>
      </c>
      <c r="D27" s="72" t="s">
        <v>86</v>
      </c>
      <c r="E27" s="68" t="s">
        <v>87</v>
      </c>
      <c r="F27" s="69" t="s">
        <v>46</v>
      </c>
      <c r="G27" s="50" t="s">
        <v>314</v>
      </c>
      <c r="H27" s="51" t="s">
        <v>287</v>
      </c>
      <c r="I27" s="52">
        <v>1</v>
      </c>
      <c r="J27" s="53">
        <v>2</v>
      </c>
      <c r="K27" s="54" t="s">
        <v>288</v>
      </c>
      <c r="L27" s="63">
        <v>151293.10999999999</v>
      </c>
      <c r="M27" s="48">
        <v>75000</v>
      </c>
      <c r="N27" s="55">
        <v>150000</v>
      </c>
      <c r="O27" s="55">
        <f t="shared" si="0"/>
        <v>150000</v>
      </c>
      <c r="P27" s="55">
        <f t="shared" si="1"/>
        <v>300000</v>
      </c>
      <c r="Q27" s="55">
        <f t="shared" si="2"/>
        <v>450000</v>
      </c>
      <c r="R27" s="55">
        <f t="shared" si="3"/>
        <v>72000</v>
      </c>
      <c r="S27" s="55">
        <f t="shared" si="4"/>
        <v>522000</v>
      </c>
      <c r="T27" s="56" t="s">
        <v>289</v>
      </c>
      <c r="U27" s="54" t="s">
        <v>290</v>
      </c>
      <c r="V27" s="57" t="s">
        <v>291</v>
      </c>
      <c r="W27" s="54" t="s">
        <v>50</v>
      </c>
      <c r="X27" s="66" t="s">
        <v>295</v>
      </c>
    </row>
    <row r="28" spans="1:24" s="29" customFormat="1" ht="140.4" customHeight="1" x14ac:dyDescent="0.3">
      <c r="A28" s="49">
        <v>30</v>
      </c>
      <c r="B28" s="68" t="s">
        <v>47</v>
      </c>
      <c r="C28" s="27" t="s">
        <v>306</v>
      </c>
      <c r="D28" s="72" t="s">
        <v>232</v>
      </c>
      <c r="E28" s="73" t="s">
        <v>233</v>
      </c>
      <c r="F28" s="72" t="s">
        <v>46</v>
      </c>
      <c r="G28" s="50" t="s">
        <v>315</v>
      </c>
      <c r="H28" s="51" t="s">
        <v>287</v>
      </c>
      <c r="I28" s="52">
        <v>1</v>
      </c>
      <c r="J28" s="52">
        <v>2</v>
      </c>
      <c r="K28" s="54" t="s">
        <v>288</v>
      </c>
      <c r="L28" s="63">
        <v>207000</v>
      </c>
      <c r="M28" s="48">
        <v>50000</v>
      </c>
      <c r="N28" s="55">
        <v>150000</v>
      </c>
      <c r="O28" s="55">
        <f t="shared" si="0"/>
        <v>150000</v>
      </c>
      <c r="P28" s="55">
        <f t="shared" si="1"/>
        <v>300000</v>
      </c>
      <c r="Q28" s="55">
        <f t="shared" si="2"/>
        <v>450000</v>
      </c>
      <c r="R28" s="55">
        <f t="shared" si="3"/>
        <v>72000</v>
      </c>
      <c r="S28" s="55">
        <f t="shared" si="4"/>
        <v>522000</v>
      </c>
      <c r="T28" s="56" t="s">
        <v>289</v>
      </c>
      <c r="U28" s="54" t="s">
        <v>290</v>
      </c>
      <c r="V28" s="57" t="s">
        <v>291</v>
      </c>
      <c r="W28" s="54" t="s">
        <v>50</v>
      </c>
      <c r="X28" s="66" t="s">
        <v>316</v>
      </c>
    </row>
    <row r="29" spans="1:24" s="29" customFormat="1" ht="124.95" customHeight="1" x14ac:dyDescent="0.3">
      <c r="A29" s="49">
        <v>31</v>
      </c>
      <c r="B29" s="68" t="s">
        <v>47</v>
      </c>
      <c r="C29" s="27" t="s">
        <v>317</v>
      </c>
      <c r="D29" s="72" t="s">
        <v>318</v>
      </c>
      <c r="E29" s="68" t="s">
        <v>319</v>
      </c>
      <c r="F29" s="69" t="s">
        <v>46</v>
      </c>
      <c r="G29" s="50" t="s">
        <v>320</v>
      </c>
      <c r="H29" s="51" t="s">
        <v>287</v>
      </c>
      <c r="I29" s="52">
        <v>1</v>
      </c>
      <c r="J29" s="52">
        <v>2</v>
      </c>
      <c r="K29" s="54" t="s">
        <v>288</v>
      </c>
      <c r="L29" s="63">
        <v>225991.38</v>
      </c>
      <c r="M29" s="48">
        <v>70000</v>
      </c>
      <c r="N29" s="55">
        <v>200000</v>
      </c>
      <c r="O29" s="55">
        <f t="shared" si="0"/>
        <v>200000</v>
      </c>
      <c r="P29" s="55">
        <f t="shared" si="1"/>
        <v>400000</v>
      </c>
      <c r="Q29" s="55">
        <f t="shared" si="2"/>
        <v>600000</v>
      </c>
      <c r="R29" s="55">
        <f t="shared" si="3"/>
        <v>96000</v>
      </c>
      <c r="S29" s="55">
        <f t="shared" si="4"/>
        <v>696000</v>
      </c>
      <c r="T29" s="56" t="s">
        <v>289</v>
      </c>
      <c r="U29" s="54" t="s">
        <v>290</v>
      </c>
      <c r="V29" s="57" t="s">
        <v>291</v>
      </c>
      <c r="W29" s="54" t="s">
        <v>50</v>
      </c>
      <c r="X29" s="66" t="s">
        <v>295</v>
      </c>
    </row>
    <row r="30" spans="1:24" s="29" customFormat="1" ht="140.4" customHeight="1" x14ac:dyDescent="0.3">
      <c r="A30" s="49">
        <v>32</v>
      </c>
      <c r="B30" s="68" t="s">
        <v>47</v>
      </c>
      <c r="C30" s="27" t="s">
        <v>306</v>
      </c>
      <c r="D30" s="72" t="s">
        <v>234</v>
      </c>
      <c r="E30" s="73" t="s">
        <v>235</v>
      </c>
      <c r="F30" s="72" t="s">
        <v>46</v>
      </c>
      <c r="G30" s="50" t="s">
        <v>321</v>
      </c>
      <c r="H30" s="51" t="s">
        <v>287</v>
      </c>
      <c r="I30" s="52">
        <v>1</v>
      </c>
      <c r="J30" s="52">
        <v>2</v>
      </c>
      <c r="K30" s="54" t="s">
        <v>288</v>
      </c>
      <c r="L30" s="63">
        <v>363196.5</v>
      </c>
      <c r="M30" s="48">
        <v>165000</v>
      </c>
      <c r="N30" s="55">
        <v>330000</v>
      </c>
      <c r="O30" s="55">
        <f t="shared" si="0"/>
        <v>330000</v>
      </c>
      <c r="P30" s="55">
        <f t="shared" si="1"/>
        <v>660000</v>
      </c>
      <c r="Q30" s="55">
        <f t="shared" si="2"/>
        <v>990000</v>
      </c>
      <c r="R30" s="55">
        <f t="shared" si="3"/>
        <v>158400</v>
      </c>
      <c r="S30" s="55">
        <f t="shared" si="4"/>
        <v>1148400</v>
      </c>
      <c r="T30" s="56" t="s">
        <v>289</v>
      </c>
      <c r="U30" s="54" t="s">
        <v>290</v>
      </c>
      <c r="V30" s="57" t="s">
        <v>291</v>
      </c>
      <c r="W30" s="54" t="s">
        <v>50</v>
      </c>
      <c r="X30" s="66" t="s">
        <v>322</v>
      </c>
    </row>
    <row r="31" spans="1:24" s="29" customFormat="1" ht="124.95" customHeight="1" x14ac:dyDescent="0.3">
      <c r="A31" s="49">
        <v>33</v>
      </c>
      <c r="B31" s="68" t="s">
        <v>47</v>
      </c>
      <c r="C31" s="27" t="s">
        <v>298</v>
      </c>
      <c r="D31" s="72" t="s">
        <v>88</v>
      </c>
      <c r="E31" s="73" t="s">
        <v>89</v>
      </c>
      <c r="F31" s="72" t="s">
        <v>46</v>
      </c>
      <c r="G31" s="50" t="s">
        <v>323</v>
      </c>
      <c r="H31" s="51" t="s">
        <v>287</v>
      </c>
      <c r="I31" s="52">
        <v>1</v>
      </c>
      <c r="J31" s="52">
        <v>2</v>
      </c>
      <c r="K31" s="54" t="s">
        <v>288</v>
      </c>
      <c r="L31" s="63">
        <v>150948.26999999999</v>
      </c>
      <c r="M31" s="48"/>
      <c r="N31" s="55">
        <v>145000</v>
      </c>
      <c r="O31" s="55">
        <f t="shared" si="0"/>
        <v>145000</v>
      </c>
      <c r="P31" s="55">
        <f t="shared" si="1"/>
        <v>290000</v>
      </c>
      <c r="Q31" s="55">
        <f t="shared" si="2"/>
        <v>435000</v>
      </c>
      <c r="R31" s="55">
        <f t="shared" si="3"/>
        <v>69600</v>
      </c>
      <c r="S31" s="55">
        <f t="shared" si="4"/>
        <v>504600</v>
      </c>
      <c r="T31" s="56" t="s">
        <v>289</v>
      </c>
      <c r="U31" s="54" t="s">
        <v>290</v>
      </c>
      <c r="V31" s="57" t="s">
        <v>291</v>
      </c>
      <c r="W31" s="54" t="s">
        <v>50</v>
      </c>
      <c r="X31" s="66" t="s">
        <v>295</v>
      </c>
    </row>
    <row r="32" spans="1:24" s="29" customFormat="1" ht="124.95" customHeight="1" x14ac:dyDescent="0.3">
      <c r="A32" s="49">
        <v>34</v>
      </c>
      <c r="B32" s="68" t="s">
        <v>47</v>
      </c>
      <c r="C32" s="27" t="s">
        <v>306</v>
      </c>
      <c r="D32" s="72" t="s">
        <v>90</v>
      </c>
      <c r="E32" s="73" t="s">
        <v>91</v>
      </c>
      <c r="F32" s="72" t="s">
        <v>46</v>
      </c>
      <c r="G32" s="50" t="s">
        <v>324</v>
      </c>
      <c r="H32" s="51" t="s">
        <v>287</v>
      </c>
      <c r="I32" s="52">
        <v>1</v>
      </c>
      <c r="J32" s="52">
        <v>2</v>
      </c>
      <c r="K32" s="54" t="s">
        <v>288</v>
      </c>
      <c r="L32" s="63">
        <v>272460</v>
      </c>
      <c r="M32" s="48">
        <v>60000</v>
      </c>
      <c r="N32" s="55">
        <v>175000</v>
      </c>
      <c r="O32" s="55">
        <f t="shared" si="0"/>
        <v>175000</v>
      </c>
      <c r="P32" s="55">
        <f t="shared" si="1"/>
        <v>350000</v>
      </c>
      <c r="Q32" s="55">
        <f t="shared" si="2"/>
        <v>525000</v>
      </c>
      <c r="R32" s="55">
        <f t="shared" si="3"/>
        <v>84000</v>
      </c>
      <c r="S32" s="55">
        <f t="shared" si="4"/>
        <v>609000</v>
      </c>
      <c r="T32" s="56" t="s">
        <v>289</v>
      </c>
      <c r="U32" s="54" t="s">
        <v>290</v>
      </c>
      <c r="V32" s="57" t="s">
        <v>291</v>
      </c>
      <c r="W32" s="54" t="s">
        <v>50</v>
      </c>
      <c r="X32" s="66" t="s">
        <v>295</v>
      </c>
    </row>
    <row r="33" spans="1:24" s="29" customFormat="1" ht="124.95" customHeight="1" x14ac:dyDescent="0.3">
      <c r="A33" s="49">
        <v>35</v>
      </c>
      <c r="B33" s="68" t="s">
        <v>47</v>
      </c>
      <c r="C33" s="27" t="s">
        <v>306</v>
      </c>
      <c r="D33" s="72" t="s">
        <v>92</v>
      </c>
      <c r="E33" s="73" t="s">
        <v>93</v>
      </c>
      <c r="F33" s="72" t="s">
        <v>46</v>
      </c>
      <c r="G33" s="50" t="s">
        <v>325</v>
      </c>
      <c r="H33" s="51" t="s">
        <v>287</v>
      </c>
      <c r="I33" s="52">
        <v>1</v>
      </c>
      <c r="J33" s="52">
        <v>2</v>
      </c>
      <c r="K33" s="54" t="s">
        <v>288</v>
      </c>
      <c r="L33" s="63">
        <v>264880</v>
      </c>
      <c r="M33" s="48">
        <v>60000</v>
      </c>
      <c r="N33" s="55">
        <v>175000</v>
      </c>
      <c r="O33" s="55">
        <f t="shared" si="0"/>
        <v>175000</v>
      </c>
      <c r="P33" s="55">
        <f t="shared" si="1"/>
        <v>350000</v>
      </c>
      <c r="Q33" s="55">
        <f t="shared" si="2"/>
        <v>525000</v>
      </c>
      <c r="R33" s="55">
        <f t="shared" si="3"/>
        <v>84000</v>
      </c>
      <c r="S33" s="55">
        <f t="shared" si="4"/>
        <v>609000</v>
      </c>
      <c r="T33" s="56" t="s">
        <v>289</v>
      </c>
      <c r="U33" s="54" t="s">
        <v>290</v>
      </c>
      <c r="V33" s="57" t="s">
        <v>291</v>
      </c>
      <c r="W33" s="54" t="s">
        <v>50</v>
      </c>
      <c r="X33" s="66" t="s">
        <v>295</v>
      </c>
    </row>
    <row r="34" spans="1:24" s="29" customFormat="1" ht="124.95" customHeight="1" x14ac:dyDescent="0.3">
      <c r="A34" s="49">
        <v>36</v>
      </c>
      <c r="B34" s="68" t="s">
        <v>47</v>
      </c>
      <c r="C34" s="27" t="s">
        <v>306</v>
      </c>
      <c r="D34" s="72" t="s">
        <v>326</v>
      </c>
      <c r="E34" s="73" t="s">
        <v>327</v>
      </c>
      <c r="F34" s="72" t="s">
        <v>46</v>
      </c>
      <c r="G34" s="50" t="s">
        <v>328</v>
      </c>
      <c r="H34" s="51" t="s">
        <v>287</v>
      </c>
      <c r="I34" s="52">
        <v>1</v>
      </c>
      <c r="J34" s="52">
        <v>2</v>
      </c>
      <c r="K34" s="54" t="s">
        <v>288</v>
      </c>
      <c r="L34" s="63">
        <v>235000</v>
      </c>
      <c r="M34" s="48"/>
      <c r="N34" s="55">
        <v>220000</v>
      </c>
      <c r="O34" s="55">
        <f t="shared" si="0"/>
        <v>220000</v>
      </c>
      <c r="P34" s="55">
        <f t="shared" si="1"/>
        <v>440000</v>
      </c>
      <c r="Q34" s="55">
        <f t="shared" si="2"/>
        <v>660000</v>
      </c>
      <c r="R34" s="55">
        <f t="shared" si="3"/>
        <v>105600</v>
      </c>
      <c r="S34" s="55">
        <f t="shared" si="4"/>
        <v>765600</v>
      </c>
      <c r="T34" s="56" t="s">
        <v>289</v>
      </c>
      <c r="U34" s="54" t="s">
        <v>290</v>
      </c>
      <c r="V34" s="57" t="s">
        <v>291</v>
      </c>
      <c r="W34" s="54" t="s">
        <v>50</v>
      </c>
      <c r="X34" s="66" t="s">
        <v>329</v>
      </c>
    </row>
    <row r="35" spans="1:24" s="29" customFormat="1" ht="124.95" customHeight="1" x14ac:dyDescent="0.3">
      <c r="A35" s="49">
        <v>37</v>
      </c>
      <c r="B35" s="68" t="s">
        <v>47</v>
      </c>
      <c r="C35" s="27" t="s">
        <v>302</v>
      </c>
      <c r="D35" s="72" t="s">
        <v>326</v>
      </c>
      <c r="E35" s="68" t="s">
        <v>330</v>
      </c>
      <c r="F35" s="69" t="s">
        <v>46</v>
      </c>
      <c r="G35" s="50" t="s">
        <v>331</v>
      </c>
      <c r="H35" s="51" t="s">
        <v>287</v>
      </c>
      <c r="I35" s="52">
        <v>1</v>
      </c>
      <c r="J35" s="52">
        <v>2</v>
      </c>
      <c r="K35" s="54" t="s">
        <v>288</v>
      </c>
      <c r="L35" s="63">
        <v>235000</v>
      </c>
      <c r="M35" s="48"/>
      <c r="N35" s="55">
        <v>220000</v>
      </c>
      <c r="O35" s="55">
        <f t="shared" si="0"/>
        <v>220000</v>
      </c>
      <c r="P35" s="55">
        <f t="shared" si="1"/>
        <v>440000</v>
      </c>
      <c r="Q35" s="55">
        <f t="shared" si="2"/>
        <v>660000</v>
      </c>
      <c r="R35" s="55">
        <f t="shared" si="3"/>
        <v>105600</v>
      </c>
      <c r="S35" s="55">
        <f t="shared" si="4"/>
        <v>765600</v>
      </c>
      <c r="T35" s="56" t="s">
        <v>289</v>
      </c>
      <c r="U35" s="54" t="s">
        <v>290</v>
      </c>
      <c r="V35" s="57" t="s">
        <v>291</v>
      </c>
      <c r="W35" s="54" t="s">
        <v>50</v>
      </c>
      <c r="X35" s="66" t="s">
        <v>329</v>
      </c>
    </row>
    <row r="36" spans="1:24" s="29" customFormat="1" ht="140.4" customHeight="1" x14ac:dyDescent="0.3">
      <c r="A36" s="49">
        <v>38</v>
      </c>
      <c r="B36" s="68" t="s">
        <v>47</v>
      </c>
      <c r="C36" s="27" t="s">
        <v>317</v>
      </c>
      <c r="D36" s="72" t="s">
        <v>132</v>
      </c>
      <c r="E36" s="68" t="s">
        <v>133</v>
      </c>
      <c r="F36" s="69" t="s">
        <v>46</v>
      </c>
      <c r="G36" s="50" t="s">
        <v>332</v>
      </c>
      <c r="H36" s="51" t="s">
        <v>287</v>
      </c>
      <c r="I36" s="52">
        <v>1</v>
      </c>
      <c r="J36" s="53">
        <v>2</v>
      </c>
      <c r="K36" s="54" t="s">
        <v>288</v>
      </c>
      <c r="L36" s="63">
        <v>145000</v>
      </c>
      <c r="M36" s="48"/>
      <c r="N36" s="55">
        <v>140000</v>
      </c>
      <c r="O36" s="55">
        <f t="shared" si="0"/>
        <v>140000</v>
      </c>
      <c r="P36" s="55">
        <f t="shared" si="1"/>
        <v>280000</v>
      </c>
      <c r="Q36" s="55">
        <f t="shared" si="2"/>
        <v>420000</v>
      </c>
      <c r="R36" s="55">
        <f t="shared" si="3"/>
        <v>67200</v>
      </c>
      <c r="S36" s="55">
        <f t="shared" si="4"/>
        <v>487200</v>
      </c>
      <c r="T36" s="56" t="s">
        <v>289</v>
      </c>
      <c r="U36" s="54" t="s">
        <v>290</v>
      </c>
      <c r="V36" s="57" t="s">
        <v>291</v>
      </c>
      <c r="W36" s="54" t="s">
        <v>50</v>
      </c>
      <c r="X36" s="66" t="s">
        <v>311</v>
      </c>
    </row>
    <row r="37" spans="1:24" s="29" customFormat="1" ht="140.4" customHeight="1" x14ac:dyDescent="0.3">
      <c r="A37" s="49">
        <v>39</v>
      </c>
      <c r="B37" s="68" t="s">
        <v>47</v>
      </c>
      <c r="C37" s="27" t="s">
        <v>298</v>
      </c>
      <c r="D37" s="72" t="s">
        <v>132</v>
      </c>
      <c r="E37" s="73" t="s">
        <v>134</v>
      </c>
      <c r="F37" s="72" t="s">
        <v>46</v>
      </c>
      <c r="G37" s="50" t="s">
        <v>333</v>
      </c>
      <c r="H37" s="51" t="s">
        <v>287</v>
      </c>
      <c r="I37" s="52">
        <v>1</v>
      </c>
      <c r="J37" s="53">
        <v>2</v>
      </c>
      <c r="K37" s="54" t="s">
        <v>288</v>
      </c>
      <c r="L37" s="63">
        <v>145000</v>
      </c>
      <c r="M37" s="48"/>
      <c r="N37" s="55">
        <v>140000</v>
      </c>
      <c r="O37" s="55">
        <f t="shared" si="0"/>
        <v>140000</v>
      </c>
      <c r="P37" s="55">
        <f t="shared" si="1"/>
        <v>280000</v>
      </c>
      <c r="Q37" s="55">
        <f t="shared" si="2"/>
        <v>420000</v>
      </c>
      <c r="R37" s="55">
        <f t="shared" si="3"/>
        <v>67200</v>
      </c>
      <c r="S37" s="55">
        <f t="shared" si="4"/>
        <v>487200</v>
      </c>
      <c r="T37" s="56" t="s">
        <v>289</v>
      </c>
      <c r="U37" s="54" t="s">
        <v>290</v>
      </c>
      <c r="V37" s="57" t="s">
        <v>291</v>
      </c>
      <c r="W37" s="54" t="s">
        <v>50</v>
      </c>
      <c r="X37" s="66" t="s">
        <v>311</v>
      </c>
    </row>
    <row r="38" spans="1:24" s="29" customFormat="1" ht="140.4" customHeight="1" x14ac:dyDescent="0.3">
      <c r="A38" s="49">
        <v>40</v>
      </c>
      <c r="B38" s="68" t="s">
        <v>47</v>
      </c>
      <c r="C38" s="27" t="s">
        <v>306</v>
      </c>
      <c r="D38" s="72" t="s">
        <v>132</v>
      </c>
      <c r="E38" s="73" t="s">
        <v>135</v>
      </c>
      <c r="F38" s="72" t="s">
        <v>46</v>
      </c>
      <c r="G38" s="50" t="s">
        <v>334</v>
      </c>
      <c r="H38" s="51" t="s">
        <v>287</v>
      </c>
      <c r="I38" s="52">
        <v>1</v>
      </c>
      <c r="J38" s="53">
        <v>2</v>
      </c>
      <c r="K38" s="54" t="s">
        <v>288</v>
      </c>
      <c r="L38" s="63">
        <v>145000</v>
      </c>
      <c r="M38" s="48"/>
      <c r="N38" s="55">
        <v>140000</v>
      </c>
      <c r="O38" s="55">
        <f t="shared" si="0"/>
        <v>140000</v>
      </c>
      <c r="P38" s="55">
        <f t="shared" si="1"/>
        <v>280000</v>
      </c>
      <c r="Q38" s="55">
        <f t="shared" si="2"/>
        <v>420000</v>
      </c>
      <c r="R38" s="55">
        <f t="shared" si="3"/>
        <v>67200</v>
      </c>
      <c r="S38" s="55">
        <f t="shared" si="4"/>
        <v>487200</v>
      </c>
      <c r="T38" s="56" t="s">
        <v>289</v>
      </c>
      <c r="U38" s="54" t="s">
        <v>290</v>
      </c>
      <c r="V38" s="57" t="s">
        <v>291</v>
      </c>
      <c r="W38" s="54" t="s">
        <v>50</v>
      </c>
      <c r="X38" s="66" t="s">
        <v>311</v>
      </c>
    </row>
    <row r="39" spans="1:24" s="29" customFormat="1" ht="124.95" customHeight="1" x14ac:dyDescent="0.3">
      <c r="A39" s="49">
        <v>41</v>
      </c>
      <c r="B39" s="68" t="s">
        <v>47</v>
      </c>
      <c r="C39" s="27" t="s">
        <v>306</v>
      </c>
      <c r="D39" s="72" t="s">
        <v>136</v>
      </c>
      <c r="E39" s="73" t="s">
        <v>137</v>
      </c>
      <c r="F39" s="72" t="s">
        <v>46</v>
      </c>
      <c r="G39" s="50" t="s">
        <v>335</v>
      </c>
      <c r="H39" s="51" t="s">
        <v>287</v>
      </c>
      <c r="I39" s="52">
        <v>1</v>
      </c>
      <c r="J39" s="53">
        <v>2</v>
      </c>
      <c r="K39" s="54" t="s">
        <v>288</v>
      </c>
      <c r="L39" s="63">
        <v>153038.79999999999</v>
      </c>
      <c r="M39" s="48">
        <v>55000</v>
      </c>
      <c r="N39" s="55">
        <v>125000</v>
      </c>
      <c r="O39" s="55">
        <f t="shared" si="0"/>
        <v>125000</v>
      </c>
      <c r="P39" s="55">
        <f t="shared" si="1"/>
        <v>250000</v>
      </c>
      <c r="Q39" s="55">
        <f t="shared" si="2"/>
        <v>375000</v>
      </c>
      <c r="R39" s="55">
        <f t="shared" si="3"/>
        <v>60000</v>
      </c>
      <c r="S39" s="55">
        <f t="shared" si="4"/>
        <v>435000</v>
      </c>
      <c r="T39" s="56" t="s">
        <v>289</v>
      </c>
      <c r="U39" s="54" t="s">
        <v>290</v>
      </c>
      <c r="V39" s="57" t="s">
        <v>291</v>
      </c>
      <c r="W39" s="54" t="s">
        <v>50</v>
      </c>
      <c r="X39" s="66" t="s">
        <v>336</v>
      </c>
    </row>
    <row r="40" spans="1:24" s="29" customFormat="1" ht="124.95" customHeight="1" x14ac:dyDescent="0.3">
      <c r="A40" s="49">
        <v>42</v>
      </c>
      <c r="B40" s="68" t="s">
        <v>47</v>
      </c>
      <c r="C40" s="27" t="s">
        <v>306</v>
      </c>
      <c r="D40" s="72" t="s">
        <v>138</v>
      </c>
      <c r="E40" s="73" t="s">
        <v>139</v>
      </c>
      <c r="F40" s="72" t="s">
        <v>46</v>
      </c>
      <c r="G40" s="50" t="s">
        <v>337</v>
      </c>
      <c r="H40" s="51" t="s">
        <v>287</v>
      </c>
      <c r="I40" s="52">
        <v>1</v>
      </c>
      <c r="J40" s="53">
        <v>2</v>
      </c>
      <c r="K40" s="54" t="s">
        <v>288</v>
      </c>
      <c r="L40" s="63">
        <v>149700</v>
      </c>
      <c r="M40" s="48">
        <v>55000</v>
      </c>
      <c r="N40" s="55">
        <v>125000</v>
      </c>
      <c r="O40" s="55">
        <f t="shared" si="0"/>
        <v>125000</v>
      </c>
      <c r="P40" s="55">
        <f t="shared" si="1"/>
        <v>250000</v>
      </c>
      <c r="Q40" s="55">
        <f t="shared" si="2"/>
        <v>375000</v>
      </c>
      <c r="R40" s="55">
        <f t="shared" si="3"/>
        <v>60000</v>
      </c>
      <c r="S40" s="55">
        <f t="shared" si="4"/>
        <v>435000</v>
      </c>
      <c r="T40" s="56" t="s">
        <v>289</v>
      </c>
      <c r="U40" s="54" t="s">
        <v>290</v>
      </c>
      <c r="V40" s="57" t="s">
        <v>291</v>
      </c>
      <c r="W40" s="54" t="s">
        <v>50</v>
      </c>
      <c r="X40" s="66" t="s">
        <v>336</v>
      </c>
    </row>
    <row r="41" spans="1:24" s="29" customFormat="1" ht="124.95" customHeight="1" x14ac:dyDescent="0.3">
      <c r="A41" s="49">
        <v>43</v>
      </c>
      <c r="B41" s="68" t="s">
        <v>47</v>
      </c>
      <c r="C41" s="27" t="s">
        <v>317</v>
      </c>
      <c r="D41" s="72" t="s">
        <v>140</v>
      </c>
      <c r="E41" s="68" t="s">
        <v>141</v>
      </c>
      <c r="F41" s="69" t="s">
        <v>46</v>
      </c>
      <c r="G41" s="50" t="s">
        <v>338</v>
      </c>
      <c r="H41" s="51" t="s">
        <v>287</v>
      </c>
      <c r="I41" s="52">
        <v>1</v>
      </c>
      <c r="J41" s="52">
        <v>2</v>
      </c>
      <c r="K41" s="54" t="s">
        <v>288</v>
      </c>
      <c r="L41" s="63">
        <v>218300</v>
      </c>
      <c r="M41" s="48">
        <v>50000</v>
      </c>
      <c r="N41" s="55">
        <v>150000</v>
      </c>
      <c r="O41" s="55">
        <f t="shared" si="0"/>
        <v>150000</v>
      </c>
      <c r="P41" s="55">
        <f t="shared" si="1"/>
        <v>300000</v>
      </c>
      <c r="Q41" s="55">
        <f t="shared" si="2"/>
        <v>450000</v>
      </c>
      <c r="R41" s="55">
        <f t="shared" si="3"/>
        <v>72000</v>
      </c>
      <c r="S41" s="55">
        <f t="shared" si="4"/>
        <v>522000</v>
      </c>
      <c r="T41" s="56" t="s">
        <v>289</v>
      </c>
      <c r="U41" s="54" t="s">
        <v>290</v>
      </c>
      <c r="V41" s="57" t="s">
        <v>291</v>
      </c>
      <c r="W41" s="54" t="s">
        <v>50</v>
      </c>
      <c r="X41" s="66" t="s">
        <v>336</v>
      </c>
    </row>
    <row r="42" spans="1:24" s="29" customFormat="1" ht="124.95" customHeight="1" x14ac:dyDescent="0.3">
      <c r="A42" s="49">
        <v>44</v>
      </c>
      <c r="B42" s="68" t="s">
        <v>47</v>
      </c>
      <c r="C42" s="27" t="s">
        <v>298</v>
      </c>
      <c r="D42" s="72" t="s">
        <v>152</v>
      </c>
      <c r="E42" s="73" t="s">
        <v>153</v>
      </c>
      <c r="F42" s="72" t="s">
        <v>46</v>
      </c>
      <c r="G42" s="50" t="s">
        <v>339</v>
      </c>
      <c r="H42" s="51" t="s">
        <v>287</v>
      </c>
      <c r="I42" s="52">
        <v>1</v>
      </c>
      <c r="J42" s="52">
        <v>2</v>
      </c>
      <c r="K42" s="54" t="s">
        <v>288</v>
      </c>
      <c r="L42" s="63">
        <v>215431.04000000001</v>
      </c>
      <c r="M42" s="48">
        <v>50000</v>
      </c>
      <c r="N42" s="55">
        <v>150000</v>
      </c>
      <c r="O42" s="55">
        <f t="shared" si="0"/>
        <v>150000</v>
      </c>
      <c r="P42" s="55">
        <f t="shared" si="1"/>
        <v>300000</v>
      </c>
      <c r="Q42" s="55">
        <f t="shared" si="2"/>
        <v>450000</v>
      </c>
      <c r="R42" s="55">
        <f t="shared" si="3"/>
        <v>72000</v>
      </c>
      <c r="S42" s="55">
        <f t="shared" si="4"/>
        <v>522000</v>
      </c>
      <c r="T42" s="56" t="s">
        <v>289</v>
      </c>
      <c r="U42" s="54" t="s">
        <v>290</v>
      </c>
      <c r="V42" s="57" t="s">
        <v>291</v>
      </c>
      <c r="W42" s="54" t="s">
        <v>50</v>
      </c>
      <c r="X42" s="66" t="s">
        <v>336</v>
      </c>
    </row>
    <row r="43" spans="1:24" s="29" customFormat="1" ht="124.95" customHeight="1" x14ac:dyDescent="0.3">
      <c r="A43" s="49">
        <v>45</v>
      </c>
      <c r="B43" s="68" t="s">
        <v>47</v>
      </c>
      <c r="C43" s="27" t="s">
        <v>317</v>
      </c>
      <c r="D43" s="72" t="s">
        <v>154</v>
      </c>
      <c r="E43" s="68" t="s">
        <v>155</v>
      </c>
      <c r="F43" s="69" t="s">
        <v>46</v>
      </c>
      <c r="G43" s="50" t="s">
        <v>340</v>
      </c>
      <c r="H43" s="51" t="s">
        <v>287</v>
      </c>
      <c r="I43" s="52">
        <v>1</v>
      </c>
      <c r="J43" s="53">
        <v>2</v>
      </c>
      <c r="K43" s="54" t="s">
        <v>288</v>
      </c>
      <c r="L43" s="63">
        <v>170925</v>
      </c>
      <c r="M43" s="48"/>
      <c r="N43" s="55">
        <v>150000</v>
      </c>
      <c r="O43" s="55">
        <f t="shared" si="0"/>
        <v>150000</v>
      </c>
      <c r="P43" s="55">
        <f t="shared" si="1"/>
        <v>300000</v>
      </c>
      <c r="Q43" s="55">
        <f t="shared" si="2"/>
        <v>450000</v>
      </c>
      <c r="R43" s="55">
        <f t="shared" si="3"/>
        <v>72000</v>
      </c>
      <c r="S43" s="55">
        <f t="shared" si="4"/>
        <v>522000</v>
      </c>
      <c r="T43" s="56" t="s">
        <v>289</v>
      </c>
      <c r="U43" s="54" t="s">
        <v>290</v>
      </c>
      <c r="V43" s="57" t="s">
        <v>291</v>
      </c>
      <c r="W43" s="54" t="s">
        <v>50</v>
      </c>
      <c r="X43" s="66" t="s">
        <v>311</v>
      </c>
    </row>
    <row r="44" spans="1:24" s="29" customFormat="1" ht="124.95" customHeight="1" x14ac:dyDescent="0.3">
      <c r="A44" s="49">
        <v>46</v>
      </c>
      <c r="B44" s="68" t="s">
        <v>47</v>
      </c>
      <c r="C44" s="27" t="s">
        <v>306</v>
      </c>
      <c r="D44" s="72" t="s">
        <v>154</v>
      </c>
      <c r="E44" s="73" t="s">
        <v>156</v>
      </c>
      <c r="F44" s="72" t="s">
        <v>46</v>
      </c>
      <c r="G44" s="50" t="s">
        <v>341</v>
      </c>
      <c r="H44" s="51" t="s">
        <v>287</v>
      </c>
      <c r="I44" s="52">
        <v>1</v>
      </c>
      <c r="J44" s="53">
        <v>2</v>
      </c>
      <c r="K44" s="54" t="s">
        <v>288</v>
      </c>
      <c r="L44" s="63">
        <v>182350</v>
      </c>
      <c r="M44" s="48"/>
      <c r="N44" s="55">
        <v>150000</v>
      </c>
      <c r="O44" s="55">
        <f t="shared" si="0"/>
        <v>150000</v>
      </c>
      <c r="P44" s="55">
        <f t="shared" si="1"/>
        <v>300000</v>
      </c>
      <c r="Q44" s="55">
        <f t="shared" si="2"/>
        <v>450000</v>
      </c>
      <c r="R44" s="55">
        <f t="shared" si="3"/>
        <v>72000</v>
      </c>
      <c r="S44" s="55">
        <f t="shared" si="4"/>
        <v>522000</v>
      </c>
      <c r="T44" s="56" t="s">
        <v>289</v>
      </c>
      <c r="U44" s="54" t="s">
        <v>290</v>
      </c>
      <c r="V44" s="57" t="s">
        <v>291</v>
      </c>
      <c r="W44" s="54" t="s">
        <v>50</v>
      </c>
      <c r="X44" s="66" t="s">
        <v>311</v>
      </c>
    </row>
    <row r="45" spans="1:24" s="29" customFormat="1" ht="124.95" customHeight="1" x14ac:dyDescent="0.3">
      <c r="A45" s="49">
        <v>47</v>
      </c>
      <c r="B45" s="68" t="s">
        <v>47</v>
      </c>
      <c r="C45" s="27" t="s">
        <v>302</v>
      </c>
      <c r="D45" s="72" t="s">
        <v>154</v>
      </c>
      <c r="E45" s="68" t="s">
        <v>157</v>
      </c>
      <c r="F45" s="69" t="s">
        <v>46</v>
      </c>
      <c r="G45" s="50" t="s">
        <v>342</v>
      </c>
      <c r="H45" s="51" t="s">
        <v>287</v>
      </c>
      <c r="I45" s="52">
        <v>1</v>
      </c>
      <c r="J45" s="53">
        <v>2</v>
      </c>
      <c r="K45" s="54" t="s">
        <v>288</v>
      </c>
      <c r="L45" s="63">
        <v>183135.77</v>
      </c>
      <c r="M45" s="48"/>
      <c r="N45" s="55">
        <v>150000</v>
      </c>
      <c r="O45" s="55">
        <f t="shared" si="0"/>
        <v>150000</v>
      </c>
      <c r="P45" s="55">
        <f t="shared" si="1"/>
        <v>300000</v>
      </c>
      <c r="Q45" s="55">
        <f t="shared" si="2"/>
        <v>450000</v>
      </c>
      <c r="R45" s="55">
        <f t="shared" si="3"/>
        <v>72000</v>
      </c>
      <c r="S45" s="55">
        <f t="shared" si="4"/>
        <v>522000</v>
      </c>
      <c r="T45" s="56" t="s">
        <v>289</v>
      </c>
      <c r="U45" s="54" t="s">
        <v>290</v>
      </c>
      <c r="V45" s="57" t="s">
        <v>291</v>
      </c>
      <c r="W45" s="54" t="s">
        <v>50</v>
      </c>
      <c r="X45" s="66" t="s">
        <v>311</v>
      </c>
    </row>
    <row r="46" spans="1:24" s="29" customFormat="1" ht="124.95" customHeight="1" x14ac:dyDescent="0.3">
      <c r="A46" s="49">
        <v>48</v>
      </c>
      <c r="B46" s="68" t="s">
        <v>47</v>
      </c>
      <c r="C46" s="27" t="s">
        <v>298</v>
      </c>
      <c r="D46" s="72" t="s">
        <v>154</v>
      </c>
      <c r="E46" s="73" t="s">
        <v>158</v>
      </c>
      <c r="F46" s="72" t="s">
        <v>46</v>
      </c>
      <c r="G46" s="50" t="s">
        <v>343</v>
      </c>
      <c r="H46" s="51" t="s">
        <v>287</v>
      </c>
      <c r="I46" s="52">
        <v>1</v>
      </c>
      <c r="J46" s="53">
        <v>2</v>
      </c>
      <c r="K46" s="54" t="s">
        <v>288</v>
      </c>
      <c r="L46" s="63">
        <v>181357.75</v>
      </c>
      <c r="M46" s="48"/>
      <c r="N46" s="55">
        <v>150000</v>
      </c>
      <c r="O46" s="55">
        <f t="shared" ref="O46:O77" si="5">I46*N46</f>
        <v>150000</v>
      </c>
      <c r="P46" s="55">
        <f t="shared" ref="P46:P77" si="6">J46*N46</f>
        <v>300000</v>
      </c>
      <c r="Q46" s="55">
        <f t="shared" ref="Q46:Q77" si="7">SUM(O46:P46)</f>
        <v>450000</v>
      </c>
      <c r="R46" s="55">
        <f t="shared" ref="R46:R77" si="8">Q46*$R$9</f>
        <v>72000</v>
      </c>
      <c r="S46" s="55">
        <f t="shared" ref="S46:S77" si="9">SUM(Q46:R46)</f>
        <v>522000</v>
      </c>
      <c r="T46" s="56" t="s">
        <v>289</v>
      </c>
      <c r="U46" s="54" t="s">
        <v>290</v>
      </c>
      <c r="V46" s="57" t="s">
        <v>291</v>
      </c>
      <c r="W46" s="54" t="s">
        <v>50</v>
      </c>
      <c r="X46" s="66" t="s">
        <v>311</v>
      </c>
    </row>
    <row r="47" spans="1:24" s="29" customFormat="1" ht="124.95" customHeight="1" x14ac:dyDescent="0.3">
      <c r="A47" s="49">
        <v>49</v>
      </c>
      <c r="B47" s="68" t="s">
        <v>47</v>
      </c>
      <c r="C47" s="27" t="s">
        <v>306</v>
      </c>
      <c r="D47" s="72" t="s">
        <v>176</v>
      </c>
      <c r="E47" s="73" t="s">
        <v>177</v>
      </c>
      <c r="F47" s="72" t="s">
        <v>46</v>
      </c>
      <c r="G47" s="50" t="s">
        <v>344</v>
      </c>
      <c r="H47" s="51" t="s">
        <v>287</v>
      </c>
      <c r="I47" s="52">
        <v>1</v>
      </c>
      <c r="J47" s="53">
        <v>2</v>
      </c>
      <c r="K47" s="54" t="s">
        <v>288</v>
      </c>
      <c r="L47" s="63">
        <v>403448.27</v>
      </c>
      <c r="M47" s="48">
        <v>15000</v>
      </c>
      <c r="N47" s="55">
        <v>120000</v>
      </c>
      <c r="O47" s="55">
        <f t="shared" si="5"/>
        <v>120000</v>
      </c>
      <c r="P47" s="55">
        <f t="shared" si="6"/>
        <v>240000</v>
      </c>
      <c r="Q47" s="55">
        <f t="shared" si="7"/>
        <v>360000</v>
      </c>
      <c r="R47" s="55">
        <f t="shared" si="8"/>
        <v>57600</v>
      </c>
      <c r="S47" s="55">
        <f t="shared" si="9"/>
        <v>417600</v>
      </c>
      <c r="T47" s="56" t="s">
        <v>289</v>
      </c>
      <c r="U47" s="54" t="s">
        <v>290</v>
      </c>
      <c r="V47" s="57" t="s">
        <v>291</v>
      </c>
      <c r="W47" s="54" t="s">
        <v>50</v>
      </c>
      <c r="X47" s="66" t="s">
        <v>345</v>
      </c>
    </row>
    <row r="48" spans="1:24" s="29" customFormat="1" ht="124.95" customHeight="1" x14ac:dyDescent="0.3">
      <c r="A48" s="49">
        <v>50</v>
      </c>
      <c r="B48" s="68" t="s">
        <v>47</v>
      </c>
      <c r="C48" s="27" t="s">
        <v>285</v>
      </c>
      <c r="D48" s="72" t="s">
        <v>176</v>
      </c>
      <c r="E48" s="68" t="s">
        <v>178</v>
      </c>
      <c r="F48" s="69" t="s">
        <v>46</v>
      </c>
      <c r="G48" s="50" t="s">
        <v>346</v>
      </c>
      <c r="H48" s="51" t="s">
        <v>287</v>
      </c>
      <c r="I48" s="52">
        <v>1</v>
      </c>
      <c r="J48" s="53">
        <v>2</v>
      </c>
      <c r="K48" s="54" t="s">
        <v>288</v>
      </c>
      <c r="L48" s="63">
        <v>413600</v>
      </c>
      <c r="M48" s="48">
        <v>15000</v>
      </c>
      <c r="N48" s="55">
        <v>120000</v>
      </c>
      <c r="O48" s="55">
        <f t="shared" si="5"/>
        <v>120000</v>
      </c>
      <c r="P48" s="55">
        <f t="shared" si="6"/>
        <v>240000</v>
      </c>
      <c r="Q48" s="55">
        <f t="shared" si="7"/>
        <v>360000</v>
      </c>
      <c r="R48" s="55">
        <f t="shared" si="8"/>
        <v>57600</v>
      </c>
      <c r="S48" s="55">
        <f t="shared" si="9"/>
        <v>417600</v>
      </c>
      <c r="T48" s="56" t="s">
        <v>289</v>
      </c>
      <c r="U48" s="54" t="s">
        <v>290</v>
      </c>
      <c r="V48" s="57" t="s">
        <v>291</v>
      </c>
      <c r="W48" s="54" t="s">
        <v>50</v>
      </c>
      <c r="X48" s="66" t="s">
        <v>345</v>
      </c>
    </row>
    <row r="49" spans="1:24" s="29" customFormat="1" ht="124.95" customHeight="1" x14ac:dyDescent="0.3">
      <c r="A49" s="49">
        <v>51</v>
      </c>
      <c r="B49" s="68" t="s">
        <v>47</v>
      </c>
      <c r="C49" s="27" t="s">
        <v>298</v>
      </c>
      <c r="D49" s="72" t="s">
        <v>176</v>
      </c>
      <c r="E49" s="73" t="s">
        <v>179</v>
      </c>
      <c r="F49" s="72" t="s">
        <v>46</v>
      </c>
      <c r="G49" s="50" t="s">
        <v>347</v>
      </c>
      <c r="H49" s="51" t="s">
        <v>287</v>
      </c>
      <c r="I49" s="52">
        <v>1</v>
      </c>
      <c r="J49" s="53">
        <v>2</v>
      </c>
      <c r="K49" s="54" t="s">
        <v>288</v>
      </c>
      <c r="L49" s="63">
        <v>415086.2</v>
      </c>
      <c r="M49" s="48">
        <v>15000</v>
      </c>
      <c r="N49" s="55">
        <v>120000</v>
      </c>
      <c r="O49" s="55">
        <f t="shared" si="5"/>
        <v>120000</v>
      </c>
      <c r="P49" s="55">
        <f t="shared" si="6"/>
        <v>240000</v>
      </c>
      <c r="Q49" s="55">
        <f t="shared" si="7"/>
        <v>360000</v>
      </c>
      <c r="R49" s="55">
        <f t="shared" si="8"/>
        <v>57600</v>
      </c>
      <c r="S49" s="55">
        <f t="shared" si="9"/>
        <v>417600</v>
      </c>
      <c r="T49" s="56" t="s">
        <v>289</v>
      </c>
      <c r="U49" s="54" t="s">
        <v>290</v>
      </c>
      <c r="V49" s="57" t="s">
        <v>291</v>
      </c>
      <c r="W49" s="54" t="s">
        <v>50</v>
      </c>
      <c r="X49" s="66" t="s">
        <v>345</v>
      </c>
    </row>
    <row r="50" spans="1:24" s="29" customFormat="1" ht="124.95" customHeight="1" x14ac:dyDescent="0.3">
      <c r="A50" s="49">
        <v>52</v>
      </c>
      <c r="B50" s="68" t="s">
        <v>47</v>
      </c>
      <c r="C50" s="27" t="s">
        <v>306</v>
      </c>
      <c r="D50" s="72" t="s">
        <v>176</v>
      </c>
      <c r="E50" s="73" t="s">
        <v>180</v>
      </c>
      <c r="F50" s="72" t="s">
        <v>46</v>
      </c>
      <c r="G50" s="50" t="s">
        <v>348</v>
      </c>
      <c r="H50" s="51" t="s">
        <v>287</v>
      </c>
      <c r="I50" s="52">
        <v>1</v>
      </c>
      <c r="J50" s="53">
        <v>2</v>
      </c>
      <c r="K50" s="54" t="s">
        <v>288</v>
      </c>
      <c r="L50" s="63">
        <v>418965.51</v>
      </c>
      <c r="M50" s="48">
        <v>15000</v>
      </c>
      <c r="N50" s="55">
        <v>120000</v>
      </c>
      <c r="O50" s="55">
        <f t="shared" si="5"/>
        <v>120000</v>
      </c>
      <c r="P50" s="55">
        <f t="shared" si="6"/>
        <v>240000</v>
      </c>
      <c r="Q50" s="55">
        <f t="shared" si="7"/>
        <v>360000</v>
      </c>
      <c r="R50" s="55">
        <f t="shared" si="8"/>
        <v>57600</v>
      </c>
      <c r="S50" s="55">
        <f t="shared" si="9"/>
        <v>417600</v>
      </c>
      <c r="T50" s="56" t="s">
        <v>289</v>
      </c>
      <c r="U50" s="54" t="s">
        <v>290</v>
      </c>
      <c r="V50" s="57" t="s">
        <v>291</v>
      </c>
      <c r="W50" s="54" t="s">
        <v>50</v>
      </c>
      <c r="X50" s="66" t="s">
        <v>345</v>
      </c>
    </row>
    <row r="51" spans="1:24" s="29" customFormat="1" ht="124.95" customHeight="1" x14ac:dyDescent="0.3">
      <c r="A51" s="49">
        <v>53</v>
      </c>
      <c r="B51" s="68" t="s">
        <v>47</v>
      </c>
      <c r="C51" s="27" t="s">
        <v>309</v>
      </c>
      <c r="D51" s="72" t="s">
        <v>176</v>
      </c>
      <c r="E51" s="68" t="s">
        <v>181</v>
      </c>
      <c r="F51" s="69" t="s">
        <v>46</v>
      </c>
      <c r="G51" s="50" t="s">
        <v>349</v>
      </c>
      <c r="H51" s="51" t="s">
        <v>287</v>
      </c>
      <c r="I51" s="52">
        <v>1</v>
      </c>
      <c r="J51" s="53">
        <v>2</v>
      </c>
      <c r="K51" s="54" t="s">
        <v>288</v>
      </c>
      <c r="L51" s="63">
        <v>418965.51</v>
      </c>
      <c r="M51" s="48">
        <v>15000</v>
      </c>
      <c r="N51" s="55">
        <v>120000</v>
      </c>
      <c r="O51" s="55">
        <f t="shared" si="5"/>
        <v>120000</v>
      </c>
      <c r="P51" s="55">
        <f t="shared" si="6"/>
        <v>240000</v>
      </c>
      <c r="Q51" s="55">
        <f t="shared" si="7"/>
        <v>360000</v>
      </c>
      <c r="R51" s="55">
        <f t="shared" si="8"/>
        <v>57600</v>
      </c>
      <c r="S51" s="55">
        <f t="shared" si="9"/>
        <v>417600</v>
      </c>
      <c r="T51" s="56" t="s">
        <v>289</v>
      </c>
      <c r="U51" s="54" t="s">
        <v>290</v>
      </c>
      <c r="V51" s="57" t="s">
        <v>291</v>
      </c>
      <c r="W51" s="54" t="s">
        <v>50</v>
      </c>
      <c r="X51" s="66" t="s">
        <v>345</v>
      </c>
    </row>
    <row r="52" spans="1:24" s="29" customFormat="1" ht="124.95" customHeight="1" x14ac:dyDescent="0.3">
      <c r="A52" s="49">
        <v>54</v>
      </c>
      <c r="B52" s="68" t="s">
        <v>47</v>
      </c>
      <c r="C52" s="27" t="s">
        <v>296</v>
      </c>
      <c r="D52" s="72" t="s">
        <v>176</v>
      </c>
      <c r="E52" s="68" t="s">
        <v>182</v>
      </c>
      <c r="F52" s="69" t="s">
        <v>46</v>
      </c>
      <c r="G52" s="50" t="s">
        <v>350</v>
      </c>
      <c r="H52" s="51" t="s">
        <v>287</v>
      </c>
      <c r="I52" s="52">
        <v>1</v>
      </c>
      <c r="J52" s="53">
        <v>2</v>
      </c>
      <c r="K52" s="54" t="s">
        <v>288</v>
      </c>
      <c r="L52" s="63">
        <v>422844.82</v>
      </c>
      <c r="M52" s="48">
        <v>15000</v>
      </c>
      <c r="N52" s="55">
        <v>120000</v>
      </c>
      <c r="O52" s="55">
        <f t="shared" si="5"/>
        <v>120000</v>
      </c>
      <c r="P52" s="55">
        <f t="shared" si="6"/>
        <v>240000</v>
      </c>
      <c r="Q52" s="55">
        <f t="shared" si="7"/>
        <v>360000</v>
      </c>
      <c r="R52" s="55">
        <f t="shared" si="8"/>
        <v>57600</v>
      </c>
      <c r="S52" s="55">
        <f t="shared" si="9"/>
        <v>417600</v>
      </c>
      <c r="T52" s="56" t="s">
        <v>289</v>
      </c>
      <c r="U52" s="54" t="s">
        <v>290</v>
      </c>
      <c r="V52" s="57" t="s">
        <v>291</v>
      </c>
      <c r="W52" s="54" t="s">
        <v>50</v>
      </c>
      <c r="X52" s="66" t="s">
        <v>345</v>
      </c>
    </row>
    <row r="53" spans="1:24" s="29" customFormat="1" ht="124.95" customHeight="1" x14ac:dyDescent="0.3">
      <c r="A53" s="49">
        <v>55</v>
      </c>
      <c r="B53" s="68" t="s">
        <v>47</v>
      </c>
      <c r="C53" s="27" t="s">
        <v>306</v>
      </c>
      <c r="D53" s="72" t="s">
        <v>176</v>
      </c>
      <c r="E53" s="73" t="s">
        <v>189</v>
      </c>
      <c r="F53" s="72" t="s">
        <v>46</v>
      </c>
      <c r="G53" s="50" t="s">
        <v>351</v>
      </c>
      <c r="H53" s="51" t="s">
        <v>287</v>
      </c>
      <c r="I53" s="52">
        <v>1</v>
      </c>
      <c r="J53" s="53">
        <v>2</v>
      </c>
      <c r="K53" s="54" t="s">
        <v>288</v>
      </c>
      <c r="L53" s="63">
        <v>387931.03</v>
      </c>
      <c r="M53" s="48">
        <v>15000</v>
      </c>
      <c r="N53" s="55">
        <v>120000</v>
      </c>
      <c r="O53" s="55">
        <f t="shared" si="5"/>
        <v>120000</v>
      </c>
      <c r="P53" s="55">
        <f t="shared" si="6"/>
        <v>240000</v>
      </c>
      <c r="Q53" s="55">
        <f t="shared" si="7"/>
        <v>360000</v>
      </c>
      <c r="R53" s="55">
        <f t="shared" si="8"/>
        <v>57600</v>
      </c>
      <c r="S53" s="55">
        <f t="shared" si="9"/>
        <v>417600</v>
      </c>
      <c r="T53" s="56" t="s">
        <v>289</v>
      </c>
      <c r="U53" s="54" t="s">
        <v>290</v>
      </c>
      <c r="V53" s="57" t="s">
        <v>291</v>
      </c>
      <c r="W53" s="54" t="s">
        <v>50</v>
      </c>
      <c r="X53" s="66" t="s">
        <v>345</v>
      </c>
    </row>
    <row r="54" spans="1:24" s="29" customFormat="1" ht="124.95" customHeight="1" x14ac:dyDescent="0.3">
      <c r="A54" s="49">
        <v>56</v>
      </c>
      <c r="B54" s="68" t="s">
        <v>47</v>
      </c>
      <c r="C54" s="27" t="s">
        <v>317</v>
      </c>
      <c r="D54" s="72" t="s">
        <v>176</v>
      </c>
      <c r="E54" s="68" t="s">
        <v>190</v>
      </c>
      <c r="F54" s="69" t="s">
        <v>46</v>
      </c>
      <c r="G54" s="50" t="s">
        <v>352</v>
      </c>
      <c r="H54" s="51" t="s">
        <v>287</v>
      </c>
      <c r="I54" s="52">
        <v>1</v>
      </c>
      <c r="J54" s="53">
        <v>2</v>
      </c>
      <c r="K54" s="54" t="s">
        <v>288</v>
      </c>
      <c r="L54" s="63">
        <v>407327.58</v>
      </c>
      <c r="M54" s="48">
        <v>15000</v>
      </c>
      <c r="N54" s="55">
        <v>120000</v>
      </c>
      <c r="O54" s="55">
        <f t="shared" si="5"/>
        <v>120000</v>
      </c>
      <c r="P54" s="55">
        <f t="shared" si="6"/>
        <v>240000</v>
      </c>
      <c r="Q54" s="55">
        <f t="shared" si="7"/>
        <v>360000</v>
      </c>
      <c r="R54" s="55">
        <f t="shared" si="8"/>
        <v>57600</v>
      </c>
      <c r="S54" s="55">
        <f t="shared" si="9"/>
        <v>417600</v>
      </c>
      <c r="T54" s="56" t="s">
        <v>289</v>
      </c>
      <c r="U54" s="54" t="s">
        <v>290</v>
      </c>
      <c r="V54" s="57" t="s">
        <v>291</v>
      </c>
      <c r="W54" s="54" t="s">
        <v>50</v>
      </c>
      <c r="X54" s="66" t="s">
        <v>345</v>
      </c>
    </row>
    <row r="55" spans="1:24" s="29" customFormat="1" ht="124.95" customHeight="1" x14ac:dyDescent="0.3">
      <c r="A55" s="49">
        <v>57</v>
      </c>
      <c r="B55" s="68" t="s">
        <v>47</v>
      </c>
      <c r="C55" s="27" t="s">
        <v>306</v>
      </c>
      <c r="D55" s="72" t="s">
        <v>176</v>
      </c>
      <c r="E55" s="73" t="s">
        <v>191</v>
      </c>
      <c r="F55" s="72" t="s">
        <v>46</v>
      </c>
      <c r="G55" s="50" t="s">
        <v>353</v>
      </c>
      <c r="H55" s="51" t="s">
        <v>287</v>
      </c>
      <c r="I55" s="52">
        <v>1</v>
      </c>
      <c r="J55" s="53">
        <v>2</v>
      </c>
      <c r="K55" s="54" t="s">
        <v>288</v>
      </c>
      <c r="L55" s="63">
        <v>399568.96</v>
      </c>
      <c r="M55" s="48">
        <v>15000</v>
      </c>
      <c r="N55" s="55">
        <v>120000</v>
      </c>
      <c r="O55" s="55">
        <f t="shared" si="5"/>
        <v>120000</v>
      </c>
      <c r="P55" s="55">
        <f t="shared" si="6"/>
        <v>240000</v>
      </c>
      <c r="Q55" s="55">
        <f t="shared" si="7"/>
        <v>360000</v>
      </c>
      <c r="R55" s="55">
        <f t="shared" si="8"/>
        <v>57600</v>
      </c>
      <c r="S55" s="55">
        <f t="shared" si="9"/>
        <v>417600</v>
      </c>
      <c r="T55" s="56" t="s">
        <v>289</v>
      </c>
      <c r="U55" s="54" t="s">
        <v>290</v>
      </c>
      <c r="V55" s="57" t="s">
        <v>291</v>
      </c>
      <c r="W55" s="54" t="s">
        <v>50</v>
      </c>
      <c r="X55" s="66" t="s">
        <v>345</v>
      </c>
    </row>
    <row r="56" spans="1:24" s="30" customFormat="1" ht="124.95" customHeight="1" x14ac:dyDescent="0.3">
      <c r="A56" s="49">
        <v>58</v>
      </c>
      <c r="B56" s="68" t="s">
        <v>47</v>
      </c>
      <c r="C56" s="27" t="s">
        <v>317</v>
      </c>
      <c r="D56" s="72" t="s">
        <v>176</v>
      </c>
      <c r="E56" s="68" t="s">
        <v>192</v>
      </c>
      <c r="F56" s="69" t="s">
        <v>46</v>
      </c>
      <c r="G56" s="50" t="s">
        <v>354</v>
      </c>
      <c r="H56" s="51" t="s">
        <v>287</v>
      </c>
      <c r="I56" s="52">
        <v>1</v>
      </c>
      <c r="J56" s="53">
        <v>2</v>
      </c>
      <c r="K56" s="59" t="s">
        <v>288</v>
      </c>
      <c r="L56" s="63">
        <v>405690</v>
      </c>
      <c r="M56" s="48">
        <v>15000</v>
      </c>
      <c r="N56" s="55">
        <v>120000</v>
      </c>
      <c r="O56" s="55">
        <f t="shared" si="5"/>
        <v>120000</v>
      </c>
      <c r="P56" s="55">
        <f t="shared" si="6"/>
        <v>240000</v>
      </c>
      <c r="Q56" s="55">
        <f t="shared" si="7"/>
        <v>360000</v>
      </c>
      <c r="R56" s="55">
        <f t="shared" si="8"/>
        <v>57600</v>
      </c>
      <c r="S56" s="55">
        <f t="shared" si="9"/>
        <v>417600</v>
      </c>
      <c r="T56" s="56" t="s">
        <v>289</v>
      </c>
      <c r="U56" s="54" t="s">
        <v>290</v>
      </c>
      <c r="V56" s="57" t="s">
        <v>291</v>
      </c>
      <c r="W56" s="54" t="s">
        <v>50</v>
      </c>
      <c r="X56" s="28" t="s">
        <v>345</v>
      </c>
    </row>
    <row r="57" spans="1:24" ht="124.95" customHeight="1" x14ac:dyDescent="0.3">
      <c r="A57" s="49">
        <v>59</v>
      </c>
      <c r="B57" s="74" t="s">
        <v>47</v>
      </c>
      <c r="C57" s="31"/>
      <c r="D57" s="75" t="s">
        <v>176</v>
      </c>
      <c r="E57" s="74" t="s">
        <v>193</v>
      </c>
      <c r="F57" s="75" t="s">
        <v>46</v>
      </c>
      <c r="G57" s="50" t="s">
        <v>355</v>
      </c>
      <c r="H57" s="51" t="s">
        <v>287</v>
      </c>
      <c r="I57" s="52">
        <v>1</v>
      </c>
      <c r="J57" s="53">
        <v>2</v>
      </c>
      <c r="K57" s="59" t="s">
        <v>288</v>
      </c>
      <c r="L57" s="63">
        <v>395689.65</v>
      </c>
      <c r="M57" s="48">
        <v>15000</v>
      </c>
      <c r="N57" s="55">
        <v>120000</v>
      </c>
      <c r="O57" s="55">
        <f t="shared" si="5"/>
        <v>120000</v>
      </c>
      <c r="P57" s="55">
        <f t="shared" si="6"/>
        <v>240000</v>
      </c>
      <c r="Q57" s="55">
        <f t="shared" si="7"/>
        <v>360000</v>
      </c>
      <c r="R57" s="55">
        <f t="shared" si="8"/>
        <v>57600</v>
      </c>
      <c r="S57" s="55">
        <f t="shared" si="9"/>
        <v>417600</v>
      </c>
      <c r="T57" s="56" t="s">
        <v>289</v>
      </c>
      <c r="U57" s="54" t="s">
        <v>290</v>
      </c>
      <c r="V57" s="57" t="s">
        <v>291</v>
      </c>
      <c r="W57" s="54" t="s">
        <v>50</v>
      </c>
      <c r="X57" s="32" t="s">
        <v>345</v>
      </c>
    </row>
    <row r="58" spans="1:24" ht="124.95" customHeight="1" x14ac:dyDescent="0.3">
      <c r="A58" s="49">
        <v>60</v>
      </c>
      <c r="B58" s="68" t="s">
        <v>47</v>
      </c>
      <c r="D58" s="69" t="s">
        <v>176</v>
      </c>
      <c r="E58" s="68" t="s">
        <v>194</v>
      </c>
      <c r="F58" s="69" t="s">
        <v>46</v>
      </c>
      <c r="G58" s="50" t="s">
        <v>356</v>
      </c>
      <c r="H58" s="51" t="s">
        <v>287</v>
      </c>
      <c r="I58" s="52">
        <v>1</v>
      </c>
      <c r="J58" s="53">
        <v>2</v>
      </c>
      <c r="K58" s="59" t="s">
        <v>288</v>
      </c>
      <c r="L58" s="63">
        <v>399568.96</v>
      </c>
      <c r="M58" s="48">
        <v>15000</v>
      </c>
      <c r="N58" s="55">
        <v>120000</v>
      </c>
      <c r="O58" s="55">
        <f t="shared" si="5"/>
        <v>120000</v>
      </c>
      <c r="P58" s="55">
        <f t="shared" si="6"/>
        <v>240000</v>
      </c>
      <c r="Q58" s="55">
        <f t="shared" si="7"/>
        <v>360000</v>
      </c>
      <c r="R58" s="55">
        <f t="shared" si="8"/>
        <v>57600</v>
      </c>
      <c r="S58" s="55">
        <f t="shared" si="9"/>
        <v>417600</v>
      </c>
      <c r="T58" s="56" t="s">
        <v>289</v>
      </c>
      <c r="U58" s="54" t="s">
        <v>290</v>
      </c>
      <c r="V58" s="57" t="s">
        <v>291</v>
      </c>
      <c r="W58" s="54" t="s">
        <v>50</v>
      </c>
      <c r="X58" s="32" t="s">
        <v>345</v>
      </c>
    </row>
    <row r="59" spans="1:24" ht="140.4" customHeight="1" x14ac:dyDescent="0.3">
      <c r="A59" s="49">
        <v>61</v>
      </c>
      <c r="B59" s="68" t="s">
        <v>47</v>
      </c>
      <c r="D59" s="69" t="s">
        <v>206</v>
      </c>
      <c r="E59" s="68" t="s">
        <v>207</v>
      </c>
      <c r="F59" s="69" t="s">
        <v>46</v>
      </c>
      <c r="G59" s="50" t="s">
        <v>357</v>
      </c>
      <c r="H59" s="51" t="s">
        <v>287</v>
      </c>
      <c r="I59" s="52">
        <v>1</v>
      </c>
      <c r="J59" s="53">
        <v>2</v>
      </c>
      <c r="K59" s="59" t="s">
        <v>288</v>
      </c>
      <c r="L59" s="63">
        <v>407327.58</v>
      </c>
      <c r="M59" s="48">
        <v>20000</v>
      </c>
      <c r="N59" s="55">
        <v>150000</v>
      </c>
      <c r="O59" s="55">
        <f t="shared" si="5"/>
        <v>150000</v>
      </c>
      <c r="P59" s="55">
        <f t="shared" si="6"/>
        <v>300000</v>
      </c>
      <c r="Q59" s="55">
        <f t="shared" si="7"/>
        <v>450000</v>
      </c>
      <c r="R59" s="55">
        <f t="shared" si="8"/>
        <v>72000</v>
      </c>
      <c r="S59" s="55">
        <f t="shared" si="9"/>
        <v>522000</v>
      </c>
      <c r="T59" s="56" t="s">
        <v>289</v>
      </c>
      <c r="U59" s="54" t="s">
        <v>290</v>
      </c>
      <c r="V59" s="57" t="s">
        <v>291</v>
      </c>
      <c r="W59" s="54" t="s">
        <v>50</v>
      </c>
      <c r="X59" s="32" t="s">
        <v>345</v>
      </c>
    </row>
    <row r="60" spans="1:24" ht="140.4" customHeight="1" x14ac:dyDescent="0.3">
      <c r="A60" s="49">
        <v>62</v>
      </c>
      <c r="B60" s="68" t="s">
        <v>47</v>
      </c>
      <c r="D60" s="69" t="s">
        <v>206</v>
      </c>
      <c r="E60" s="68" t="s">
        <v>208</v>
      </c>
      <c r="F60" s="69" t="s">
        <v>46</v>
      </c>
      <c r="G60" s="50" t="s">
        <v>358</v>
      </c>
      <c r="H60" s="51" t="s">
        <v>287</v>
      </c>
      <c r="I60" s="52">
        <v>1</v>
      </c>
      <c r="J60" s="53">
        <v>2</v>
      </c>
      <c r="K60" s="59" t="s">
        <v>288</v>
      </c>
      <c r="L60" s="63">
        <v>403448.27</v>
      </c>
      <c r="M60" s="48">
        <v>20000</v>
      </c>
      <c r="N60" s="55">
        <v>150000</v>
      </c>
      <c r="O60" s="55">
        <f t="shared" si="5"/>
        <v>150000</v>
      </c>
      <c r="P60" s="55">
        <f t="shared" si="6"/>
        <v>300000</v>
      </c>
      <c r="Q60" s="55">
        <f t="shared" si="7"/>
        <v>450000</v>
      </c>
      <c r="R60" s="55">
        <f t="shared" si="8"/>
        <v>72000</v>
      </c>
      <c r="S60" s="55">
        <f t="shared" si="9"/>
        <v>522000</v>
      </c>
      <c r="T60" s="56" t="s">
        <v>289</v>
      </c>
      <c r="U60" s="54" t="s">
        <v>290</v>
      </c>
      <c r="V60" s="57" t="s">
        <v>291</v>
      </c>
      <c r="W60" s="54" t="s">
        <v>50</v>
      </c>
      <c r="X60" s="32" t="s">
        <v>345</v>
      </c>
    </row>
    <row r="61" spans="1:24" ht="140.4" customHeight="1" x14ac:dyDescent="0.3">
      <c r="A61" s="49">
        <v>63</v>
      </c>
      <c r="B61" s="68" t="s">
        <v>47</v>
      </c>
      <c r="D61" s="69" t="s">
        <v>206</v>
      </c>
      <c r="E61" s="68" t="s">
        <v>209</v>
      </c>
      <c r="F61" s="69" t="s">
        <v>46</v>
      </c>
      <c r="G61" s="50" t="s">
        <v>359</v>
      </c>
      <c r="H61" s="51" t="s">
        <v>287</v>
      </c>
      <c r="I61" s="52">
        <v>1</v>
      </c>
      <c r="J61" s="53">
        <v>2</v>
      </c>
      <c r="K61" s="59" t="s">
        <v>288</v>
      </c>
      <c r="L61" s="63">
        <v>396700</v>
      </c>
      <c r="M61" s="48">
        <v>20000</v>
      </c>
      <c r="N61" s="55">
        <v>150000</v>
      </c>
      <c r="O61" s="55">
        <f t="shared" si="5"/>
        <v>150000</v>
      </c>
      <c r="P61" s="55">
        <f t="shared" si="6"/>
        <v>300000</v>
      </c>
      <c r="Q61" s="55">
        <f t="shared" si="7"/>
        <v>450000</v>
      </c>
      <c r="R61" s="55">
        <f t="shared" si="8"/>
        <v>72000</v>
      </c>
      <c r="S61" s="55">
        <f t="shared" si="9"/>
        <v>522000</v>
      </c>
      <c r="T61" s="56" t="s">
        <v>289</v>
      </c>
      <c r="U61" s="54" t="s">
        <v>290</v>
      </c>
      <c r="V61" s="57" t="s">
        <v>291</v>
      </c>
      <c r="W61" s="54" t="s">
        <v>50</v>
      </c>
      <c r="X61" s="32" t="s">
        <v>345</v>
      </c>
    </row>
    <row r="62" spans="1:24" ht="140.4" customHeight="1" x14ac:dyDescent="0.3">
      <c r="A62" s="49">
        <v>64</v>
      </c>
      <c r="B62" s="68" t="s">
        <v>47</v>
      </c>
      <c r="D62" s="69" t="s">
        <v>206</v>
      </c>
      <c r="E62" s="68" t="s">
        <v>210</v>
      </c>
      <c r="F62" s="69" t="s">
        <v>46</v>
      </c>
      <c r="G62" s="50" t="s">
        <v>360</v>
      </c>
      <c r="H62" s="51" t="s">
        <v>287</v>
      </c>
      <c r="I62" s="52">
        <v>1</v>
      </c>
      <c r="J62" s="53">
        <v>2</v>
      </c>
      <c r="K62" s="59" t="s">
        <v>288</v>
      </c>
      <c r="L62" s="63">
        <v>426724.13</v>
      </c>
      <c r="M62" s="48">
        <v>20000</v>
      </c>
      <c r="N62" s="55">
        <v>150000</v>
      </c>
      <c r="O62" s="55">
        <f t="shared" si="5"/>
        <v>150000</v>
      </c>
      <c r="P62" s="55">
        <f t="shared" si="6"/>
        <v>300000</v>
      </c>
      <c r="Q62" s="55">
        <f t="shared" si="7"/>
        <v>450000</v>
      </c>
      <c r="R62" s="55">
        <f t="shared" si="8"/>
        <v>72000</v>
      </c>
      <c r="S62" s="55">
        <f t="shared" si="9"/>
        <v>522000</v>
      </c>
      <c r="T62" s="56" t="s">
        <v>289</v>
      </c>
      <c r="U62" s="54" t="s">
        <v>290</v>
      </c>
      <c r="V62" s="57" t="s">
        <v>291</v>
      </c>
      <c r="W62" s="54" t="s">
        <v>50</v>
      </c>
      <c r="X62" s="32" t="s">
        <v>345</v>
      </c>
    </row>
    <row r="63" spans="1:24" ht="140.4" customHeight="1" x14ac:dyDescent="0.3">
      <c r="A63" s="49">
        <v>65</v>
      </c>
      <c r="B63" s="68" t="s">
        <v>47</v>
      </c>
      <c r="D63" s="69" t="s">
        <v>206</v>
      </c>
      <c r="E63" s="68" t="s">
        <v>211</v>
      </c>
      <c r="F63" s="69" t="s">
        <v>46</v>
      </c>
      <c r="G63" s="50" t="s">
        <v>361</v>
      </c>
      <c r="H63" s="51" t="s">
        <v>287</v>
      </c>
      <c r="I63" s="52">
        <v>1</v>
      </c>
      <c r="J63" s="53">
        <v>2</v>
      </c>
      <c r="K63" s="59" t="s">
        <v>288</v>
      </c>
      <c r="L63" s="63">
        <v>415086.2</v>
      </c>
      <c r="M63" s="48">
        <v>20000</v>
      </c>
      <c r="N63" s="55">
        <v>150000</v>
      </c>
      <c r="O63" s="55">
        <f t="shared" si="5"/>
        <v>150000</v>
      </c>
      <c r="P63" s="55">
        <f t="shared" si="6"/>
        <v>300000</v>
      </c>
      <c r="Q63" s="55">
        <f t="shared" si="7"/>
        <v>450000</v>
      </c>
      <c r="R63" s="55">
        <f t="shared" si="8"/>
        <v>72000</v>
      </c>
      <c r="S63" s="55">
        <f t="shared" si="9"/>
        <v>522000</v>
      </c>
      <c r="T63" s="56" t="s">
        <v>289</v>
      </c>
      <c r="U63" s="54" t="s">
        <v>290</v>
      </c>
      <c r="V63" s="57" t="s">
        <v>291</v>
      </c>
      <c r="W63" s="54" t="s">
        <v>50</v>
      </c>
      <c r="X63" s="32" t="s">
        <v>345</v>
      </c>
    </row>
    <row r="64" spans="1:24" ht="140.4" customHeight="1" x14ac:dyDescent="0.3">
      <c r="A64" s="49">
        <v>68</v>
      </c>
      <c r="B64" s="68" t="s">
        <v>47</v>
      </c>
      <c r="D64" s="69" t="s">
        <v>212</v>
      </c>
      <c r="E64" s="68" t="s">
        <v>213</v>
      </c>
      <c r="F64" s="69" t="s">
        <v>46</v>
      </c>
      <c r="G64" s="50" t="s">
        <v>362</v>
      </c>
      <c r="H64" s="51" t="s">
        <v>287</v>
      </c>
      <c r="I64" s="52">
        <v>1</v>
      </c>
      <c r="J64" s="52">
        <v>2</v>
      </c>
      <c r="K64" s="59" t="s">
        <v>288</v>
      </c>
      <c r="L64" s="63">
        <v>192025.86</v>
      </c>
      <c r="M64" s="48">
        <v>40000</v>
      </c>
      <c r="N64" s="55">
        <v>150000</v>
      </c>
      <c r="O64" s="55">
        <f t="shared" si="5"/>
        <v>150000</v>
      </c>
      <c r="P64" s="55">
        <f t="shared" si="6"/>
        <v>300000</v>
      </c>
      <c r="Q64" s="55">
        <f t="shared" si="7"/>
        <v>450000</v>
      </c>
      <c r="R64" s="55">
        <f t="shared" si="8"/>
        <v>72000</v>
      </c>
      <c r="S64" s="55">
        <f t="shared" si="9"/>
        <v>522000</v>
      </c>
      <c r="T64" s="56" t="s">
        <v>289</v>
      </c>
      <c r="U64" s="54" t="s">
        <v>290</v>
      </c>
      <c r="V64" s="57" t="s">
        <v>291</v>
      </c>
      <c r="W64" s="54" t="s">
        <v>50</v>
      </c>
      <c r="X64" s="32" t="s">
        <v>345</v>
      </c>
    </row>
    <row r="65" spans="1:24" ht="140.4" customHeight="1" x14ac:dyDescent="0.3">
      <c r="A65" s="49">
        <v>69</v>
      </c>
      <c r="B65" s="68" t="s">
        <v>47</v>
      </c>
      <c r="D65" s="69" t="s">
        <v>212</v>
      </c>
      <c r="E65" s="68" t="s">
        <v>223</v>
      </c>
      <c r="F65" s="69" t="s">
        <v>46</v>
      </c>
      <c r="G65" s="50" t="s">
        <v>363</v>
      </c>
      <c r="H65" s="51" t="s">
        <v>287</v>
      </c>
      <c r="I65" s="52">
        <v>1</v>
      </c>
      <c r="J65" s="52">
        <v>2</v>
      </c>
      <c r="K65" s="59" t="s">
        <v>288</v>
      </c>
      <c r="L65" s="63">
        <v>183355</v>
      </c>
      <c r="M65" s="48">
        <v>40000</v>
      </c>
      <c r="N65" s="55">
        <v>150000</v>
      </c>
      <c r="O65" s="55">
        <f t="shared" si="5"/>
        <v>150000</v>
      </c>
      <c r="P65" s="55">
        <f t="shared" si="6"/>
        <v>300000</v>
      </c>
      <c r="Q65" s="55">
        <f t="shared" si="7"/>
        <v>450000</v>
      </c>
      <c r="R65" s="55">
        <f t="shared" si="8"/>
        <v>72000</v>
      </c>
      <c r="S65" s="55">
        <f t="shared" si="9"/>
        <v>522000</v>
      </c>
      <c r="T65" s="56" t="s">
        <v>289</v>
      </c>
      <c r="U65" s="54" t="s">
        <v>290</v>
      </c>
      <c r="V65" s="57" t="s">
        <v>291</v>
      </c>
      <c r="W65" s="54" t="s">
        <v>50</v>
      </c>
      <c r="X65" s="32" t="s">
        <v>345</v>
      </c>
    </row>
    <row r="66" spans="1:24" ht="140.4" customHeight="1" x14ac:dyDescent="0.3">
      <c r="A66" s="49">
        <v>70</v>
      </c>
      <c r="B66" s="68" t="s">
        <v>47</v>
      </c>
      <c r="D66" s="69" t="s">
        <v>110</v>
      </c>
      <c r="E66" s="68" t="s">
        <v>111</v>
      </c>
      <c r="F66" s="69" t="s">
        <v>46</v>
      </c>
      <c r="G66" s="50" t="s">
        <v>364</v>
      </c>
      <c r="H66" s="51" t="s">
        <v>287</v>
      </c>
      <c r="I66" s="52">
        <v>1</v>
      </c>
      <c r="J66" s="52">
        <v>2</v>
      </c>
      <c r="K66" s="59" t="s">
        <v>288</v>
      </c>
      <c r="L66" s="63">
        <v>395689.65</v>
      </c>
      <c r="M66" s="48">
        <v>75000</v>
      </c>
      <c r="N66" s="55">
        <v>290000</v>
      </c>
      <c r="O66" s="55">
        <f t="shared" si="5"/>
        <v>290000</v>
      </c>
      <c r="P66" s="55">
        <f t="shared" si="6"/>
        <v>580000</v>
      </c>
      <c r="Q66" s="55">
        <f t="shared" si="7"/>
        <v>870000</v>
      </c>
      <c r="R66" s="55">
        <f t="shared" si="8"/>
        <v>139200</v>
      </c>
      <c r="S66" s="55">
        <f t="shared" si="9"/>
        <v>1009200</v>
      </c>
      <c r="T66" s="56" t="s">
        <v>289</v>
      </c>
      <c r="U66" s="54" t="s">
        <v>290</v>
      </c>
      <c r="V66" s="57" t="s">
        <v>291</v>
      </c>
      <c r="W66" s="54" t="s">
        <v>50</v>
      </c>
      <c r="X66" s="32" t="s">
        <v>295</v>
      </c>
    </row>
    <row r="67" spans="1:24" ht="124.95" customHeight="1" x14ac:dyDescent="0.3">
      <c r="A67" s="49">
        <v>71</v>
      </c>
      <c r="B67" s="68" t="s">
        <v>47</v>
      </c>
      <c r="D67" s="69" t="s">
        <v>67</v>
      </c>
      <c r="E67" s="68" t="s">
        <v>68</v>
      </c>
      <c r="F67" s="69" t="s">
        <v>46</v>
      </c>
      <c r="G67" s="60" t="s">
        <v>365</v>
      </c>
      <c r="H67" s="51" t="s">
        <v>287</v>
      </c>
      <c r="I67" s="52">
        <v>1</v>
      </c>
      <c r="J67" s="52">
        <v>2</v>
      </c>
      <c r="K67" s="59" t="s">
        <v>288</v>
      </c>
      <c r="L67" s="63">
        <v>454355</v>
      </c>
      <c r="M67" s="48">
        <v>350000</v>
      </c>
      <c r="N67" s="55">
        <v>450000</v>
      </c>
      <c r="O67" s="55">
        <f t="shared" si="5"/>
        <v>450000</v>
      </c>
      <c r="P67" s="55">
        <f t="shared" si="6"/>
        <v>900000</v>
      </c>
      <c r="Q67" s="55">
        <f t="shared" si="7"/>
        <v>1350000</v>
      </c>
      <c r="R67" s="55">
        <f t="shared" si="8"/>
        <v>216000</v>
      </c>
      <c r="S67" s="55">
        <f t="shared" si="9"/>
        <v>1566000</v>
      </c>
      <c r="T67" s="56" t="s">
        <v>289</v>
      </c>
      <c r="U67" s="54" t="s">
        <v>290</v>
      </c>
      <c r="V67" s="57" t="s">
        <v>291</v>
      </c>
      <c r="W67" s="54" t="s">
        <v>50</v>
      </c>
      <c r="X67" s="32" t="s">
        <v>300</v>
      </c>
    </row>
    <row r="68" spans="1:24" s="2" customFormat="1" ht="124.95" customHeight="1" x14ac:dyDescent="0.3">
      <c r="A68" s="49">
        <v>72</v>
      </c>
      <c r="B68" s="68" t="s">
        <v>47</v>
      </c>
      <c r="D68" s="69" t="s">
        <v>112</v>
      </c>
      <c r="E68" s="68" t="s">
        <v>113</v>
      </c>
      <c r="F68" s="69" t="s">
        <v>46</v>
      </c>
      <c r="G68" s="60" t="s">
        <v>366</v>
      </c>
      <c r="H68" s="51" t="s">
        <v>287</v>
      </c>
      <c r="I68" s="52">
        <v>1</v>
      </c>
      <c r="J68" s="52">
        <v>2</v>
      </c>
      <c r="K68" s="59" t="s">
        <v>288</v>
      </c>
      <c r="L68" s="63">
        <v>391810.34</v>
      </c>
      <c r="M68" s="48">
        <v>80000</v>
      </c>
      <c r="N68" s="55">
        <v>250000</v>
      </c>
      <c r="O68" s="55">
        <f t="shared" si="5"/>
        <v>250000</v>
      </c>
      <c r="P68" s="55">
        <f t="shared" si="6"/>
        <v>500000</v>
      </c>
      <c r="Q68" s="55">
        <f t="shared" si="7"/>
        <v>750000</v>
      </c>
      <c r="R68" s="55">
        <f t="shared" si="8"/>
        <v>120000</v>
      </c>
      <c r="S68" s="55">
        <f t="shared" si="9"/>
        <v>870000</v>
      </c>
      <c r="T68" s="56" t="s">
        <v>289</v>
      </c>
      <c r="U68" s="54" t="s">
        <v>290</v>
      </c>
      <c r="V68" s="57" t="s">
        <v>291</v>
      </c>
      <c r="W68" s="54" t="s">
        <v>50</v>
      </c>
      <c r="X68" s="32" t="s">
        <v>295</v>
      </c>
    </row>
    <row r="69" spans="1:24" s="2" customFormat="1" ht="124.95" customHeight="1" x14ac:dyDescent="0.3">
      <c r="A69" s="49">
        <v>73</v>
      </c>
      <c r="B69" s="68" t="s">
        <v>47</v>
      </c>
      <c r="D69" s="69" t="s">
        <v>112</v>
      </c>
      <c r="E69" s="68" t="s">
        <v>114</v>
      </c>
      <c r="F69" s="69" t="s">
        <v>46</v>
      </c>
      <c r="G69" s="60" t="s">
        <v>367</v>
      </c>
      <c r="H69" s="51" t="s">
        <v>287</v>
      </c>
      <c r="I69" s="52">
        <v>1</v>
      </c>
      <c r="J69" s="52">
        <v>2</v>
      </c>
      <c r="K69" s="59" t="s">
        <v>288</v>
      </c>
      <c r="L69" s="63">
        <v>401979</v>
      </c>
      <c r="M69" s="48">
        <v>80000</v>
      </c>
      <c r="N69" s="55">
        <v>250000</v>
      </c>
      <c r="O69" s="55">
        <f t="shared" si="5"/>
        <v>250000</v>
      </c>
      <c r="P69" s="55">
        <f t="shared" si="6"/>
        <v>500000</v>
      </c>
      <c r="Q69" s="55">
        <f t="shared" si="7"/>
        <v>750000</v>
      </c>
      <c r="R69" s="55">
        <f t="shared" si="8"/>
        <v>120000</v>
      </c>
      <c r="S69" s="55">
        <f t="shared" si="9"/>
        <v>870000</v>
      </c>
      <c r="T69" s="56" t="s">
        <v>289</v>
      </c>
      <c r="U69" s="54" t="s">
        <v>290</v>
      </c>
      <c r="V69" s="57" t="s">
        <v>291</v>
      </c>
      <c r="W69" s="54" t="s">
        <v>50</v>
      </c>
      <c r="X69" s="32" t="s">
        <v>295</v>
      </c>
    </row>
    <row r="70" spans="1:24" s="2" customFormat="1" ht="124.95" customHeight="1" x14ac:dyDescent="0.3">
      <c r="A70" s="49">
        <v>74</v>
      </c>
      <c r="B70" s="68" t="s">
        <v>47</v>
      </c>
      <c r="D70" s="69" t="s">
        <v>115</v>
      </c>
      <c r="E70" s="68" t="s">
        <v>116</v>
      </c>
      <c r="F70" s="69" t="s">
        <v>46</v>
      </c>
      <c r="G70" s="60" t="s">
        <v>368</v>
      </c>
      <c r="H70" s="51" t="s">
        <v>287</v>
      </c>
      <c r="I70" s="52">
        <v>1</v>
      </c>
      <c r="J70" s="52">
        <v>2</v>
      </c>
      <c r="K70" s="59" t="s">
        <v>288</v>
      </c>
      <c r="L70" s="63">
        <v>413200</v>
      </c>
      <c r="M70" s="48">
        <v>70000</v>
      </c>
      <c r="N70" s="55">
        <v>250000</v>
      </c>
      <c r="O70" s="55">
        <f t="shared" si="5"/>
        <v>250000</v>
      </c>
      <c r="P70" s="55">
        <f t="shared" si="6"/>
        <v>500000</v>
      </c>
      <c r="Q70" s="55">
        <f t="shared" si="7"/>
        <v>750000</v>
      </c>
      <c r="R70" s="55">
        <f t="shared" si="8"/>
        <v>120000</v>
      </c>
      <c r="S70" s="55">
        <f t="shared" si="9"/>
        <v>870000</v>
      </c>
      <c r="T70" s="56" t="s">
        <v>289</v>
      </c>
      <c r="U70" s="54" t="s">
        <v>290</v>
      </c>
      <c r="V70" s="57" t="s">
        <v>291</v>
      </c>
      <c r="W70" s="54" t="s">
        <v>50</v>
      </c>
      <c r="X70" s="32" t="s">
        <v>295</v>
      </c>
    </row>
    <row r="71" spans="1:24" s="2" customFormat="1" ht="124.95" customHeight="1" x14ac:dyDescent="0.3">
      <c r="A71" s="49">
        <v>75</v>
      </c>
      <c r="B71" s="68" t="s">
        <v>47</v>
      </c>
      <c r="D71" s="69" t="s">
        <v>224</v>
      </c>
      <c r="E71" s="68" t="s">
        <v>225</v>
      </c>
      <c r="F71" s="69" t="s">
        <v>46</v>
      </c>
      <c r="G71" s="60" t="s">
        <v>369</v>
      </c>
      <c r="H71" s="51" t="s">
        <v>287</v>
      </c>
      <c r="I71" s="52">
        <v>2</v>
      </c>
      <c r="J71" s="52">
        <v>4</v>
      </c>
      <c r="K71" s="59" t="s">
        <v>288</v>
      </c>
      <c r="L71" s="63">
        <v>239612.06</v>
      </c>
      <c r="M71" s="48">
        <v>90000</v>
      </c>
      <c r="N71" s="55">
        <v>220000</v>
      </c>
      <c r="O71" s="55">
        <f t="shared" si="5"/>
        <v>440000</v>
      </c>
      <c r="P71" s="55">
        <f t="shared" si="6"/>
        <v>880000</v>
      </c>
      <c r="Q71" s="55">
        <f t="shared" si="7"/>
        <v>1320000</v>
      </c>
      <c r="R71" s="55">
        <f t="shared" si="8"/>
        <v>211200</v>
      </c>
      <c r="S71" s="55">
        <f t="shared" si="9"/>
        <v>1531200</v>
      </c>
      <c r="T71" s="56" t="s">
        <v>289</v>
      </c>
      <c r="U71" s="54" t="s">
        <v>290</v>
      </c>
      <c r="V71" s="57" t="s">
        <v>291</v>
      </c>
      <c r="W71" s="54" t="s">
        <v>50</v>
      </c>
      <c r="X71" s="32" t="s">
        <v>345</v>
      </c>
    </row>
    <row r="72" spans="1:24" ht="124.95" customHeight="1" x14ac:dyDescent="0.3">
      <c r="A72" s="49">
        <v>76</v>
      </c>
      <c r="B72" s="68" t="s">
        <v>47</v>
      </c>
      <c r="D72" s="69" t="s">
        <v>224</v>
      </c>
      <c r="E72" s="68" t="s">
        <v>226</v>
      </c>
      <c r="F72" s="69" t="s">
        <v>46</v>
      </c>
      <c r="G72" s="60" t="s">
        <v>370</v>
      </c>
      <c r="H72" s="51" t="s">
        <v>287</v>
      </c>
      <c r="I72" s="52">
        <v>1</v>
      </c>
      <c r="J72" s="52">
        <v>2</v>
      </c>
      <c r="K72" s="59" t="s">
        <v>288</v>
      </c>
      <c r="L72" s="63">
        <v>232400</v>
      </c>
      <c r="M72" s="48">
        <v>90000</v>
      </c>
      <c r="N72" s="55">
        <v>220000</v>
      </c>
      <c r="O72" s="55">
        <f t="shared" si="5"/>
        <v>220000</v>
      </c>
      <c r="P72" s="55">
        <f t="shared" si="6"/>
        <v>440000</v>
      </c>
      <c r="Q72" s="55">
        <f t="shared" si="7"/>
        <v>660000</v>
      </c>
      <c r="R72" s="55">
        <f t="shared" si="8"/>
        <v>105600</v>
      </c>
      <c r="S72" s="55">
        <f t="shared" si="9"/>
        <v>765600</v>
      </c>
      <c r="T72" s="56" t="s">
        <v>289</v>
      </c>
      <c r="U72" s="54" t="s">
        <v>290</v>
      </c>
      <c r="V72" s="57" t="s">
        <v>291</v>
      </c>
      <c r="W72" s="54" t="s">
        <v>50</v>
      </c>
      <c r="X72" s="32" t="s">
        <v>345</v>
      </c>
    </row>
    <row r="73" spans="1:24" s="2" customFormat="1" ht="124.95" customHeight="1" x14ac:dyDescent="0.3">
      <c r="A73" s="49">
        <v>77</v>
      </c>
      <c r="B73" s="68" t="s">
        <v>47</v>
      </c>
      <c r="D73" s="69" t="s">
        <v>224</v>
      </c>
      <c r="E73" s="68" t="s">
        <v>227</v>
      </c>
      <c r="F73" s="69" t="s">
        <v>46</v>
      </c>
      <c r="G73" s="50" t="s">
        <v>371</v>
      </c>
      <c r="H73" s="51" t="s">
        <v>287</v>
      </c>
      <c r="I73" s="52">
        <v>1</v>
      </c>
      <c r="J73" s="52">
        <v>2</v>
      </c>
      <c r="K73" s="59" t="s">
        <v>288</v>
      </c>
      <c r="L73" s="63">
        <v>226422.41</v>
      </c>
      <c r="M73" s="48">
        <v>90000</v>
      </c>
      <c r="N73" s="55">
        <v>220000</v>
      </c>
      <c r="O73" s="55">
        <f t="shared" si="5"/>
        <v>220000</v>
      </c>
      <c r="P73" s="55">
        <f t="shared" si="6"/>
        <v>440000</v>
      </c>
      <c r="Q73" s="55">
        <f t="shared" si="7"/>
        <v>660000</v>
      </c>
      <c r="R73" s="55">
        <f t="shared" si="8"/>
        <v>105600</v>
      </c>
      <c r="S73" s="55">
        <f t="shared" si="9"/>
        <v>765600</v>
      </c>
      <c r="T73" s="56" t="s">
        <v>289</v>
      </c>
      <c r="U73" s="54" t="s">
        <v>290</v>
      </c>
      <c r="V73" s="57" t="s">
        <v>291</v>
      </c>
      <c r="W73" s="54" t="s">
        <v>50</v>
      </c>
      <c r="X73" s="32" t="s">
        <v>345</v>
      </c>
    </row>
    <row r="74" spans="1:24" ht="124.95" customHeight="1" x14ac:dyDescent="0.3">
      <c r="A74" s="49">
        <v>78</v>
      </c>
      <c r="B74" s="68" t="s">
        <v>47</v>
      </c>
      <c r="D74" s="69" t="s">
        <v>224</v>
      </c>
      <c r="E74" s="68" t="s">
        <v>228</v>
      </c>
      <c r="F74" s="69" t="s">
        <v>46</v>
      </c>
      <c r="G74" s="50" t="s">
        <v>372</v>
      </c>
      <c r="H74" s="51" t="s">
        <v>287</v>
      </c>
      <c r="I74" s="52">
        <v>2</v>
      </c>
      <c r="J74" s="52">
        <v>4</v>
      </c>
      <c r="K74" s="59" t="s">
        <v>288</v>
      </c>
      <c r="L74" s="63">
        <v>233017.23</v>
      </c>
      <c r="M74" s="48">
        <v>90000</v>
      </c>
      <c r="N74" s="55">
        <v>220000</v>
      </c>
      <c r="O74" s="55">
        <f t="shared" si="5"/>
        <v>440000</v>
      </c>
      <c r="P74" s="55">
        <f t="shared" si="6"/>
        <v>880000</v>
      </c>
      <c r="Q74" s="55">
        <f t="shared" si="7"/>
        <v>1320000</v>
      </c>
      <c r="R74" s="55">
        <f t="shared" si="8"/>
        <v>211200</v>
      </c>
      <c r="S74" s="55">
        <f t="shared" si="9"/>
        <v>1531200</v>
      </c>
      <c r="T74" s="56" t="s">
        <v>289</v>
      </c>
      <c r="U74" s="54" t="s">
        <v>290</v>
      </c>
      <c r="V74" s="57" t="s">
        <v>291</v>
      </c>
      <c r="W74" s="54" t="s">
        <v>50</v>
      </c>
      <c r="X74" s="32" t="s">
        <v>345</v>
      </c>
    </row>
    <row r="75" spans="1:24" ht="140.4" customHeight="1" x14ac:dyDescent="0.3">
      <c r="A75" s="49">
        <v>79</v>
      </c>
      <c r="B75" s="68" t="s">
        <v>47</v>
      </c>
      <c r="D75" s="69" t="s">
        <v>117</v>
      </c>
      <c r="E75" s="68" t="s">
        <v>118</v>
      </c>
      <c r="F75" s="69" t="s">
        <v>46</v>
      </c>
      <c r="G75" s="50" t="s">
        <v>373</v>
      </c>
      <c r="H75" s="51" t="s">
        <v>287</v>
      </c>
      <c r="I75" s="52">
        <v>2</v>
      </c>
      <c r="J75" s="52">
        <v>4</v>
      </c>
      <c r="K75" s="59" t="s">
        <v>288</v>
      </c>
      <c r="L75" s="63">
        <v>403448.27</v>
      </c>
      <c r="M75" s="48">
        <v>125000</v>
      </c>
      <c r="N75" s="55">
        <v>300000</v>
      </c>
      <c r="O75" s="55">
        <f t="shared" si="5"/>
        <v>600000</v>
      </c>
      <c r="P75" s="55">
        <f t="shared" si="6"/>
        <v>1200000</v>
      </c>
      <c r="Q75" s="55">
        <f t="shared" si="7"/>
        <v>1800000</v>
      </c>
      <c r="R75" s="55">
        <f t="shared" si="8"/>
        <v>288000</v>
      </c>
      <c r="S75" s="55">
        <f t="shared" si="9"/>
        <v>2088000</v>
      </c>
      <c r="T75" s="56" t="s">
        <v>289</v>
      </c>
      <c r="U75" s="54" t="s">
        <v>290</v>
      </c>
      <c r="V75" s="57" t="s">
        <v>291</v>
      </c>
      <c r="W75" s="54" t="s">
        <v>50</v>
      </c>
      <c r="X75" s="32" t="s">
        <v>295</v>
      </c>
    </row>
    <row r="76" spans="1:24" ht="140.4" customHeight="1" x14ac:dyDescent="0.3">
      <c r="A76" s="49">
        <v>80</v>
      </c>
      <c r="B76" s="68" t="s">
        <v>47</v>
      </c>
      <c r="D76" s="69" t="s">
        <v>117</v>
      </c>
      <c r="E76" s="68" t="s">
        <v>119</v>
      </c>
      <c r="F76" s="69" t="s">
        <v>46</v>
      </c>
      <c r="G76" s="50" t="s">
        <v>374</v>
      </c>
      <c r="H76" s="51" t="s">
        <v>287</v>
      </c>
      <c r="I76" s="52">
        <v>2</v>
      </c>
      <c r="J76" s="52">
        <v>4</v>
      </c>
      <c r="K76" s="59" t="s">
        <v>288</v>
      </c>
      <c r="L76" s="63">
        <v>407327.58</v>
      </c>
      <c r="M76" s="48">
        <v>125000</v>
      </c>
      <c r="N76" s="55">
        <v>300000</v>
      </c>
      <c r="O76" s="55">
        <f t="shared" si="5"/>
        <v>600000</v>
      </c>
      <c r="P76" s="55">
        <f t="shared" si="6"/>
        <v>1200000</v>
      </c>
      <c r="Q76" s="55">
        <f t="shared" si="7"/>
        <v>1800000</v>
      </c>
      <c r="R76" s="55">
        <f t="shared" si="8"/>
        <v>288000</v>
      </c>
      <c r="S76" s="55">
        <f t="shared" si="9"/>
        <v>2088000</v>
      </c>
      <c r="T76" s="56" t="s">
        <v>289</v>
      </c>
      <c r="U76" s="54" t="s">
        <v>290</v>
      </c>
      <c r="V76" s="57" t="s">
        <v>291</v>
      </c>
      <c r="W76" s="54" t="s">
        <v>50</v>
      </c>
      <c r="X76" s="32" t="s">
        <v>295</v>
      </c>
    </row>
    <row r="77" spans="1:24" ht="140.4" customHeight="1" x14ac:dyDescent="0.3">
      <c r="A77" s="49">
        <v>81</v>
      </c>
      <c r="B77" s="68" t="s">
        <v>47</v>
      </c>
      <c r="D77" s="69" t="s">
        <v>117</v>
      </c>
      <c r="E77" s="68" t="s">
        <v>120</v>
      </c>
      <c r="F77" s="69" t="s">
        <v>46</v>
      </c>
      <c r="G77" s="50" t="s">
        <v>375</v>
      </c>
      <c r="H77" s="51" t="s">
        <v>287</v>
      </c>
      <c r="I77" s="52">
        <v>2</v>
      </c>
      <c r="J77" s="52">
        <v>4</v>
      </c>
      <c r="K77" s="59" t="s">
        <v>288</v>
      </c>
      <c r="L77" s="63">
        <v>426724.13</v>
      </c>
      <c r="M77" s="48">
        <v>125000</v>
      </c>
      <c r="N77" s="55">
        <v>300000</v>
      </c>
      <c r="O77" s="55">
        <f t="shared" si="5"/>
        <v>600000</v>
      </c>
      <c r="P77" s="55">
        <f t="shared" si="6"/>
        <v>1200000</v>
      </c>
      <c r="Q77" s="55">
        <f t="shared" si="7"/>
        <v>1800000</v>
      </c>
      <c r="R77" s="55">
        <f t="shared" si="8"/>
        <v>288000</v>
      </c>
      <c r="S77" s="55">
        <f t="shared" si="9"/>
        <v>2088000</v>
      </c>
      <c r="T77" s="56" t="s">
        <v>289</v>
      </c>
      <c r="U77" s="54" t="s">
        <v>290</v>
      </c>
      <c r="V77" s="57" t="s">
        <v>291</v>
      </c>
      <c r="W77" s="54" t="s">
        <v>50</v>
      </c>
      <c r="X77" s="32" t="s">
        <v>295</v>
      </c>
    </row>
    <row r="78" spans="1:24" ht="124.95" customHeight="1" x14ac:dyDescent="0.3">
      <c r="A78" s="49">
        <v>82</v>
      </c>
      <c r="B78" s="68" t="s">
        <v>47</v>
      </c>
      <c r="D78" s="69" t="s">
        <v>236</v>
      </c>
      <c r="E78" s="68" t="s">
        <v>237</v>
      </c>
      <c r="F78" s="69" t="s">
        <v>46</v>
      </c>
      <c r="G78" s="50" t="s">
        <v>376</v>
      </c>
      <c r="H78" s="51" t="s">
        <v>287</v>
      </c>
      <c r="I78" s="52">
        <v>1</v>
      </c>
      <c r="J78" s="52">
        <v>2</v>
      </c>
      <c r="K78" s="59" t="s">
        <v>288</v>
      </c>
      <c r="L78" s="63">
        <v>241810.34</v>
      </c>
      <c r="M78" s="48"/>
      <c r="N78" s="55">
        <v>220000</v>
      </c>
      <c r="O78" s="55">
        <f t="shared" ref="O78:O109" si="10">I78*N78</f>
        <v>220000</v>
      </c>
      <c r="P78" s="55">
        <f t="shared" ref="P78:P109" si="11">J78*N78</f>
        <v>440000</v>
      </c>
      <c r="Q78" s="55">
        <f t="shared" ref="Q78:Q109" si="12">SUM(O78:P78)</f>
        <v>660000</v>
      </c>
      <c r="R78" s="55">
        <f t="shared" ref="R78:R109" si="13">Q78*$R$9</f>
        <v>105600</v>
      </c>
      <c r="S78" s="55">
        <f t="shared" ref="S78:S109" si="14">SUM(Q78:R78)</f>
        <v>765600</v>
      </c>
      <c r="T78" s="56" t="s">
        <v>289</v>
      </c>
      <c r="U78" s="54" t="s">
        <v>290</v>
      </c>
      <c r="V78" s="57" t="s">
        <v>291</v>
      </c>
      <c r="W78" s="54" t="s">
        <v>50</v>
      </c>
      <c r="X78" s="32" t="s">
        <v>377</v>
      </c>
    </row>
    <row r="79" spans="1:24" ht="124.95" customHeight="1" x14ac:dyDescent="0.3">
      <c r="A79" s="49">
        <v>83</v>
      </c>
      <c r="B79" s="68" t="s">
        <v>47</v>
      </c>
      <c r="D79" s="69" t="s">
        <v>236</v>
      </c>
      <c r="E79" s="68" t="s">
        <v>238</v>
      </c>
      <c r="F79" s="69" t="s">
        <v>46</v>
      </c>
      <c r="G79" s="50" t="s">
        <v>378</v>
      </c>
      <c r="H79" s="51" t="s">
        <v>287</v>
      </c>
      <c r="I79" s="52">
        <v>1</v>
      </c>
      <c r="J79" s="52">
        <v>2</v>
      </c>
      <c r="K79" s="59" t="s">
        <v>288</v>
      </c>
      <c r="L79" s="63">
        <v>230818.96</v>
      </c>
      <c r="M79" s="48"/>
      <c r="N79" s="55">
        <v>220000</v>
      </c>
      <c r="O79" s="55">
        <f t="shared" si="10"/>
        <v>220000</v>
      </c>
      <c r="P79" s="55">
        <f t="shared" si="11"/>
        <v>440000</v>
      </c>
      <c r="Q79" s="55">
        <f t="shared" si="12"/>
        <v>660000</v>
      </c>
      <c r="R79" s="55">
        <f t="shared" si="13"/>
        <v>105600</v>
      </c>
      <c r="S79" s="55">
        <f t="shared" si="14"/>
        <v>765600</v>
      </c>
      <c r="T79" s="56" t="s">
        <v>289</v>
      </c>
      <c r="U79" s="54" t="s">
        <v>290</v>
      </c>
      <c r="V79" s="57" t="s">
        <v>291</v>
      </c>
      <c r="W79" s="54" t="s">
        <v>50</v>
      </c>
      <c r="X79" s="32" t="s">
        <v>377</v>
      </c>
    </row>
    <row r="80" spans="1:24" ht="124.95" customHeight="1" x14ac:dyDescent="0.3">
      <c r="A80" s="49">
        <v>87</v>
      </c>
      <c r="B80" s="68" t="s">
        <v>184</v>
      </c>
      <c r="D80" s="69" t="s">
        <v>176</v>
      </c>
      <c r="E80" s="68" t="s">
        <v>196</v>
      </c>
      <c r="F80" s="69" t="s">
        <v>195</v>
      </c>
      <c r="G80" s="50" t="s">
        <v>379</v>
      </c>
      <c r="H80" s="51" t="s">
        <v>287</v>
      </c>
      <c r="I80" s="52">
        <v>1</v>
      </c>
      <c r="J80" s="52">
        <v>2</v>
      </c>
      <c r="K80" s="59" t="s">
        <v>288</v>
      </c>
      <c r="L80" s="63">
        <v>124461.2</v>
      </c>
      <c r="M80" s="48">
        <v>15000</v>
      </c>
      <c r="N80" s="55">
        <v>120000</v>
      </c>
      <c r="O80" s="55">
        <f t="shared" si="10"/>
        <v>120000</v>
      </c>
      <c r="P80" s="55">
        <f t="shared" si="11"/>
        <v>240000</v>
      </c>
      <c r="Q80" s="55">
        <f t="shared" si="12"/>
        <v>360000</v>
      </c>
      <c r="R80" s="55">
        <f t="shared" si="13"/>
        <v>57600</v>
      </c>
      <c r="S80" s="55">
        <f t="shared" si="14"/>
        <v>417600</v>
      </c>
      <c r="T80" s="56" t="s">
        <v>289</v>
      </c>
      <c r="U80" s="54" t="s">
        <v>290</v>
      </c>
      <c r="V80" s="57" t="s">
        <v>291</v>
      </c>
      <c r="W80" s="54" t="s">
        <v>50</v>
      </c>
      <c r="X80" s="32" t="s">
        <v>345</v>
      </c>
    </row>
    <row r="81" spans="1:24" ht="124.95" customHeight="1" x14ac:dyDescent="0.3">
      <c r="A81" s="49">
        <v>88</v>
      </c>
      <c r="B81" s="68" t="s">
        <v>184</v>
      </c>
      <c r="D81" s="69" t="s">
        <v>197</v>
      </c>
      <c r="E81" s="68" t="s">
        <v>198</v>
      </c>
      <c r="F81" s="69" t="s">
        <v>195</v>
      </c>
      <c r="G81" s="50" t="s">
        <v>380</v>
      </c>
      <c r="H81" s="51" t="s">
        <v>287</v>
      </c>
      <c r="I81" s="52">
        <v>1</v>
      </c>
      <c r="J81" s="52">
        <v>2</v>
      </c>
      <c r="K81" s="59" t="s">
        <v>288</v>
      </c>
      <c r="L81" s="63">
        <v>178412</v>
      </c>
      <c r="M81" s="48" t="s">
        <v>381</v>
      </c>
      <c r="N81" s="55">
        <v>175000</v>
      </c>
      <c r="O81" s="55">
        <f t="shared" si="10"/>
        <v>175000</v>
      </c>
      <c r="P81" s="55">
        <f t="shared" si="11"/>
        <v>350000</v>
      </c>
      <c r="Q81" s="55">
        <f t="shared" si="12"/>
        <v>525000</v>
      </c>
      <c r="R81" s="55">
        <f t="shared" si="13"/>
        <v>84000</v>
      </c>
      <c r="S81" s="55">
        <f t="shared" si="14"/>
        <v>609000</v>
      </c>
      <c r="T81" s="56" t="s">
        <v>289</v>
      </c>
      <c r="U81" s="54" t="s">
        <v>290</v>
      </c>
      <c r="V81" s="57" t="s">
        <v>291</v>
      </c>
      <c r="W81" s="54" t="s">
        <v>50</v>
      </c>
      <c r="X81" s="32" t="s">
        <v>345</v>
      </c>
    </row>
    <row r="82" spans="1:24" ht="124.95" customHeight="1" x14ac:dyDescent="0.3">
      <c r="A82" s="49">
        <v>94</v>
      </c>
      <c r="B82" s="68" t="s">
        <v>184</v>
      </c>
      <c r="D82" s="69" t="s">
        <v>214</v>
      </c>
      <c r="E82" s="68" t="s">
        <v>215</v>
      </c>
      <c r="F82" s="69" t="s">
        <v>195</v>
      </c>
      <c r="G82" s="50" t="s">
        <v>382</v>
      </c>
      <c r="H82" s="51" t="s">
        <v>287</v>
      </c>
      <c r="I82" s="52">
        <v>1</v>
      </c>
      <c r="J82" s="52">
        <v>2</v>
      </c>
      <c r="K82" s="59" t="s">
        <v>288</v>
      </c>
      <c r="L82" s="63">
        <v>425000</v>
      </c>
      <c r="M82" s="48" t="s">
        <v>381</v>
      </c>
      <c r="N82" s="55">
        <v>420000</v>
      </c>
      <c r="O82" s="55">
        <f t="shared" si="10"/>
        <v>420000</v>
      </c>
      <c r="P82" s="55">
        <f t="shared" si="11"/>
        <v>840000</v>
      </c>
      <c r="Q82" s="55">
        <f t="shared" si="12"/>
        <v>1260000</v>
      </c>
      <c r="R82" s="55">
        <f t="shared" si="13"/>
        <v>201600</v>
      </c>
      <c r="S82" s="55">
        <f t="shared" si="14"/>
        <v>1461600</v>
      </c>
      <c r="T82" s="56" t="s">
        <v>289</v>
      </c>
      <c r="U82" s="54" t="s">
        <v>290</v>
      </c>
      <c r="V82" s="57" t="s">
        <v>291</v>
      </c>
      <c r="W82" s="54" t="s">
        <v>50</v>
      </c>
      <c r="X82" s="32" t="s">
        <v>383</v>
      </c>
    </row>
    <row r="83" spans="1:24" ht="124.95" customHeight="1" x14ac:dyDescent="0.3">
      <c r="A83" s="38">
        <v>98</v>
      </c>
      <c r="B83" s="68" t="s">
        <v>260</v>
      </c>
      <c r="D83" s="69" t="s">
        <v>384</v>
      </c>
      <c r="E83" s="68" t="s">
        <v>385</v>
      </c>
      <c r="F83" s="69" t="s">
        <v>259</v>
      </c>
      <c r="G83" s="39" t="s">
        <v>386</v>
      </c>
      <c r="H83" s="40" t="s">
        <v>287</v>
      </c>
      <c r="I83" s="41">
        <v>1</v>
      </c>
      <c r="J83" s="41">
        <v>2</v>
      </c>
      <c r="K83" s="42" t="s">
        <v>288</v>
      </c>
      <c r="L83" s="43">
        <v>203455</v>
      </c>
      <c r="M83" s="43"/>
      <c r="N83" s="43">
        <v>380000</v>
      </c>
      <c r="O83" s="43">
        <f t="shared" si="10"/>
        <v>380000</v>
      </c>
      <c r="P83" s="43">
        <f t="shared" si="11"/>
        <v>760000</v>
      </c>
      <c r="Q83" s="43">
        <f t="shared" si="12"/>
        <v>1140000</v>
      </c>
      <c r="R83" s="43">
        <f t="shared" si="13"/>
        <v>182400</v>
      </c>
      <c r="S83" s="43">
        <f t="shared" si="14"/>
        <v>1322400</v>
      </c>
      <c r="T83" s="44" t="s">
        <v>289</v>
      </c>
      <c r="U83" s="45" t="s">
        <v>290</v>
      </c>
      <c r="V83" s="46" t="s">
        <v>381</v>
      </c>
      <c r="W83" s="45" t="s">
        <v>50</v>
      </c>
      <c r="X83" s="32" t="s">
        <v>387</v>
      </c>
    </row>
    <row r="84" spans="1:24" ht="124.95" customHeight="1" x14ac:dyDescent="0.3">
      <c r="A84" s="38">
        <v>99</v>
      </c>
      <c r="B84" s="68" t="s">
        <v>388</v>
      </c>
      <c r="D84" s="69" t="s">
        <v>389</v>
      </c>
      <c r="E84" s="68" t="s">
        <v>390</v>
      </c>
      <c r="F84" s="69" t="s">
        <v>391</v>
      </c>
      <c r="G84" s="39" t="s">
        <v>392</v>
      </c>
      <c r="H84" s="40" t="s">
        <v>287</v>
      </c>
      <c r="I84" s="41">
        <v>1</v>
      </c>
      <c r="J84" s="41">
        <v>2</v>
      </c>
      <c r="K84" s="42" t="s">
        <v>288</v>
      </c>
      <c r="L84" s="43">
        <v>256359.94</v>
      </c>
      <c r="M84" s="43"/>
      <c r="N84" s="43">
        <v>350000</v>
      </c>
      <c r="O84" s="43">
        <f t="shared" si="10"/>
        <v>350000</v>
      </c>
      <c r="P84" s="43">
        <f t="shared" si="11"/>
        <v>700000</v>
      </c>
      <c r="Q84" s="43">
        <f t="shared" si="12"/>
        <v>1050000</v>
      </c>
      <c r="R84" s="43">
        <f t="shared" si="13"/>
        <v>168000</v>
      </c>
      <c r="S84" s="43">
        <f t="shared" si="14"/>
        <v>1218000</v>
      </c>
      <c r="T84" s="44" t="s">
        <v>289</v>
      </c>
      <c r="U84" s="45" t="s">
        <v>290</v>
      </c>
      <c r="V84" s="46" t="s">
        <v>381</v>
      </c>
      <c r="W84" s="47" t="s">
        <v>62</v>
      </c>
    </row>
    <row r="85" spans="1:24" ht="124.95" customHeight="1" x14ac:dyDescent="0.3">
      <c r="A85" s="38">
        <v>107</v>
      </c>
      <c r="B85" s="68" t="s">
        <v>47</v>
      </c>
      <c r="D85" s="69" t="s">
        <v>393</v>
      </c>
      <c r="E85" s="68" t="s">
        <v>394</v>
      </c>
      <c r="F85" s="69" t="s">
        <v>80</v>
      </c>
      <c r="G85" s="39" t="s">
        <v>395</v>
      </c>
      <c r="H85" s="40" t="s">
        <v>287</v>
      </c>
      <c r="I85" s="41">
        <v>1</v>
      </c>
      <c r="J85" s="41">
        <v>2</v>
      </c>
      <c r="K85" s="42" t="s">
        <v>288</v>
      </c>
      <c r="L85" s="43">
        <v>223879.31</v>
      </c>
      <c r="M85" s="43"/>
      <c r="N85" s="43">
        <v>220000</v>
      </c>
      <c r="O85" s="43">
        <f t="shared" si="10"/>
        <v>220000</v>
      </c>
      <c r="P85" s="43">
        <f t="shared" si="11"/>
        <v>440000</v>
      </c>
      <c r="Q85" s="43">
        <f t="shared" si="12"/>
        <v>660000</v>
      </c>
      <c r="R85" s="43">
        <f t="shared" si="13"/>
        <v>105600</v>
      </c>
      <c r="S85" s="43">
        <f t="shared" si="14"/>
        <v>765600</v>
      </c>
      <c r="T85" s="44" t="s">
        <v>289</v>
      </c>
      <c r="U85" s="45" t="s">
        <v>290</v>
      </c>
      <c r="V85" s="46" t="s">
        <v>291</v>
      </c>
      <c r="W85" s="47" t="s">
        <v>62</v>
      </c>
    </row>
    <row r="86" spans="1:24" ht="124.95" customHeight="1" x14ac:dyDescent="0.3">
      <c r="A86" s="38">
        <v>111</v>
      </c>
      <c r="B86" s="68" t="s">
        <v>47</v>
      </c>
      <c r="D86" s="69" t="s">
        <v>396</v>
      </c>
      <c r="E86" s="68" t="s">
        <v>397</v>
      </c>
      <c r="F86" s="69" t="s">
        <v>142</v>
      </c>
      <c r="G86" s="39" t="s">
        <v>398</v>
      </c>
      <c r="H86" s="40" t="s">
        <v>287</v>
      </c>
      <c r="I86" s="41">
        <v>1</v>
      </c>
      <c r="J86" s="41">
        <v>2</v>
      </c>
      <c r="K86" s="42" t="s">
        <v>288</v>
      </c>
      <c r="L86" s="43">
        <v>218103.45</v>
      </c>
      <c r="M86" s="43"/>
      <c r="N86" s="43">
        <v>210000</v>
      </c>
      <c r="O86" s="43">
        <f t="shared" si="10"/>
        <v>210000</v>
      </c>
      <c r="P86" s="43">
        <f t="shared" si="11"/>
        <v>420000</v>
      </c>
      <c r="Q86" s="43">
        <f t="shared" si="12"/>
        <v>630000</v>
      </c>
      <c r="R86" s="43">
        <f t="shared" si="13"/>
        <v>100800</v>
      </c>
      <c r="S86" s="43">
        <f t="shared" si="14"/>
        <v>730800</v>
      </c>
      <c r="T86" s="44" t="s">
        <v>289</v>
      </c>
      <c r="U86" s="45" t="s">
        <v>290</v>
      </c>
      <c r="V86" s="46" t="s">
        <v>291</v>
      </c>
      <c r="W86" s="47" t="s">
        <v>62</v>
      </c>
    </row>
    <row r="87" spans="1:24" ht="140.4" customHeight="1" x14ac:dyDescent="0.3">
      <c r="A87" s="38">
        <v>112</v>
      </c>
      <c r="B87" s="68" t="s">
        <v>47</v>
      </c>
      <c r="D87" s="69" t="s">
        <v>143</v>
      </c>
      <c r="E87" s="68" t="s">
        <v>144</v>
      </c>
      <c r="F87" s="69" t="s">
        <v>142</v>
      </c>
      <c r="G87" s="39" t="s">
        <v>399</v>
      </c>
      <c r="H87" s="40" t="s">
        <v>287</v>
      </c>
      <c r="I87" s="41">
        <v>1</v>
      </c>
      <c r="J87" s="41">
        <v>2</v>
      </c>
      <c r="K87" s="42" t="s">
        <v>288</v>
      </c>
      <c r="L87" s="43">
        <v>331588.09000000003</v>
      </c>
      <c r="M87" s="43"/>
      <c r="N87" s="43">
        <v>320000</v>
      </c>
      <c r="O87" s="43">
        <f t="shared" si="10"/>
        <v>320000</v>
      </c>
      <c r="P87" s="43">
        <f t="shared" si="11"/>
        <v>640000</v>
      </c>
      <c r="Q87" s="43">
        <f t="shared" si="12"/>
        <v>960000</v>
      </c>
      <c r="R87" s="43">
        <f t="shared" si="13"/>
        <v>153600</v>
      </c>
      <c r="S87" s="43">
        <f t="shared" si="14"/>
        <v>1113600</v>
      </c>
      <c r="T87" s="44" t="s">
        <v>289</v>
      </c>
      <c r="U87" s="45" t="s">
        <v>290</v>
      </c>
      <c r="V87" s="46" t="s">
        <v>291</v>
      </c>
      <c r="W87" s="47" t="s">
        <v>62</v>
      </c>
    </row>
    <row r="88" spans="1:24" ht="124.95" customHeight="1" x14ac:dyDescent="0.3">
      <c r="A88" s="38">
        <v>116</v>
      </c>
      <c r="B88" s="68" t="s">
        <v>76</v>
      </c>
      <c r="D88" s="69" t="s">
        <v>396</v>
      </c>
      <c r="E88" s="68" t="s">
        <v>400</v>
      </c>
      <c r="F88" s="69" t="s">
        <v>106</v>
      </c>
      <c r="G88" s="39" t="s">
        <v>401</v>
      </c>
      <c r="H88" s="40" t="s">
        <v>287</v>
      </c>
      <c r="I88" s="41">
        <v>1</v>
      </c>
      <c r="J88" s="41">
        <v>2</v>
      </c>
      <c r="K88" s="42" t="s">
        <v>288</v>
      </c>
      <c r="L88" s="43">
        <v>355845</v>
      </c>
      <c r="M88" s="43"/>
      <c r="N88" s="43">
        <v>350000</v>
      </c>
      <c r="O88" s="43">
        <f t="shared" si="10"/>
        <v>350000</v>
      </c>
      <c r="P88" s="43">
        <f t="shared" si="11"/>
        <v>700000</v>
      </c>
      <c r="Q88" s="43">
        <f t="shared" si="12"/>
        <v>1050000</v>
      </c>
      <c r="R88" s="43">
        <f t="shared" si="13"/>
        <v>168000</v>
      </c>
      <c r="S88" s="43">
        <f t="shared" si="14"/>
        <v>1218000</v>
      </c>
      <c r="T88" s="44" t="s">
        <v>289</v>
      </c>
      <c r="U88" s="45" t="s">
        <v>290</v>
      </c>
      <c r="V88" s="46" t="s">
        <v>291</v>
      </c>
      <c r="W88" s="47" t="s">
        <v>62</v>
      </c>
    </row>
    <row r="89" spans="1:24" ht="124.95" customHeight="1" x14ac:dyDescent="0.3">
      <c r="A89" s="38">
        <v>119</v>
      </c>
      <c r="B89" s="68" t="s">
        <v>402</v>
      </c>
      <c r="D89" s="69" t="s">
        <v>396</v>
      </c>
      <c r="E89" s="68" t="s">
        <v>403</v>
      </c>
      <c r="F89" s="69" t="s">
        <v>404</v>
      </c>
      <c r="G89" s="39" t="s">
        <v>405</v>
      </c>
      <c r="H89" s="40" t="s">
        <v>287</v>
      </c>
      <c r="I89" s="41">
        <v>1</v>
      </c>
      <c r="J89" s="41">
        <v>2</v>
      </c>
      <c r="K89" s="42" t="s">
        <v>288</v>
      </c>
      <c r="L89" s="43">
        <v>368495</v>
      </c>
      <c r="M89" s="43"/>
      <c r="N89" s="43">
        <v>350000</v>
      </c>
      <c r="O89" s="43">
        <f t="shared" si="10"/>
        <v>350000</v>
      </c>
      <c r="P89" s="43">
        <f t="shared" si="11"/>
        <v>700000</v>
      </c>
      <c r="Q89" s="43">
        <f t="shared" si="12"/>
        <v>1050000</v>
      </c>
      <c r="R89" s="43">
        <f t="shared" si="13"/>
        <v>168000</v>
      </c>
      <c r="S89" s="43">
        <f t="shared" si="14"/>
        <v>1218000</v>
      </c>
      <c r="T89" s="44" t="s">
        <v>289</v>
      </c>
      <c r="U89" s="45" t="s">
        <v>290</v>
      </c>
      <c r="V89" s="46" t="s">
        <v>291</v>
      </c>
      <c r="W89" s="47" t="s">
        <v>62</v>
      </c>
    </row>
    <row r="90" spans="1:24" ht="124.95" customHeight="1" x14ac:dyDescent="0.3">
      <c r="A90" s="38">
        <v>134</v>
      </c>
      <c r="B90" s="68" t="s">
        <v>103</v>
      </c>
      <c r="D90" s="69" t="s">
        <v>396</v>
      </c>
      <c r="E90" s="68" t="s">
        <v>406</v>
      </c>
      <c r="F90" s="69" t="s">
        <v>407</v>
      </c>
      <c r="G90" s="39" t="s">
        <v>408</v>
      </c>
      <c r="H90" s="40" t="s">
        <v>287</v>
      </c>
      <c r="I90" s="41">
        <v>1</v>
      </c>
      <c r="J90" s="41">
        <v>2</v>
      </c>
      <c r="K90" s="42" t="s">
        <v>288</v>
      </c>
      <c r="L90" s="43">
        <v>140301.14000000001</v>
      </c>
      <c r="M90" s="43" t="s">
        <v>381</v>
      </c>
      <c r="N90" s="43">
        <v>140000</v>
      </c>
      <c r="O90" s="43">
        <f t="shared" si="10"/>
        <v>140000</v>
      </c>
      <c r="P90" s="43">
        <f t="shared" si="11"/>
        <v>280000</v>
      </c>
      <c r="Q90" s="43">
        <f t="shared" si="12"/>
        <v>420000</v>
      </c>
      <c r="R90" s="43">
        <f t="shared" si="13"/>
        <v>67200</v>
      </c>
      <c r="S90" s="43">
        <f t="shared" si="14"/>
        <v>487200</v>
      </c>
      <c r="T90" s="44" t="s">
        <v>289</v>
      </c>
      <c r="U90" s="45" t="s">
        <v>290</v>
      </c>
      <c r="V90" s="46" t="s">
        <v>291</v>
      </c>
      <c r="W90" s="47" t="s">
        <v>62</v>
      </c>
    </row>
    <row r="91" spans="1:24" ht="124.95" customHeight="1" x14ac:dyDescent="0.3">
      <c r="A91" s="38">
        <v>140</v>
      </c>
      <c r="B91" s="68" t="s">
        <v>409</v>
      </c>
      <c r="D91" s="69" t="s">
        <v>396</v>
      </c>
      <c r="E91" s="68" t="s">
        <v>410</v>
      </c>
      <c r="F91" s="69" t="s">
        <v>411</v>
      </c>
      <c r="G91" s="39" t="s">
        <v>412</v>
      </c>
      <c r="H91" s="40" t="s">
        <v>287</v>
      </c>
      <c r="I91" s="41">
        <v>1</v>
      </c>
      <c r="J91" s="41">
        <v>2</v>
      </c>
      <c r="K91" s="42" t="s">
        <v>288</v>
      </c>
      <c r="L91" s="43">
        <v>234983.62</v>
      </c>
      <c r="M91" s="43"/>
      <c r="N91" s="43">
        <v>230000</v>
      </c>
      <c r="O91" s="43">
        <f t="shared" si="10"/>
        <v>230000</v>
      </c>
      <c r="P91" s="43">
        <f t="shared" si="11"/>
        <v>460000</v>
      </c>
      <c r="Q91" s="43">
        <f t="shared" si="12"/>
        <v>690000</v>
      </c>
      <c r="R91" s="43">
        <f t="shared" si="13"/>
        <v>110400</v>
      </c>
      <c r="S91" s="43">
        <f t="shared" si="14"/>
        <v>800400</v>
      </c>
      <c r="T91" s="44" t="s">
        <v>289</v>
      </c>
      <c r="U91" s="45" t="s">
        <v>290</v>
      </c>
      <c r="V91" s="46" t="s">
        <v>291</v>
      </c>
      <c r="W91" s="47" t="s">
        <v>62</v>
      </c>
    </row>
    <row r="92" spans="1:24" ht="124.95" customHeight="1" x14ac:dyDescent="0.3">
      <c r="A92" s="38">
        <v>144</v>
      </c>
      <c r="B92" s="68" t="s">
        <v>124</v>
      </c>
      <c r="D92" s="69" t="s">
        <v>413</v>
      </c>
      <c r="E92" s="68" t="s">
        <v>414</v>
      </c>
      <c r="F92" s="69" t="s">
        <v>123</v>
      </c>
      <c r="G92" s="39" t="s">
        <v>415</v>
      </c>
      <c r="H92" s="40" t="s">
        <v>287</v>
      </c>
      <c r="I92" s="41">
        <v>1</v>
      </c>
      <c r="J92" s="41">
        <v>2</v>
      </c>
      <c r="K92" s="42" t="s">
        <v>288</v>
      </c>
      <c r="L92" s="43">
        <v>350000</v>
      </c>
      <c r="M92" s="43"/>
      <c r="N92" s="43">
        <v>350000</v>
      </c>
      <c r="O92" s="43">
        <f t="shared" si="10"/>
        <v>350000</v>
      </c>
      <c r="P92" s="43">
        <f t="shared" si="11"/>
        <v>700000</v>
      </c>
      <c r="Q92" s="43">
        <f t="shared" si="12"/>
        <v>1050000</v>
      </c>
      <c r="R92" s="43">
        <f t="shared" si="13"/>
        <v>168000</v>
      </c>
      <c r="S92" s="43">
        <f t="shared" si="14"/>
        <v>1218000</v>
      </c>
      <c r="T92" s="44" t="s">
        <v>289</v>
      </c>
      <c r="U92" s="45" t="s">
        <v>290</v>
      </c>
      <c r="V92" s="46" t="s">
        <v>291</v>
      </c>
      <c r="W92" s="47" t="s">
        <v>62</v>
      </c>
    </row>
    <row r="93" spans="1:24" ht="124.95" customHeight="1" x14ac:dyDescent="0.3">
      <c r="A93" s="38">
        <v>145</v>
      </c>
      <c r="B93" s="68" t="s">
        <v>124</v>
      </c>
      <c r="D93" s="69" t="s">
        <v>94</v>
      </c>
      <c r="E93" s="68" t="s">
        <v>416</v>
      </c>
      <c r="F93" s="69" t="s">
        <v>123</v>
      </c>
      <c r="G93" s="39" t="s">
        <v>417</v>
      </c>
      <c r="H93" s="40" t="s">
        <v>287</v>
      </c>
      <c r="I93" s="41">
        <v>1</v>
      </c>
      <c r="J93" s="41">
        <v>2</v>
      </c>
      <c r="K93" s="42" t="s">
        <v>288</v>
      </c>
      <c r="L93" s="43">
        <v>221939.65</v>
      </c>
      <c r="M93" s="43"/>
      <c r="N93" s="43">
        <v>220000</v>
      </c>
      <c r="O93" s="43">
        <f t="shared" si="10"/>
        <v>220000</v>
      </c>
      <c r="P93" s="43">
        <f t="shared" si="11"/>
        <v>440000</v>
      </c>
      <c r="Q93" s="43">
        <f t="shared" si="12"/>
        <v>660000</v>
      </c>
      <c r="R93" s="43">
        <f t="shared" si="13"/>
        <v>105600</v>
      </c>
      <c r="S93" s="43">
        <f t="shared" si="14"/>
        <v>765600</v>
      </c>
      <c r="T93" s="44" t="s">
        <v>289</v>
      </c>
      <c r="U93" s="45" t="s">
        <v>290</v>
      </c>
      <c r="V93" s="46" t="s">
        <v>291</v>
      </c>
      <c r="W93" s="47" t="s">
        <v>62</v>
      </c>
    </row>
    <row r="94" spans="1:24" ht="124.95" customHeight="1" x14ac:dyDescent="0.3">
      <c r="A94" s="38">
        <v>149</v>
      </c>
      <c r="B94" s="68" t="s">
        <v>418</v>
      </c>
      <c r="D94" s="69" t="s">
        <v>94</v>
      </c>
      <c r="E94" s="68" t="s">
        <v>419</v>
      </c>
      <c r="F94" s="69" t="s">
        <v>420</v>
      </c>
      <c r="G94" s="39" t="s">
        <v>421</v>
      </c>
      <c r="H94" s="40" t="s">
        <v>287</v>
      </c>
      <c r="I94" s="41">
        <v>1</v>
      </c>
      <c r="J94" s="41">
        <v>2</v>
      </c>
      <c r="K94" s="42" t="s">
        <v>288</v>
      </c>
      <c r="L94" s="43">
        <v>228483.62</v>
      </c>
      <c r="M94" s="43"/>
      <c r="N94" s="43">
        <v>250000</v>
      </c>
      <c r="O94" s="43">
        <f t="shared" si="10"/>
        <v>250000</v>
      </c>
      <c r="P94" s="43">
        <f t="shared" si="11"/>
        <v>500000</v>
      </c>
      <c r="Q94" s="43">
        <f t="shared" si="12"/>
        <v>750000</v>
      </c>
      <c r="R94" s="43">
        <f t="shared" si="13"/>
        <v>120000</v>
      </c>
      <c r="S94" s="43">
        <f t="shared" si="14"/>
        <v>870000</v>
      </c>
      <c r="T94" s="44" t="s">
        <v>289</v>
      </c>
      <c r="U94" s="45" t="s">
        <v>290</v>
      </c>
      <c r="V94" s="46" t="s">
        <v>381</v>
      </c>
      <c r="W94" s="47" t="s">
        <v>62</v>
      </c>
    </row>
    <row r="95" spans="1:24" ht="124.95" customHeight="1" x14ac:dyDescent="0.3">
      <c r="A95" s="38">
        <v>152</v>
      </c>
      <c r="B95" s="68" t="s">
        <v>241</v>
      </c>
      <c r="D95" s="69" t="s">
        <v>145</v>
      </c>
      <c r="E95" s="68" t="s">
        <v>422</v>
      </c>
      <c r="F95" s="69" t="s">
        <v>240</v>
      </c>
      <c r="G95" s="39" t="s">
        <v>423</v>
      </c>
      <c r="H95" s="40" t="s">
        <v>287</v>
      </c>
      <c r="I95" s="41">
        <v>1</v>
      </c>
      <c r="J95" s="41">
        <v>2</v>
      </c>
      <c r="K95" s="42" t="s">
        <v>288</v>
      </c>
      <c r="L95" s="43">
        <v>226939.65</v>
      </c>
      <c r="M95" s="43"/>
      <c r="N95" s="43">
        <v>300000</v>
      </c>
      <c r="O95" s="43">
        <f t="shared" si="10"/>
        <v>300000</v>
      </c>
      <c r="P95" s="43">
        <f t="shared" si="11"/>
        <v>600000</v>
      </c>
      <c r="Q95" s="43">
        <f t="shared" si="12"/>
        <v>900000</v>
      </c>
      <c r="R95" s="43">
        <f t="shared" si="13"/>
        <v>144000</v>
      </c>
      <c r="S95" s="43">
        <f t="shared" si="14"/>
        <v>1044000</v>
      </c>
      <c r="T95" s="44" t="s">
        <v>289</v>
      </c>
      <c r="U95" s="45" t="s">
        <v>290</v>
      </c>
      <c r="V95" s="46" t="s">
        <v>381</v>
      </c>
      <c r="W95" s="47" t="s">
        <v>62</v>
      </c>
    </row>
    <row r="96" spans="1:24" ht="124.95" customHeight="1" x14ac:dyDescent="0.3">
      <c r="A96" s="49">
        <v>154</v>
      </c>
      <c r="B96" s="68" t="s">
        <v>241</v>
      </c>
      <c r="D96" s="69" t="s">
        <v>242</v>
      </c>
      <c r="E96" s="68" t="s">
        <v>243</v>
      </c>
      <c r="F96" s="69" t="s">
        <v>240</v>
      </c>
      <c r="G96" s="50" t="s">
        <v>424</v>
      </c>
      <c r="H96" s="51" t="s">
        <v>287</v>
      </c>
      <c r="I96" s="52">
        <v>1</v>
      </c>
      <c r="J96" s="52">
        <v>2</v>
      </c>
      <c r="K96" s="59" t="s">
        <v>288</v>
      </c>
      <c r="L96" s="63">
        <v>165700</v>
      </c>
      <c r="M96" s="48" t="s">
        <v>425</v>
      </c>
      <c r="N96" s="55">
        <v>160000</v>
      </c>
      <c r="O96" s="55">
        <f t="shared" si="10"/>
        <v>160000</v>
      </c>
      <c r="P96" s="55">
        <f t="shared" si="11"/>
        <v>320000</v>
      </c>
      <c r="Q96" s="55">
        <f t="shared" si="12"/>
        <v>480000</v>
      </c>
      <c r="R96" s="55">
        <f t="shared" si="13"/>
        <v>76800</v>
      </c>
      <c r="S96" s="55">
        <f t="shared" si="14"/>
        <v>556800</v>
      </c>
      <c r="T96" s="56" t="s">
        <v>289</v>
      </c>
      <c r="U96" s="54" t="s">
        <v>290</v>
      </c>
      <c r="V96" s="57" t="s">
        <v>291</v>
      </c>
      <c r="W96" s="54" t="s">
        <v>50</v>
      </c>
      <c r="X96" s="32" t="s">
        <v>377</v>
      </c>
    </row>
    <row r="97" spans="1:24" ht="124.95" customHeight="1" x14ac:dyDescent="0.3">
      <c r="A97" s="38">
        <v>156</v>
      </c>
      <c r="B97" s="68" t="s">
        <v>47</v>
      </c>
      <c r="D97" s="69" t="s">
        <v>94</v>
      </c>
      <c r="E97" s="68" t="s">
        <v>95</v>
      </c>
      <c r="F97" s="69" t="s">
        <v>80</v>
      </c>
      <c r="G97" s="39" t="s">
        <v>426</v>
      </c>
      <c r="H97" s="40" t="s">
        <v>287</v>
      </c>
      <c r="I97" s="41">
        <v>1</v>
      </c>
      <c r="J97" s="41">
        <v>2</v>
      </c>
      <c r="K97" s="42" t="s">
        <v>288</v>
      </c>
      <c r="L97" s="43">
        <v>231852.26</v>
      </c>
      <c r="M97" s="43"/>
      <c r="N97" s="43">
        <v>220000</v>
      </c>
      <c r="O97" s="43">
        <f t="shared" si="10"/>
        <v>220000</v>
      </c>
      <c r="P97" s="43">
        <f t="shared" si="11"/>
        <v>440000</v>
      </c>
      <c r="Q97" s="43">
        <f t="shared" si="12"/>
        <v>660000</v>
      </c>
      <c r="R97" s="43">
        <f t="shared" si="13"/>
        <v>105600</v>
      </c>
      <c r="S97" s="43">
        <f t="shared" si="14"/>
        <v>765600</v>
      </c>
      <c r="T97" s="44" t="s">
        <v>289</v>
      </c>
      <c r="U97" s="45" t="s">
        <v>290</v>
      </c>
      <c r="V97" s="46" t="s">
        <v>291</v>
      </c>
      <c r="W97" s="47" t="s">
        <v>62</v>
      </c>
    </row>
    <row r="98" spans="1:24" ht="124.95" customHeight="1" x14ac:dyDescent="0.3">
      <c r="A98" s="49">
        <v>159</v>
      </c>
      <c r="B98" s="68" t="s">
        <v>98</v>
      </c>
      <c r="D98" s="69" t="s">
        <v>99</v>
      </c>
      <c r="E98" s="68" t="s">
        <v>100</v>
      </c>
      <c r="F98" s="69" t="s">
        <v>97</v>
      </c>
      <c r="G98" s="50" t="s">
        <v>427</v>
      </c>
      <c r="H98" s="51" t="s">
        <v>287</v>
      </c>
      <c r="I98" s="52">
        <v>1</v>
      </c>
      <c r="J98" s="52">
        <v>2</v>
      </c>
      <c r="K98" s="59" t="s">
        <v>288</v>
      </c>
      <c r="L98" s="63">
        <v>165700</v>
      </c>
      <c r="M98" s="48" t="s">
        <v>425</v>
      </c>
      <c r="N98" s="55">
        <v>160000</v>
      </c>
      <c r="O98" s="55">
        <f t="shared" si="10"/>
        <v>160000</v>
      </c>
      <c r="P98" s="55">
        <f t="shared" si="11"/>
        <v>320000</v>
      </c>
      <c r="Q98" s="55">
        <f t="shared" si="12"/>
        <v>480000</v>
      </c>
      <c r="R98" s="55">
        <f t="shared" si="13"/>
        <v>76800</v>
      </c>
      <c r="S98" s="55">
        <f t="shared" si="14"/>
        <v>556800</v>
      </c>
      <c r="T98" s="56" t="s">
        <v>289</v>
      </c>
      <c r="U98" s="54" t="s">
        <v>290</v>
      </c>
      <c r="V98" s="57" t="s">
        <v>291</v>
      </c>
      <c r="W98" s="54" t="s">
        <v>50</v>
      </c>
      <c r="X98" s="32" t="s">
        <v>377</v>
      </c>
    </row>
    <row r="99" spans="1:24" ht="124.95" customHeight="1" x14ac:dyDescent="0.3">
      <c r="A99" s="38">
        <v>162</v>
      </c>
      <c r="B99" s="68" t="s">
        <v>428</v>
      </c>
      <c r="D99" s="69" t="s">
        <v>94</v>
      </c>
      <c r="E99" s="68" t="s">
        <v>429</v>
      </c>
      <c r="F99" s="69" t="s">
        <v>430</v>
      </c>
      <c r="G99" s="39" t="s">
        <v>431</v>
      </c>
      <c r="H99" s="40" t="s">
        <v>287</v>
      </c>
      <c r="I99" s="41">
        <v>1</v>
      </c>
      <c r="J99" s="41">
        <v>2</v>
      </c>
      <c r="K99" s="42" t="s">
        <v>288</v>
      </c>
      <c r="L99" s="43">
        <v>223471.55</v>
      </c>
      <c r="M99" s="43"/>
      <c r="N99" s="43">
        <v>300000</v>
      </c>
      <c r="O99" s="43">
        <f t="shared" si="10"/>
        <v>300000</v>
      </c>
      <c r="P99" s="43">
        <f t="shared" si="11"/>
        <v>600000</v>
      </c>
      <c r="Q99" s="43">
        <f t="shared" si="12"/>
        <v>900000</v>
      </c>
      <c r="R99" s="43">
        <f t="shared" si="13"/>
        <v>144000</v>
      </c>
      <c r="S99" s="43">
        <f t="shared" si="14"/>
        <v>1044000</v>
      </c>
      <c r="T99" s="44" t="s">
        <v>289</v>
      </c>
      <c r="U99" s="45" t="s">
        <v>290</v>
      </c>
      <c r="V99" s="46" t="s">
        <v>381</v>
      </c>
      <c r="W99" s="47" t="s">
        <v>62</v>
      </c>
    </row>
    <row r="100" spans="1:24" ht="124.95" customHeight="1" x14ac:dyDescent="0.3">
      <c r="A100" s="38">
        <v>163</v>
      </c>
      <c r="B100" s="68" t="s">
        <v>47</v>
      </c>
      <c r="D100" s="69" t="s">
        <v>94</v>
      </c>
      <c r="E100" s="68" t="s">
        <v>432</v>
      </c>
      <c r="F100" s="69" t="s">
        <v>433</v>
      </c>
      <c r="G100" s="39" t="s">
        <v>434</v>
      </c>
      <c r="H100" s="40" t="s">
        <v>287</v>
      </c>
      <c r="I100" s="41">
        <v>1</v>
      </c>
      <c r="J100" s="41">
        <v>2</v>
      </c>
      <c r="K100" s="42" t="s">
        <v>288</v>
      </c>
      <c r="L100" s="43">
        <v>234827.59</v>
      </c>
      <c r="M100" s="43"/>
      <c r="N100" s="43">
        <v>220000</v>
      </c>
      <c r="O100" s="43">
        <f t="shared" si="10"/>
        <v>220000</v>
      </c>
      <c r="P100" s="43">
        <f t="shared" si="11"/>
        <v>440000</v>
      </c>
      <c r="Q100" s="43">
        <f t="shared" si="12"/>
        <v>660000</v>
      </c>
      <c r="R100" s="43">
        <f t="shared" si="13"/>
        <v>105600</v>
      </c>
      <c r="S100" s="43">
        <f t="shared" si="14"/>
        <v>765600</v>
      </c>
      <c r="T100" s="44" t="s">
        <v>289</v>
      </c>
      <c r="U100" s="45" t="s">
        <v>290</v>
      </c>
      <c r="V100" s="46" t="s">
        <v>291</v>
      </c>
      <c r="W100" s="47" t="s">
        <v>62</v>
      </c>
    </row>
    <row r="101" spans="1:24" ht="124.95" customHeight="1" x14ac:dyDescent="0.3">
      <c r="A101" s="38">
        <v>164</v>
      </c>
      <c r="B101" s="68" t="s">
        <v>76</v>
      </c>
      <c r="D101" s="69" t="s">
        <v>94</v>
      </c>
      <c r="E101" s="68" t="s">
        <v>435</v>
      </c>
      <c r="F101" s="69" t="s">
        <v>106</v>
      </c>
      <c r="G101" s="39" t="s">
        <v>436</v>
      </c>
      <c r="H101" s="40" t="s">
        <v>287</v>
      </c>
      <c r="I101" s="41">
        <v>1</v>
      </c>
      <c r="J101" s="41">
        <v>2</v>
      </c>
      <c r="K101" s="42" t="s">
        <v>288</v>
      </c>
      <c r="L101" s="43">
        <v>230603.45</v>
      </c>
      <c r="M101" s="43"/>
      <c r="N101" s="43">
        <v>220000</v>
      </c>
      <c r="O101" s="43">
        <f t="shared" si="10"/>
        <v>220000</v>
      </c>
      <c r="P101" s="43">
        <f t="shared" si="11"/>
        <v>440000</v>
      </c>
      <c r="Q101" s="43">
        <f t="shared" si="12"/>
        <v>660000</v>
      </c>
      <c r="R101" s="43">
        <f t="shared" si="13"/>
        <v>105600</v>
      </c>
      <c r="S101" s="43">
        <f t="shared" si="14"/>
        <v>765600</v>
      </c>
      <c r="T101" s="44" t="s">
        <v>289</v>
      </c>
      <c r="U101" s="45" t="s">
        <v>290</v>
      </c>
      <c r="V101" s="46" t="s">
        <v>291</v>
      </c>
      <c r="W101" s="47" t="s">
        <v>62</v>
      </c>
    </row>
    <row r="102" spans="1:24" ht="124.95" customHeight="1" x14ac:dyDescent="0.3">
      <c r="A102" s="38">
        <v>165</v>
      </c>
      <c r="B102" s="68" t="s">
        <v>184</v>
      </c>
      <c r="D102" s="69" t="s">
        <v>94</v>
      </c>
      <c r="E102" s="68" t="s">
        <v>437</v>
      </c>
      <c r="F102" s="69" t="s">
        <v>183</v>
      </c>
      <c r="G102" s="39" t="s">
        <v>438</v>
      </c>
      <c r="H102" s="40" t="s">
        <v>287</v>
      </c>
      <c r="I102" s="41">
        <v>1</v>
      </c>
      <c r="J102" s="41">
        <v>2</v>
      </c>
      <c r="K102" s="42" t="s">
        <v>288</v>
      </c>
      <c r="L102" s="43">
        <v>232715.51999999999</v>
      </c>
      <c r="M102" s="43"/>
      <c r="N102" s="43">
        <v>220000</v>
      </c>
      <c r="O102" s="43">
        <f t="shared" si="10"/>
        <v>220000</v>
      </c>
      <c r="P102" s="43">
        <f t="shared" si="11"/>
        <v>440000</v>
      </c>
      <c r="Q102" s="43">
        <f t="shared" si="12"/>
        <v>660000</v>
      </c>
      <c r="R102" s="43">
        <f t="shared" si="13"/>
        <v>105600</v>
      </c>
      <c r="S102" s="43">
        <f t="shared" si="14"/>
        <v>765600</v>
      </c>
      <c r="T102" s="44" t="s">
        <v>289</v>
      </c>
      <c r="U102" s="45" t="s">
        <v>290</v>
      </c>
      <c r="V102" s="46" t="s">
        <v>291</v>
      </c>
      <c r="W102" s="47" t="s">
        <v>62</v>
      </c>
    </row>
    <row r="103" spans="1:24" ht="124.95" customHeight="1" x14ac:dyDescent="0.3">
      <c r="A103" s="38">
        <v>166</v>
      </c>
      <c r="B103" s="68" t="s">
        <v>172</v>
      </c>
      <c r="D103" s="69" t="s">
        <v>94</v>
      </c>
      <c r="E103" s="68" t="s">
        <v>439</v>
      </c>
      <c r="F103" s="69" t="s">
        <v>171</v>
      </c>
      <c r="G103" s="39" t="s">
        <v>440</v>
      </c>
      <c r="H103" s="40" t="s">
        <v>287</v>
      </c>
      <c r="I103" s="41">
        <v>1</v>
      </c>
      <c r="J103" s="41">
        <v>2</v>
      </c>
      <c r="K103" s="42" t="s">
        <v>288</v>
      </c>
      <c r="L103" s="43">
        <v>231659.48</v>
      </c>
      <c r="M103" s="43"/>
      <c r="N103" s="43">
        <v>300000</v>
      </c>
      <c r="O103" s="43">
        <f t="shared" si="10"/>
        <v>300000</v>
      </c>
      <c r="P103" s="43">
        <f t="shared" si="11"/>
        <v>600000</v>
      </c>
      <c r="Q103" s="43">
        <f t="shared" si="12"/>
        <v>900000</v>
      </c>
      <c r="R103" s="43">
        <f t="shared" si="13"/>
        <v>144000</v>
      </c>
      <c r="S103" s="43">
        <f t="shared" si="14"/>
        <v>1044000</v>
      </c>
      <c r="T103" s="44" t="s">
        <v>289</v>
      </c>
      <c r="U103" s="45" t="s">
        <v>290</v>
      </c>
      <c r="V103" s="46" t="s">
        <v>381</v>
      </c>
      <c r="W103" s="47" t="s">
        <v>62</v>
      </c>
    </row>
    <row r="104" spans="1:24" ht="140.4" customHeight="1" x14ac:dyDescent="0.3">
      <c r="A104" s="38">
        <v>167</v>
      </c>
      <c r="B104" s="68" t="s">
        <v>441</v>
      </c>
      <c r="D104" s="69" t="s">
        <v>94</v>
      </c>
      <c r="E104" s="68" t="s">
        <v>442</v>
      </c>
      <c r="F104" s="69" t="s">
        <v>443</v>
      </c>
      <c r="G104" s="39" t="s">
        <v>444</v>
      </c>
      <c r="H104" s="40" t="s">
        <v>287</v>
      </c>
      <c r="I104" s="41">
        <v>1</v>
      </c>
      <c r="J104" s="41">
        <v>2</v>
      </c>
      <c r="K104" s="42" t="s">
        <v>288</v>
      </c>
      <c r="L104" s="43">
        <v>240107.76</v>
      </c>
      <c r="M104" s="43"/>
      <c r="N104" s="43">
        <v>300000</v>
      </c>
      <c r="O104" s="43">
        <f t="shared" si="10"/>
        <v>300000</v>
      </c>
      <c r="P104" s="43">
        <f t="shared" si="11"/>
        <v>600000</v>
      </c>
      <c r="Q104" s="43">
        <f t="shared" si="12"/>
        <v>900000</v>
      </c>
      <c r="R104" s="43">
        <f t="shared" si="13"/>
        <v>144000</v>
      </c>
      <c r="S104" s="43">
        <f t="shared" si="14"/>
        <v>1044000</v>
      </c>
      <c r="T104" s="44" t="s">
        <v>289</v>
      </c>
      <c r="U104" s="45" t="s">
        <v>290</v>
      </c>
      <c r="V104" s="46" t="s">
        <v>381</v>
      </c>
      <c r="W104" s="47" t="s">
        <v>62</v>
      </c>
    </row>
    <row r="105" spans="1:24" ht="124.95" customHeight="1" x14ac:dyDescent="0.3">
      <c r="A105" s="38">
        <v>168</v>
      </c>
      <c r="B105" s="68" t="s">
        <v>409</v>
      </c>
      <c r="D105" s="69" t="s">
        <v>94</v>
      </c>
      <c r="E105" s="68" t="s">
        <v>445</v>
      </c>
      <c r="F105" s="69" t="s">
        <v>411</v>
      </c>
      <c r="G105" s="39" t="s">
        <v>446</v>
      </c>
      <c r="H105" s="40" t="s">
        <v>287</v>
      </c>
      <c r="I105" s="41">
        <v>1</v>
      </c>
      <c r="J105" s="41">
        <v>2</v>
      </c>
      <c r="K105" s="42" t="s">
        <v>288</v>
      </c>
      <c r="L105" s="43">
        <v>250000</v>
      </c>
      <c r="M105" s="43"/>
      <c r="N105" s="43">
        <v>250000</v>
      </c>
      <c r="O105" s="43">
        <f t="shared" si="10"/>
        <v>250000</v>
      </c>
      <c r="P105" s="43">
        <f t="shared" si="11"/>
        <v>500000</v>
      </c>
      <c r="Q105" s="43">
        <f t="shared" si="12"/>
        <v>750000</v>
      </c>
      <c r="R105" s="43">
        <f t="shared" si="13"/>
        <v>120000</v>
      </c>
      <c r="S105" s="43">
        <f t="shared" si="14"/>
        <v>870000</v>
      </c>
      <c r="T105" s="44" t="s">
        <v>289</v>
      </c>
      <c r="U105" s="45" t="s">
        <v>290</v>
      </c>
      <c r="V105" s="46" t="s">
        <v>291</v>
      </c>
      <c r="W105" s="47" t="s">
        <v>62</v>
      </c>
    </row>
    <row r="106" spans="1:24" ht="124.95" customHeight="1" x14ac:dyDescent="0.3">
      <c r="A106" s="38">
        <v>169</v>
      </c>
      <c r="B106" s="68" t="s">
        <v>409</v>
      </c>
      <c r="D106" s="69" t="s">
        <v>254</v>
      </c>
      <c r="E106" s="68" t="s">
        <v>447</v>
      </c>
      <c r="F106" s="69" t="s">
        <v>411</v>
      </c>
      <c r="G106" s="39" t="s">
        <v>448</v>
      </c>
      <c r="H106" s="40" t="s">
        <v>287</v>
      </c>
      <c r="I106" s="41">
        <v>1</v>
      </c>
      <c r="J106" s="41">
        <v>2</v>
      </c>
      <c r="K106" s="42" t="s">
        <v>288</v>
      </c>
      <c r="L106" s="43">
        <v>161369.4</v>
      </c>
      <c r="M106" s="43"/>
      <c r="N106" s="43">
        <v>240000</v>
      </c>
      <c r="O106" s="43">
        <f t="shared" si="10"/>
        <v>240000</v>
      </c>
      <c r="P106" s="43">
        <f t="shared" si="11"/>
        <v>480000</v>
      </c>
      <c r="Q106" s="43">
        <f t="shared" si="12"/>
        <v>720000</v>
      </c>
      <c r="R106" s="43">
        <f t="shared" si="13"/>
        <v>115200</v>
      </c>
      <c r="S106" s="43">
        <f t="shared" si="14"/>
        <v>835200</v>
      </c>
      <c r="T106" s="44" t="s">
        <v>289</v>
      </c>
      <c r="U106" s="45" t="s">
        <v>290</v>
      </c>
      <c r="V106" s="46" t="s">
        <v>291</v>
      </c>
      <c r="W106" s="45" t="s">
        <v>50</v>
      </c>
      <c r="X106" s="32" t="s">
        <v>387</v>
      </c>
    </row>
    <row r="107" spans="1:24" ht="124.95" customHeight="1" x14ac:dyDescent="0.3">
      <c r="A107" s="38">
        <v>171</v>
      </c>
      <c r="B107" s="68" t="s">
        <v>163</v>
      </c>
      <c r="D107" s="69" t="s">
        <v>94</v>
      </c>
      <c r="E107" s="68" t="s">
        <v>449</v>
      </c>
      <c r="F107" s="69" t="s">
        <v>162</v>
      </c>
      <c r="G107" s="39" t="s">
        <v>450</v>
      </c>
      <c r="H107" s="40" t="s">
        <v>287</v>
      </c>
      <c r="I107" s="41">
        <v>1</v>
      </c>
      <c r="J107" s="41">
        <v>2</v>
      </c>
      <c r="K107" s="42" t="s">
        <v>288</v>
      </c>
      <c r="L107" s="43">
        <v>240107.76</v>
      </c>
      <c r="M107" s="43"/>
      <c r="N107" s="43">
        <v>230000</v>
      </c>
      <c r="O107" s="43">
        <f t="shared" si="10"/>
        <v>230000</v>
      </c>
      <c r="P107" s="43">
        <f t="shared" si="11"/>
        <v>460000</v>
      </c>
      <c r="Q107" s="43">
        <f t="shared" si="12"/>
        <v>690000</v>
      </c>
      <c r="R107" s="43">
        <f t="shared" si="13"/>
        <v>110400</v>
      </c>
      <c r="S107" s="43">
        <f t="shared" si="14"/>
        <v>800400</v>
      </c>
      <c r="T107" s="44" t="s">
        <v>289</v>
      </c>
      <c r="U107" s="45" t="s">
        <v>290</v>
      </c>
      <c r="V107" s="46" t="s">
        <v>291</v>
      </c>
      <c r="W107" s="47" t="s">
        <v>62</v>
      </c>
    </row>
    <row r="108" spans="1:24" ht="124.95" customHeight="1" x14ac:dyDescent="0.3">
      <c r="A108" s="38">
        <v>172</v>
      </c>
      <c r="B108" s="68" t="s">
        <v>260</v>
      </c>
      <c r="D108" s="69" t="s">
        <v>94</v>
      </c>
      <c r="E108" s="68" t="s">
        <v>451</v>
      </c>
      <c r="F108" s="69" t="s">
        <v>452</v>
      </c>
      <c r="G108" s="39" t="s">
        <v>453</v>
      </c>
      <c r="H108" s="40" t="s">
        <v>287</v>
      </c>
      <c r="I108" s="41">
        <v>1</v>
      </c>
      <c r="J108" s="41">
        <v>2</v>
      </c>
      <c r="K108" s="42" t="s">
        <v>288</v>
      </c>
      <c r="L108" s="43">
        <v>232715.51999999999</v>
      </c>
      <c r="M108" s="43"/>
      <c r="N108" s="43">
        <v>300000</v>
      </c>
      <c r="O108" s="43">
        <f t="shared" si="10"/>
        <v>300000</v>
      </c>
      <c r="P108" s="43">
        <f t="shared" si="11"/>
        <v>600000</v>
      </c>
      <c r="Q108" s="43">
        <f t="shared" si="12"/>
        <v>900000</v>
      </c>
      <c r="R108" s="43">
        <f t="shared" si="13"/>
        <v>144000</v>
      </c>
      <c r="S108" s="43">
        <f t="shared" si="14"/>
        <v>1044000</v>
      </c>
      <c r="T108" s="44" t="s">
        <v>289</v>
      </c>
      <c r="U108" s="45" t="s">
        <v>290</v>
      </c>
      <c r="V108" s="46" t="s">
        <v>381</v>
      </c>
      <c r="W108" s="47" t="s">
        <v>62</v>
      </c>
    </row>
    <row r="109" spans="1:24" ht="124.95" customHeight="1" x14ac:dyDescent="0.3">
      <c r="A109" s="38">
        <v>175</v>
      </c>
      <c r="B109" s="68" t="s">
        <v>260</v>
      </c>
      <c r="D109" s="69" t="s">
        <v>94</v>
      </c>
      <c r="E109" s="68" t="s">
        <v>454</v>
      </c>
      <c r="F109" s="69" t="s">
        <v>455</v>
      </c>
      <c r="G109" s="39" t="s">
        <v>456</v>
      </c>
      <c r="H109" s="40" t="s">
        <v>287</v>
      </c>
      <c r="I109" s="41">
        <v>1</v>
      </c>
      <c r="J109" s="41">
        <v>2</v>
      </c>
      <c r="K109" s="42" t="s">
        <v>288</v>
      </c>
      <c r="L109" s="43">
        <v>230603.45</v>
      </c>
      <c r="M109" s="43"/>
      <c r="N109" s="43">
        <v>300000</v>
      </c>
      <c r="O109" s="43">
        <f t="shared" si="10"/>
        <v>300000</v>
      </c>
      <c r="P109" s="43">
        <f t="shared" si="11"/>
        <v>600000</v>
      </c>
      <c r="Q109" s="43">
        <f t="shared" si="12"/>
        <v>900000</v>
      </c>
      <c r="R109" s="43">
        <f t="shared" si="13"/>
        <v>144000</v>
      </c>
      <c r="S109" s="43">
        <f t="shared" si="14"/>
        <v>1044000</v>
      </c>
      <c r="T109" s="44" t="s">
        <v>289</v>
      </c>
      <c r="U109" s="45" t="s">
        <v>290</v>
      </c>
      <c r="V109" s="46" t="s">
        <v>381</v>
      </c>
      <c r="W109" s="47" t="s">
        <v>62</v>
      </c>
    </row>
    <row r="110" spans="1:24" ht="124.95" customHeight="1" x14ac:dyDescent="0.3">
      <c r="A110" s="38">
        <v>179</v>
      </c>
      <c r="B110" s="68" t="s">
        <v>76</v>
      </c>
      <c r="D110" s="69" t="s">
        <v>94</v>
      </c>
      <c r="E110" s="68" t="s">
        <v>457</v>
      </c>
      <c r="F110" s="69" t="s">
        <v>75</v>
      </c>
      <c r="G110" s="39" t="s">
        <v>458</v>
      </c>
      <c r="H110" s="40" t="s">
        <v>287</v>
      </c>
      <c r="I110" s="41">
        <v>1</v>
      </c>
      <c r="J110" s="41">
        <v>2</v>
      </c>
      <c r="K110" s="42" t="s">
        <v>288</v>
      </c>
      <c r="L110" s="43">
        <v>235883.62</v>
      </c>
      <c r="M110" s="43"/>
      <c r="N110" s="43">
        <v>230000</v>
      </c>
      <c r="O110" s="43">
        <f t="shared" ref="O110:O141" si="15">I110*N110</f>
        <v>230000</v>
      </c>
      <c r="P110" s="43">
        <f t="shared" ref="P110:P141" si="16">J110*N110</f>
        <v>460000</v>
      </c>
      <c r="Q110" s="43">
        <f t="shared" ref="Q110:Q141" si="17">SUM(O110:P110)</f>
        <v>690000</v>
      </c>
      <c r="R110" s="43">
        <f t="shared" ref="R110:R141" si="18">Q110*$R$9</f>
        <v>110400</v>
      </c>
      <c r="S110" s="43">
        <f t="shared" ref="S110:S141" si="19">SUM(Q110:R110)</f>
        <v>800400</v>
      </c>
      <c r="T110" s="44" t="s">
        <v>289</v>
      </c>
      <c r="U110" s="45" t="s">
        <v>290</v>
      </c>
      <c r="V110" s="46" t="s">
        <v>291</v>
      </c>
      <c r="W110" s="47" t="s">
        <v>62</v>
      </c>
    </row>
    <row r="111" spans="1:24" ht="124.95" customHeight="1" x14ac:dyDescent="0.3">
      <c r="A111" s="38">
        <v>183</v>
      </c>
      <c r="B111" s="68" t="s">
        <v>241</v>
      </c>
      <c r="D111" s="69" t="s">
        <v>459</v>
      </c>
      <c r="E111" s="68" t="s">
        <v>460</v>
      </c>
      <c r="F111" s="69" t="s">
        <v>240</v>
      </c>
      <c r="G111" s="39" t="s">
        <v>461</v>
      </c>
      <c r="H111" s="40" t="s">
        <v>287</v>
      </c>
      <c r="I111" s="41">
        <v>1</v>
      </c>
      <c r="J111" s="41">
        <v>2</v>
      </c>
      <c r="K111" s="42" t="s">
        <v>288</v>
      </c>
      <c r="L111" s="43">
        <v>230215.52</v>
      </c>
      <c r="M111" s="43"/>
      <c r="N111" s="43">
        <v>300000</v>
      </c>
      <c r="O111" s="43">
        <f t="shared" si="15"/>
        <v>300000</v>
      </c>
      <c r="P111" s="43">
        <f t="shared" si="16"/>
        <v>600000</v>
      </c>
      <c r="Q111" s="43">
        <f t="shared" si="17"/>
        <v>900000</v>
      </c>
      <c r="R111" s="43">
        <f t="shared" si="18"/>
        <v>144000</v>
      </c>
      <c r="S111" s="43">
        <f t="shared" si="19"/>
        <v>1044000</v>
      </c>
      <c r="T111" s="44" t="s">
        <v>289</v>
      </c>
      <c r="U111" s="45" t="s">
        <v>290</v>
      </c>
      <c r="V111" s="46" t="s">
        <v>381</v>
      </c>
      <c r="W111" s="47" t="s">
        <v>62</v>
      </c>
    </row>
    <row r="112" spans="1:24" ht="124.95" customHeight="1" x14ac:dyDescent="0.3">
      <c r="A112" s="38">
        <v>184</v>
      </c>
      <c r="B112" s="68" t="s">
        <v>241</v>
      </c>
      <c r="D112" s="69" t="s">
        <v>459</v>
      </c>
      <c r="E112" s="68" t="s">
        <v>462</v>
      </c>
      <c r="F112" s="69" t="s">
        <v>240</v>
      </c>
      <c r="G112" s="39" t="s">
        <v>463</v>
      </c>
      <c r="H112" s="40" t="s">
        <v>287</v>
      </c>
      <c r="I112" s="41">
        <v>1</v>
      </c>
      <c r="J112" s="41">
        <v>2</v>
      </c>
      <c r="K112" s="42" t="s">
        <v>288</v>
      </c>
      <c r="L112" s="43">
        <v>233002.29</v>
      </c>
      <c r="M112" s="43"/>
      <c r="N112" s="43">
        <v>300000</v>
      </c>
      <c r="O112" s="43">
        <f t="shared" si="15"/>
        <v>300000</v>
      </c>
      <c r="P112" s="43">
        <f t="shared" si="16"/>
        <v>600000</v>
      </c>
      <c r="Q112" s="43">
        <f t="shared" si="17"/>
        <v>900000</v>
      </c>
      <c r="R112" s="43">
        <f t="shared" si="18"/>
        <v>144000</v>
      </c>
      <c r="S112" s="43">
        <f t="shared" si="19"/>
        <v>1044000</v>
      </c>
      <c r="T112" s="44" t="s">
        <v>289</v>
      </c>
      <c r="U112" s="45" t="s">
        <v>290</v>
      </c>
      <c r="V112" s="46" t="s">
        <v>381</v>
      </c>
      <c r="W112" s="47" t="s">
        <v>62</v>
      </c>
    </row>
    <row r="113" spans="1:24" ht="140.4" customHeight="1" x14ac:dyDescent="0.3">
      <c r="A113" s="49">
        <v>185</v>
      </c>
      <c r="B113" s="68" t="s">
        <v>47</v>
      </c>
      <c r="D113" s="69" t="s">
        <v>117</v>
      </c>
      <c r="E113" s="68" t="s">
        <v>121</v>
      </c>
      <c r="F113" s="69" t="s">
        <v>80</v>
      </c>
      <c r="G113" s="50" t="s">
        <v>464</v>
      </c>
      <c r="H113" s="51" t="s">
        <v>287</v>
      </c>
      <c r="I113" s="52">
        <v>2</v>
      </c>
      <c r="J113" s="52">
        <v>4</v>
      </c>
      <c r="K113" s="59" t="s">
        <v>288</v>
      </c>
      <c r="L113" s="63">
        <v>391810.34</v>
      </c>
      <c r="M113" s="48">
        <v>125000</v>
      </c>
      <c r="N113" s="55">
        <v>300000</v>
      </c>
      <c r="O113" s="55">
        <f t="shared" si="15"/>
        <v>600000</v>
      </c>
      <c r="P113" s="55">
        <f t="shared" si="16"/>
        <v>1200000</v>
      </c>
      <c r="Q113" s="55">
        <f t="shared" si="17"/>
        <v>1800000</v>
      </c>
      <c r="R113" s="55">
        <f t="shared" si="18"/>
        <v>288000</v>
      </c>
      <c r="S113" s="55">
        <f t="shared" si="19"/>
        <v>2088000</v>
      </c>
      <c r="T113" s="56" t="s">
        <v>289</v>
      </c>
      <c r="U113" s="54" t="s">
        <v>290</v>
      </c>
      <c r="V113" s="57" t="s">
        <v>291</v>
      </c>
      <c r="W113" s="54" t="s">
        <v>50</v>
      </c>
      <c r="X113" s="32" t="s">
        <v>295</v>
      </c>
    </row>
    <row r="114" spans="1:24" ht="124.95" customHeight="1" x14ac:dyDescent="0.3">
      <c r="A114" s="38">
        <v>196</v>
      </c>
      <c r="B114" s="68" t="s">
        <v>98</v>
      </c>
      <c r="D114" s="69" t="s">
        <v>199</v>
      </c>
      <c r="E114" s="68" t="s">
        <v>200</v>
      </c>
      <c r="F114" s="69" t="s">
        <v>97</v>
      </c>
      <c r="G114" s="39" t="s">
        <v>465</v>
      </c>
      <c r="H114" s="40" t="s">
        <v>287</v>
      </c>
      <c r="I114" s="41">
        <v>1</v>
      </c>
      <c r="J114" s="41">
        <v>2</v>
      </c>
      <c r="K114" s="42" t="s">
        <v>288</v>
      </c>
      <c r="L114" s="43">
        <v>360000</v>
      </c>
      <c r="M114" s="43"/>
      <c r="N114" s="43">
        <v>350000</v>
      </c>
      <c r="O114" s="43">
        <f t="shared" si="15"/>
        <v>350000</v>
      </c>
      <c r="P114" s="43">
        <f t="shared" si="16"/>
        <v>700000</v>
      </c>
      <c r="Q114" s="43">
        <f t="shared" si="17"/>
        <v>1050000</v>
      </c>
      <c r="R114" s="43">
        <f t="shared" si="18"/>
        <v>168000</v>
      </c>
      <c r="S114" s="43">
        <f t="shared" si="19"/>
        <v>1218000</v>
      </c>
      <c r="T114" s="44" t="s">
        <v>289</v>
      </c>
      <c r="U114" s="45" t="s">
        <v>290</v>
      </c>
      <c r="V114" s="46" t="s">
        <v>291</v>
      </c>
      <c r="W114" s="47" t="s">
        <v>62</v>
      </c>
    </row>
    <row r="115" spans="1:24" ht="124.95" customHeight="1" x14ac:dyDescent="0.3">
      <c r="A115" s="38">
        <v>198</v>
      </c>
      <c r="B115" s="68" t="s">
        <v>103</v>
      </c>
      <c r="D115" s="69" t="s">
        <v>148</v>
      </c>
      <c r="E115" s="68" t="s">
        <v>466</v>
      </c>
      <c r="F115" s="69" t="s">
        <v>102</v>
      </c>
      <c r="G115" s="39" t="s">
        <v>467</v>
      </c>
      <c r="H115" s="40" t="s">
        <v>287</v>
      </c>
      <c r="I115" s="41">
        <v>1</v>
      </c>
      <c r="J115" s="41">
        <v>2</v>
      </c>
      <c r="K115" s="42" t="s">
        <v>288</v>
      </c>
      <c r="L115" s="43">
        <v>220000</v>
      </c>
      <c r="M115" s="43"/>
      <c r="N115" s="43">
        <v>220000</v>
      </c>
      <c r="O115" s="43">
        <f t="shared" si="15"/>
        <v>220000</v>
      </c>
      <c r="P115" s="43">
        <f t="shared" si="16"/>
        <v>440000</v>
      </c>
      <c r="Q115" s="43">
        <f t="shared" si="17"/>
        <v>660000</v>
      </c>
      <c r="R115" s="43">
        <f t="shared" si="18"/>
        <v>105600</v>
      </c>
      <c r="S115" s="43">
        <f t="shared" si="19"/>
        <v>765600</v>
      </c>
      <c r="T115" s="44" t="s">
        <v>289</v>
      </c>
      <c r="U115" s="45" t="s">
        <v>290</v>
      </c>
      <c r="V115" s="46" t="s">
        <v>291</v>
      </c>
      <c r="W115" s="47" t="s">
        <v>62</v>
      </c>
    </row>
    <row r="116" spans="1:24" ht="124.95" customHeight="1" x14ac:dyDescent="0.3">
      <c r="A116" s="38">
        <v>200</v>
      </c>
      <c r="B116" s="68" t="s">
        <v>249</v>
      </c>
      <c r="D116" s="69" t="s">
        <v>148</v>
      </c>
      <c r="E116" s="68" t="s">
        <v>468</v>
      </c>
      <c r="F116" s="69" t="s">
        <v>469</v>
      </c>
      <c r="G116" s="39" t="s">
        <v>470</v>
      </c>
      <c r="H116" s="40" t="s">
        <v>287</v>
      </c>
      <c r="I116" s="41">
        <v>1</v>
      </c>
      <c r="J116" s="41">
        <v>2</v>
      </c>
      <c r="K116" s="42" t="s">
        <v>288</v>
      </c>
      <c r="L116" s="43">
        <v>220165.52</v>
      </c>
      <c r="M116" s="43"/>
      <c r="N116" s="43">
        <v>300000</v>
      </c>
      <c r="O116" s="43">
        <f t="shared" si="15"/>
        <v>300000</v>
      </c>
      <c r="P116" s="43">
        <f t="shared" si="16"/>
        <v>600000</v>
      </c>
      <c r="Q116" s="43">
        <f t="shared" si="17"/>
        <v>900000</v>
      </c>
      <c r="R116" s="43">
        <f t="shared" si="18"/>
        <v>144000</v>
      </c>
      <c r="S116" s="43">
        <f t="shared" si="19"/>
        <v>1044000</v>
      </c>
      <c r="T116" s="44" t="s">
        <v>289</v>
      </c>
      <c r="U116" s="45" t="s">
        <v>290</v>
      </c>
      <c r="V116" s="46" t="s">
        <v>381</v>
      </c>
      <c r="W116" s="47" t="s">
        <v>62</v>
      </c>
    </row>
    <row r="117" spans="1:24" ht="124.95" customHeight="1" x14ac:dyDescent="0.3">
      <c r="A117" s="38">
        <v>203</v>
      </c>
      <c r="B117" s="68" t="s">
        <v>409</v>
      </c>
      <c r="D117" s="69" t="s">
        <v>471</v>
      </c>
      <c r="E117" s="68" t="s">
        <v>472</v>
      </c>
      <c r="F117" s="69" t="s">
        <v>411</v>
      </c>
      <c r="G117" s="39" t="s">
        <v>473</v>
      </c>
      <c r="H117" s="40" t="s">
        <v>287</v>
      </c>
      <c r="I117" s="41">
        <v>1</v>
      </c>
      <c r="J117" s="41">
        <v>2</v>
      </c>
      <c r="K117" s="42" t="s">
        <v>288</v>
      </c>
      <c r="L117" s="43">
        <v>281225</v>
      </c>
      <c r="M117" s="43"/>
      <c r="N117" s="43">
        <v>350000</v>
      </c>
      <c r="O117" s="43">
        <f t="shared" si="15"/>
        <v>350000</v>
      </c>
      <c r="P117" s="43">
        <f t="shared" si="16"/>
        <v>700000</v>
      </c>
      <c r="Q117" s="43">
        <f t="shared" si="17"/>
        <v>1050000</v>
      </c>
      <c r="R117" s="43">
        <f t="shared" si="18"/>
        <v>168000</v>
      </c>
      <c r="S117" s="43">
        <f t="shared" si="19"/>
        <v>1218000</v>
      </c>
      <c r="T117" s="44" t="s">
        <v>289</v>
      </c>
      <c r="U117" s="45" t="s">
        <v>290</v>
      </c>
      <c r="V117" s="46" t="s">
        <v>381</v>
      </c>
      <c r="W117" s="45" t="s">
        <v>50</v>
      </c>
      <c r="X117" s="32" t="s">
        <v>387</v>
      </c>
    </row>
    <row r="118" spans="1:24" ht="124.95" customHeight="1" x14ac:dyDescent="0.3">
      <c r="A118" s="38">
        <v>204</v>
      </c>
      <c r="B118" s="68" t="s">
        <v>409</v>
      </c>
      <c r="D118" s="69" t="s">
        <v>474</v>
      </c>
      <c r="E118" s="68" t="s">
        <v>475</v>
      </c>
      <c r="F118" s="69" t="s">
        <v>411</v>
      </c>
      <c r="G118" s="39" t="s">
        <v>476</v>
      </c>
      <c r="H118" s="40" t="s">
        <v>287</v>
      </c>
      <c r="I118" s="41">
        <v>1</v>
      </c>
      <c r="J118" s="41">
        <v>2</v>
      </c>
      <c r="K118" s="42" t="s">
        <v>288</v>
      </c>
      <c r="L118" s="43">
        <v>403448.27</v>
      </c>
      <c r="M118" s="43"/>
      <c r="N118" s="43">
        <v>600000</v>
      </c>
      <c r="O118" s="43">
        <f t="shared" si="15"/>
        <v>600000</v>
      </c>
      <c r="P118" s="43">
        <f t="shared" si="16"/>
        <v>1200000</v>
      </c>
      <c r="Q118" s="43">
        <f t="shared" si="17"/>
        <v>1800000</v>
      </c>
      <c r="R118" s="43">
        <f t="shared" si="18"/>
        <v>288000</v>
      </c>
      <c r="S118" s="43">
        <f t="shared" si="19"/>
        <v>2088000</v>
      </c>
      <c r="T118" s="44" t="s">
        <v>289</v>
      </c>
      <c r="U118" s="45" t="s">
        <v>290</v>
      </c>
      <c r="V118" s="46" t="s">
        <v>291</v>
      </c>
      <c r="W118" s="45" t="s">
        <v>50</v>
      </c>
      <c r="X118" s="32" t="s">
        <v>336</v>
      </c>
    </row>
    <row r="119" spans="1:24" ht="124.95" customHeight="1" x14ac:dyDescent="0.3">
      <c r="A119" s="49">
        <v>208</v>
      </c>
      <c r="B119" s="68" t="s">
        <v>124</v>
      </c>
      <c r="D119" s="69" t="s">
        <v>125</v>
      </c>
      <c r="E119" s="68" t="s">
        <v>126</v>
      </c>
      <c r="F119" s="69" t="s">
        <v>123</v>
      </c>
      <c r="G119" s="50" t="s">
        <v>477</v>
      </c>
      <c r="H119" s="51" t="s">
        <v>287</v>
      </c>
      <c r="I119" s="52">
        <v>1</v>
      </c>
      <c r="J119" s="52">
        <v>2</v>
      </c>
      <c r="K119" s="59" t="s">
        <v>288</v>
      </c>
      <c r="L119" s="63">
        <v>198755</v>
      </c>
      <c r="M119" s="48">
        <v>230000</v>
      </c>
      <c r="N119" s="55">
        <v>195000</v>
      </c>
      <c r="O119" s="55">
        <f t="shared" si="15"/>
        <v>195000</v>
      </c>
      <c r="P119" s="55">
        <f t="shared" si="16"/>
        <v>390000</v>
      </c>
      <c r="Q119" s="55">
        <f t="shared" si="17"/>
        <v>585000</v>
      </c>
      <c r="R119" s="55">
        <f t="shared" si="18"/>
        <v>93600</v>
      </c>
      <c r="S119" s="55">
        <f t="shared" si="19"/>
        <v>678600</v>
      </c>
      <c r="T119" s="56" t="s">
        <v>289</v>
      </c>
      <c r="U119" s="54" t="s">
        <v>290</v>
      </c>
      <c r="V119" s="57" t="s">
        <v>291</v>
      </c>
      <c r="W119" s="54" t="s">
        <v>50</v>
      </c>
      <c r="X119" s="32" t="s">
        <v>292</v>
      </c>
    </row>
    <row r="120" spans="1:24" ht="124.95" customHeight="1" x14ac:dyDescent="0.3">
      <c r="A120" s="49">
        <v>212</v>
      </c>
      <c r="B120" s="68" t="s">
        <v>47</v>
      </c>
      <c r="D120" s="69" t="s">
        <v>478</v>
      </c>
      <c r="E120" s="68" t="s">
        <v>479</v>
      </c>
      <c r="F120" s="69" t="s">
        <v>46</v>
      </c>
      <c r="G120" s="50" t="s">
        <v>480</v>
      </c>
      <c r="H120" s="51" t="s">
        <v>287</v>
      </c>
      <c r="I120" s="52">
        <v>1</v>
      </c>
      <c r="J120" s="52">
        <v>2</v>
      </c>
      <c r="K120" s="59" t="s">
        <v>288</v>
      </c>
      <c r="L120" s="63">
        <v>230215.52</v>
      </c>
      <c r="M120" s="48">
        <v>55000</v>
      </c>
      <c r="N120" s="55">
        <v>220000</v>
      </c>
      <c r="O120" s="55">
        <f t="shared" si="15"/>
        <v>220000</v>
      </c>
      <c r="P120" s="55">
        <f t="shared" si="16"/>
        <v>440000</v>
      </c>
      <c r="Q120" s="55">
        <f t="shared" si="17"/>
        <v>660000</v>
      </c>
      <c r="R120" s="55">
        <f t="shared" si="18"/>
        <v>105600</v>
      </c>
      <c r="S120" s="55">
        <f t="shared" si="19"/>
        <v>765600</v>
      </c>
      <c r="T120" s="56" t="s">
        <v>289</v>
      </c>
      <c r="U120" s="54" t="s">
        <v>290</v>
      </c>
      <c r="V120" s="57" t="s">
        <v>291</v>
      </c>
      <c r="W120" s="54" t="s">
        <v>50</v>
      </c>
      <c r="X120" s="32" t="s">
        <v>295</v>
      </c>
    </row>
    <row r="121" spans="1:24" ht="124.95" customHeight="1" x14ac:dyDescent="0.3">
      <c r="A121" s="49">
        <v>213</v>
      </c>
      <c r="B121" s="68" t="s">
        <v>47</v>
      </c>
      <c r="D121" s="69" t="s">
        <v>481</v>
      </c>
      <c r="E121" s="68" t="s">
        <v>482</v>
      </c>
      <c r="F121" s="69" t="s">
        <v>46</v>
      </c>
      <c r="G121" s="50" t="s">
        <v>483</v>
      </c>
      <c r="H121" s="51" t="s">
        <v>287</v>
      </c>
      <c r="I121" s="52">
        <v>1</v>
      </c>
      <c r="J121" s="52">
        <v>2</v>
      </c>
      <c r="K121" s="59" t="s">
        <v>288</v>
      </c>
      <c r="L121" s="63">
        <v>217543.11</v>
      </c>
      <c r="M121" s="48">
        <v>55000</v>
      </c>
      <c r="N121" s="55">
        <v>150000</v>
      </c>
      <c r="O121" s="55">
        <f t="shared" si="15"/>
        <v>150000</v>
      </c>
      <c r="P121" s="55">
        <f t="shared" si="16"/>
        <v>300000</v>
      </c>
      <c r="Q121" s="55">
        <f t="shared" si="17"/>
        <v>450000</v>
      </c>
      <c r="R121" s="55">
        <f t="shared" si="18"/>
        <v>72000</v>
      </c>
      <c r="S121" s="55">
        <f t="shared" si="19"/>
        <v>522000</v>
      </c>
      <c r="T121" s="56" t="s">
        <v>289</v>
      </c>
      <c r="U121" s="54" t="s">
        <v>290</v>
      </c>
      <c r="V121" s="57" t="s">
        <v>291</v>
      </c>
      <c r="W121" s="54" t="s">
        <v>50</v>
      </c>
      <c r="X121" s="32" t="s">
        <v>295</v>
      </c>
    </row>
    <row r="122" spans="1:24" ht="124.95" customHeight="1" x14ac:dyDescent="0.3">
      <c r="A122" s="49">
        <v>214</v>
      </c>
      <c r="B122" s="68" t="s">
        <v>47</v>
      </c>
      <c r="D122" s="69" t="s">
        <v>70</v>
      </c>
      <c r="E122" s="68" t="s">
        <v>253</v>
      </c>
      <c r="F122" s="69" t="s">
        <v>46</v>
      </c>
      <c r="G122" s="50" t="s">
        <v>484</v>
      </c>
      <c r="H122" s="51" t="s">
        <v>287</v>
      </c>
      <c r="I122" s="52">
        <v>1</v>
      </c>
      <c r="J122" s="52">
        <v>2</v>
      </c>
      <c r="K122" s="59" t="s">
        <v>288</v>
      </c>
      <c r="L122" s="63">
        <v>216433.19</v>
      </c>
      <c r="M122" s="48">
        <v>50000</v>
      </c>
      <c r="N122" s="55">
        <v>150000</v>
      </c>
      <c r="O122" s="55">
        <f t="shared" si="15"/>
        <v>150000</v>
      </c>
      <c r="P122" s="55">
        <f t="shared" si="16"/>
        <v>300000</v>
      </c>
      <c r="Q122" s="55">
        <f t="shared" si="17"/>
        <v>450000</v>
      </c>
      <c r="R122" s="55">
        <f t="shared" si="18"/>
        <v>72000</v>
      </c>
      <c r="S122" s="55">
        <f t="shared" si="19"/>
        <v>522000</v>
      </c>
      <c r="T122" s="56" t="s">
        <v>289</v>
      </c>
      <c r="U122" s="54" t="s">
        <v>290</v>
      </c>
      <c r="V122" s="57" t="s">
        <v>291</v>
      </c>
      <c r="W122" s="54" t="s">
        <v>50</v>
      </c>
      <c r="X122" s="32" t="s">
        <v>316</v>
      </c>
    </row>
    <row r="123" spans="1:24" ht="124.95" customHeight="1" x14ac:dyDescent="0.3">
      <c r="A123" s="49">
        <v>215</v>
      </c>
      <c r="B123" s="68" t="s">
        <v>47</v>
      </c>
      <c r="D123" s="69" t="s">
        <v>159</v>
      </c>
      <c r="E123" s="68" t="s">
        <v>160</v>
      </c>
      <c r="F123" s="69" t="s">
        <v>46</v>
      </c>
      <c r="G123" s="50" t="s">
        <v>485</v>
      </c>
      <c r="H123" s="51" t="s">
        <v>287</v>
      </c>
      <c r="I123" s="52">
        <v>1</v>
      </c>
      <c r="J123" s="52">
        <v>2</v>
      </c>
      <c r="K123" s="59" t="s">
        <v>288</v>
      </c>
      <c r="L123" s="63">
        <v>131700</v>
      </c>
      <c r="M123" s="48">
        <v>1</v>
      </c>
      <c r="N123" s="55">
        <v>130000</v>
      </c>
      <c r="O123" s="55">
        <f t="shared" si="15"/>
        <v>130000</v>
      </c>
      <c r="P123" s="55">
        <f t="shared" si="16"/>
        <v>260000</v>
      </c>
      <c r="Q123" s="55">
        <f t="shared" si="17"/>
        <v>390000</v>
      </c>
      <c r="R123" s="55">
        <f t="shared" si="18"/>
        <v>62400</v>
      </c>
      <c r="S123" s="55">
        <f t="shared" si="19"/>
        <v>452400</v>
      </c>
      <c r="T123" s="56" t="s">
        <v>289</v>
      </c>
      <c r="U123" s="54" t="s">
        <v>290</v>
      </c>
      <c r="V123" s="57" t="s">
        <v>291</v>
      </c>
      <c r="W123" s="54" t="s">
        <v>50</v>
      </c>
      <c r="X123" s="32" t="s">
        <v>311</v>
      </c>
    </row>
    <row r="124" spans="1:24" ht="140.4" customHeight="1" x14ac:dyDescent="0.3">
      <c r="A124" s="38">
        <v>218</v>
      </c>
      <c r="B124" s="68" t="s">
        <v>47</v>
      </c>
      <c r="D124" s="69" t="s">
        <v>145</v>
      </c>
      <c r="E124" s="68" t="s">
        <v>146</v>
      </c>
      <c r="F124" s="69" t="s">
        <v>142</v>
      </c>
      <c r="G124" s="39" t="s">
        <v>486</v>
      </c>
      <c r="H124" s="40" t="s">
        <v>287</v>
      </c>
      <c r="I124" s="41">
        <v>1</v>
      </c>
      <c r="J124" s="41">
        <v>2</v>
      </c>
      <c r="K124" s="42" t="s">
        <v>288</v>
      </c>
      <c r="L124" s="43">
        <v>226391.29</v>
      </c>
      <c r="M124" s="43"/>
      <c r="N124" s="43">
        <v>220000</v>
      </c>
      <c r="O124" s="43">
        <f t="shared" si="15"/>
        <v>220000</v>
      </c>
      <c r="P124" s="43">
        <f t="shared" si="16"/>
        <v>440000</v>
      </c>
      <c r="Q124" s="43">
        <f t="shared" si="17"/>
        <v>660000</v>
      </c>
      <c r="R124" s="43">
        <f t="shared" si="18"/>
        <v>105600</v>
      </c>
      <c r="S124" s="43">
        <f t="shared" si="19"/>
        <v>765600</v>
      </c>
      <c r="T124" s="44" t="s">
        <v>289</v>
      </c>
      <c r="U124" s="45" t="s">
        <v>290</v>
      </c>
      <c r="V124" s="46" t="s">
        <v>291</v>
      </c>
      <c r="W124" s="47" t="s">
        <v>62</v>
      </c>
    </row>
    <row r="125" spans="1:24" ht="156" customHeight="1" x14ac:dyDescent="0.3">
      <c r="A125" s="38">
        <v>221</v>
      </c>
      <c r="B125" s="68" t="s">
        <v>103</v>
      </c>
      <c r="D125" s="69" t="s">
        <v>104</v>
      </c>
      <c r="E125" s="68" t="s">
        <v>105</v>
      </c>
      <c r="F125" s="69" t="s">
        <v>102</v>
      </c>
      <c r="G125" s="39" t="s">
        <v>487</v>
      </c>
      <c r="H125" s="40" t="s">
        <v>287</v>
      </c>
      <c r="I125" s="41">
        <v>1</v>
      </c>
      <c r="J125" s="41">
        <v>2</v>
      </c>
      <c r="K125" s="42" t="s">
        <v>288</v>
      </c>
      <c r="L125" s="43">
        <v>230215.52</v>
      </c>
      <c r="M125" s="43"/>
      <c r="N125" s="43">
        <v>220000</v>
      </c>
      <c r="O125" s="43">
        <f t="shared" si="15"/>
        <v>220000</v>
      </c>
      <c r="P125" s="43">
        <f t="shared" si="16"/>
        <v>440000</v>
      </c>
      <c r="Q125" s="43">
        <f t="shared" si="17"/>
        <v>660000</v>
      </c>
      <c r="R125" s="43">
        <f t="shared" si="18"/>
        <v>105600</v>
      </c>
      <c r="S125" s="43">
        <f t="shared" si="19"/>
        <v>765600</v>
      </c>
      <c r="T125" s="44" t="s">
        <v>289</v>
      </c>
      <c r="U125" s="45" t="s">
        <v>290</v>
      </c>
      <c r="V125" s="46" t="s">
        <v>291</v>
      </c>
      <c r="W125" s="47" t="s">
        <v>62</v>
      </c>
    </row>
    <row r="126" spans="1:24" ht="124.95" customHeight="1" x14ac:dyDescent="0.3">
      <c r="A126" s="49">
        <v>222</v>
      </c>
      <c r="B126" s="68" t="s">
        <v>103</v>
      </c>
      <c r="D126" s="69" t="s">
        <v>127</v>
      </c>
      <c r="E126" s="68" t="s">
        <v>128</v>
      </c>
      <c r="F126" s="69" t="s">
        <v>102</v>
      </c>
      <c r="G126" s="50" t="s">
        <v>488</v>
      </c>
      <c r="H126" s="51" t="s">
        <v>287</v>
      </c>
      <c r="I126" s="52">
        <v>1</v>
      </c>
      <c r="J126" s="52">
        <v>2</v>
      </c>
      <c r="K126" s="59" t="s">
        <v>288</v>
      </c>
      <c r="L126" s="63">
        <v>368200</v>
      </c>
      <c r="M126" s="48"/>
      <c r="N126" s="55">
        <v>365000</v>
      </c>
      <c r="O126" s="55">
        <f t="shared" si="15"/>
        <v>365000</v>
      </c>
      <c r="P126" s="55">
        <f t="shared" si="16"/>
        <v>730000</v>
      </c>
      <c r="Q126" s="55">
        <f t="shared" si="17"/>
        <v>1095000</v>
      </c>
      <c r="R126" s="55">
        <f t="shared" si="18"/>
        <v>175200</v>
      </c>
      <c r="S126" s="55">
        <f t="shared" si="19"/>
        <v>1270200</v>
      </c>
      <c r="T126" s="56" t="s">
        <v>289</v>
      </c>
      <c r="U126" s="54" t="s">
        <v>290</v>
      </c>
      <c r="V126" s="57" t="s">
        <v>291</v>
      </c>
      <c r="W126" s="54" t="s">
        <v>50</v>
      </c>
      <c r="X126" s="32" t="s">
        <v>489</v>
      </c>
    </row>
    <row r="127" spans="1:24" ht="124.95" customHeight="1" x14ac:dyDescent="0.3">
      <c r="A127" s="38">
        <v>223</v>
      </c>
      <c r="B127" s="68" t="s">
        <v>167</v>
      </c>
      <c r="D127" s="69" t="s">
        <v>490</v>
      </c>
      <c r="E127" s="68" t="s">
        <v>491</v>
      </c>
      <c r="F127" s="69" t="s">
        <v>492</v>
      </c>
      <c r="G127" s="39" t="s">
        <v>493</v>
      </c>
      <c r="H127" s="40" t="s">
        <v>287</v>
      </c>
      <c r="I127" s="41">
        <v>1</v>
      </c>
      <c r="J127" s="41">
        <v>2</v>
      </c>
      <c r="K127" s="42" t="s">
        <v>288</v>
      </c>
      <c r="L127" s="43">
        <v>228530.52</v>
      </c>
      <c r="M127" s="43"/>
      <c r="N127" s="43">
        <v>220000</v>
      </c>
      <c r="O127" s="43">
        <f t="shared" si="15"/>
        <v>220000</v>
      </c>
      <c r="P127" s="43">
        <f t="shared" si="16"/>
        <v>440000</v>
      </c>
      <c r="Q127" s="43">
        <f t="shared" si="17"/>
        <v>660000</v>
      </c>
      <c r="R127" s="43">
        <f t="shared" si="18"/>
        <v>105600</v>
      </c>
      <c r="S127" s="43">
        <f t="shared" si="19"/>
        <v>765600</v>
      </c>
      <c r="T127" s="44" t="s">
        <v>289</v>
      </c>
      <c r="U127" s="45" t="s">
        <v>290</v>
      </c>
      <c r="V127" s="46" t="s">
        <v>291</v>
      </c>
      <c r="W127" s="47" t="s">
        <v>62</v>
      </c>
    </row>
    <row r="128" spans="1:24" ht="124.95" customHeight="1" x14ac:dyDescent="0.3">
      <c r="A128" s="38">
        <v>225</v>
      </c>
      <c r="B128" s="68" t="s">
        <v>494</v>
      </c>
      <c r="D128" s="69" t="s">
        <v>94</v>
      </c>
      <c r="E128" s="68" t="s">
        <v>495</v>
      </c>
      <c r="F128" s="69" t="s">
        <v>496</v>
      </c>
      <c r="G128" s="39" t="s">
        <v>497</v>
      </c>
      <c r="H128" s="40" t="s">
        <v>287</v>
      </c>
      <c r="I128" s="41">
        <v>1</v>
      </c>
      <c r="J128" s="41">
        <v>2</v>
      </c>
      <c r="K128" s="42" t="s">
        <v>288</v>
      </c>
      <c r="L128" s="43">
        <v>222715.51999999999</v>
      </c>
      <c r="M128" s="43"/>
      <c r="N128" s="43">
        <v>300000</v>
      </c>
      <c r="O128" s="43">
        <f t="shared" si="15"/>
        <v>300000</v>
      </c>
      <c r="P128" s="43">
        <f t="shared" si="16"/>
        <v>600000</v>
      </c>
      <c r="Q128" s="43">
        <f t="shared" si="17"/>
        <v>900000</v>
      </c>
      <c r="R128" s="43">
        <f t="shared" si="18"/>
        <v>144000</v>
      </c>
      <c r="S128" s="43">
        <f t="shared" si="19"/>
        <v>1044000</v>
      </c>
      <c r="T128" s="44" t="s">
        <v>289</v>
      </c>
      <c r="U128" s="45" t="s">
        <v>290</v>
      </c>
      <c r="V128" s="46" t="s">
        <v>381</v>
      </c>
      <c r="W128" s="47" t="s">
        <v>62</v>
      </c>
    </row>
    <row r="129" spans="1:24" ht="156" customHeight="1" x14ac:dyDescent="0.3">
      <c r="A129" s="38">
        <v>226</v>
      </c>
      <c r="B129" s="68" t="s">
        <v>249</v>
      </c>
      <c r="D129" s="69" t="s">
        <v>164</v>
      </c>
      <c r="E129" s="68" t="s">
        <v>498</v>
      </c>
      <c r="F129" s="69" t="s">
        <v>469</v>
      </c>
      <c r="G129" s="39" t="s">
        <v>499</v>
      </c>
      <c r="H129" s="40" t="s">
        <v>287</v>
      </c>
      <c r="I129" s="41">
        <v>1</v>
      </c>
      <c r="J129" s="41">
        <v>2</v>
      </c>
      <c r="K129" s="42" t="s">
        <v>288</v>
      </c>
      <c r="L129" s="43">
        <v>221767.25</v>
      </c>
      <c r="M129" s="43"/>
      <c r="N129" s="43">
        <v>300000</v>
      </c>
      <c r="O129" s="43">
        <f t="shared" si="15"/>
        <v>300000</v>
      </c>
      <c r="P129" s="43">
        <f t="shared" si="16"/>
        <v>600000</v>
      </c>
      <c r="Q129" s="43">
        <f t="shared" si="17"/>
        <v>900000</v>
      </c>
      <c r="R129" s="43">
        <f t="shared" si="18"/>
        <v>144000</v>
      </c>
      <c r="S129" s="43">
        <f t="shared" si="19"/>
        <v>1044000</v>
      </c>
      <c r="T129" s="44" t="s">
        <v>289</v>
      </c>
      <c r="U129" s="45" t="s">
        <v>290</v>
      </c>
      <c r="V129" s="46" t="s">
        <v>381</v>
      </c>
      <c r="W129" s="47" t="s">
        <v>62</v>
      </c>
    </row>
    <row r="130" spans="1:24" ht="156" customHeight="1" x14ac:dyDescent="0.3">
      <c r="A130" s="38">
        <v>227</v>
      </c>
      <c r="B130" s="68" t="s">
        <v>184</v>
      </c>
      <c r="D130" s="69" t="s">
        <v>164</v>
      </c>
      <c r="E130" s="68" t="s">
        <v>185</v>
      </c>
      <c r="F130" s="69" t="s">
        <v>183</v>
      </c>
      <c r="G130" s="39" t="s">
        <v>500</v>
      </c>
      <c r="H130" s="40" t="s">
        <v>287</v>
      </c>
      <c r="I130" s="41">
        <v>1</v>
      </c>
      <c r="J130" s="41">
        <v>2</v>
      </c>
      <c r="K130" s="42" t="s">
        <v>288</v>
      </c>
      <c r="L130" s="43">
        <v>221400</v>
      </c>
      <c r="M130" s="43"/>
      <c r="N130" s="43">
        <v>220000</v>
      </c>
      <c r="O130" s="43">
        <f t="shared" si="15"/>
        <v>220000</v>
      </c>
      <c r="P130" s="43">
        <f t="shared" si="16"/>
        <v>440000</v>
      </c>
      <c r="Q130" s="43">
        <f t="shared" si="17"/>
        <v>660000</v>
      </c>
      <c r="R130" s="43">
        <f t="shared" si="18"/>
        <v>105600</v>
      </c>
      <c r="S130" s="43">
        <f t="shared" si="19"/>
        <v>765600</v>
      </c>
      <c r="T130" s="44" t="s">
        <v>289</v>
      </c>
      <c r="U130" s="45" t="s">
        <v>290</v>
      </c>
      <c r="V130" s="46" t="s">
        <v>291</v>
      </c>
      <c r="W130" s="47" t="s">
        <v>62</v>
      </c>
    </row>
    <row r="131" spans="1:24" ht="124.95" customHeight="1" x14ac:dyDescent="0.3">
      <c r="A131" s="38">
        <v>228</v>
      </c>
      <c r="B131" s="68" t="s">
        <v>184</v>
      </c>
      <c r="D131" s="69" t="s">
        <v>186</v>
      </c>
      <c r="E131" s="68" t="s">
        <v>187</v>
      </c>
      <c r="F131" s="69" t="s">
        <v>183</v>
      </c>
      <c r="G131" s="39" t="s">
        <v>501</v>
      </c>
      <c r="H131" s="40" t="s">
        <v>287</v>
      </c>
      <c r="I131" s="41">
        <v>1</v>
      </c>
      <c r="J131" s="41">
        <v>2</v>
      </c>
      <c r="K131" s="42" t="s">
        <v>288</v>
      </c>
      <c r="L131" s="43">
        <v>239063.79</v>
      </c>
      <c r="M131" s="43"/>
      <c r="N131" s="43">
        <v>220000</v>
      </c>
      <c r="O131" s="43">
        <f t="shared" si="15"/>
        <v>220000</v>
      </c>
      <c r="P131" s="43">
        <f t="shared" si="16"/>
        <v>440000</v>
      </c>
      <c r="Q131" s="43">
        <f t="shared" si="17"/>
        <v>660000</v>
      </c>
      <c r="R131" s="43">
        <f t="shared" si="18"/>
        <v>105600</v>
      </c>
      <c r="S131" s="43">
        <f t="shared" si="19"/>
        <v>765600</v>
      </c>
      <c r="T131" s="44" t="s">
        <v>289</v>
      </c>
      <c r="U131" s="45" t="s">
        <v>290</v>
      </c>
      <c r="V131" s="46" t="s">
        <v>291</v>
      </c>
      <c r="W131" s="47" t="s">
        <v>62</v>
      </c>
    </row>
    <row r="132" spans="1:24" ht="124.95" customHeight="1" x14ac:dyDescent="0.3">
      <c r="A132" s="38">
        <v>230</v>
      </c>
      <c r="B132" s="68" t="s">
        <v>502</v>
      </c>
      <c r="D132" s="69" t="s">
        <v>94</v>
      </c>
      <c r="E132" s="68" t="s">
        <v>503</v>
      </c>
      <c r="F132" s="69" t="s">
        <v>504</v>
      </c>
      <c r="G132" s="39" t="s">
        <v>505</v>
      </c>
      <c r="H132" s="40" t="s">
        <v>287</v>
      </c>
      <c r="I132" s="41">
        <v>1</v>
      </c>
      <c r="J132" s="41">
        <v>2</v>
      </c>
      <c r="K132" s="42" t="s">
        <v>288</v>
      </c>
      <c r="L132" s="43">
        <v>230107.76</v>
      </c>
      <c r="M132" s="43"/>
      <c r="N132" s="43">
        <v>220000</v>
      </c>
      <c r="O132" s="43">
        <f t="shared" si="15"/>
        <v>220000</v>
      </c>
      <c r="P132" s="43">
        <f t="shared" si="16"/>
        <v>440000</v>
      </c>
      <c r="Q132" s="43">
        <f t="shared" si="17"/>
        <v>660000</v>
      </c>
      <c r="R132" s="43">
        <f t="shared" si="18"/>
        <v>105600</v>
      </c>
      <c r="S132" s="43">
        <f t="shared" si="19"/>
        <v>765600</v>
      </c>
      <c r="T132" s="44" t="s">
        <v>289</v>
      </c>
      <c r="U132" s="45" t="s">
        <v>290</v>
      </c>
      <c r="V132" s="46" t="s">
        <v>291</v>
      </c>
      <c r="W132" s="47" t="s">
        <v>62</v>
      </c>
    </row>
    <row r="133" spans="1:24" ht="156" customHeight="1" x14ac:dyDescent="0.3">
      <c r="A133" s="38">
        <v>231</v>
      </c>
      <c r="B133" s="68" t="s">
        <v>163</v>
      </c>
      <c r="D133" s="69" t="s">
        <v>164</v>
      </c>
      <c r="E133" s="68" t="s">
        <v>165</v>
      </c>
      <c r="F133" s="69" t="s">
        <v>162</v>
      </c>
      <c r="G133" s="39" t="s">
        <v>506</v>
      </c>
      <c r="H133" s="40" t="s">
        <v>287</v>
      </c>
      <c r="I133" s="41">
        <v>1</v>
      </c>
      <c r="J133" s="41">
        <v>2</v>
      </c>
      <c r="K133" s="42" t="s">
        <v>288</v>
      </c>
      <c r="L133" s="43">
        <v>239600</v>
      </c>
      <c r="M133" s="43"/>
      <c r="N133" s="43">
        <v>220000</v>
      </c>
      <c r="O133" s="43">
        <f t="shared" si="15"/>
        <v>220000</v>
      </c>
      <c r="P133" s="43">
        <f t="shared" si="16"/>
        <v>440000</v>
      </c>
      <c r="Q133" s="43">
        <f t="shared" si="17"/>
        <v>660000</v>
      </c>
      <c r="R133" s="43">
        <f t="shared" si="18"/>
        <v>105600</v>
      </c>
      <c r="S133" s="43">
        <f t="shared" si="19"/>
        <v>765600</v>
      </c>
      <c r="T133" s="44" t="s">
        <v>289</v>
      </c>
      <c r="U133" s="45" t="s">
        <v>290</v>
      </c>
      <c r="V133" s="46" t="s">
        <v>291</v>
      </c>
      <c r="W133" s="47" t="s">
        <v>62</v>
      </c>
    </row>
    <row r="134" spans="1:24" ht="124.95" customHeight="1" x14ac:dyDescent="0.3">
      <c r="A134" s="38">
        <v>232</v>
      </c>
      <c r="B134" s="68" t="s">
        <v>167</v>
      </c>
      <c r="D134" s="69" t="s">
        <v>168</v>
      </c>
      <c r="E134" s="68" t="s">
        <v>169</v>
      </c>
      <c r="F134" s="69" t="s">
        <v>166</v>
      </c>
      <c r="G134" s="39" t="s">
        <v>507</v>
      </c>
      <c r="H134" s="40" t="s">
        <v>287</v>
      </c>
      <c r="I134" s="41">
        <v>1</v>
      </c>
      <c r="J134" s="41">
        <v>2</v>
      </c>
      <c r="K134" s="42" t="s">
        <v>288</v>
      </c>
      <c r="L134" s="43">
        <v>245744</v>
      </c>
      <c r="M134" s="43"/>
      <c r="N134" s="43">
        <v>220000</v>
      </c>
      <c r="O134" s="43">
        <f t="shared" si="15"/>
        <v>220000</v>
      </c>
      <c r="P134" s="43">
        <f t="shared" si="16"/>
        <v>440000</v>
      </c>
      <c r="Q134" s="43">
        <f t="shared" si="17"/>
        <v>660000</v>
      </c>
      <c r="R134" s="43">
        <f t="shared" si="18"/>
        <v>105600</v>
      </c>
      <c r="S134" s="43">
        <f t="shared" si="19"/>
        <v>765600</v>
      </c>
      <c r="T134" s="44" t="s">
        <v>289</v>
      </c>
      <c r="U134" s="45" t="s">
        <v>290</v>
      </c>
      <c r="V134" s="46" t="s">
        <v>291</v>
      </c>
      <c r="W134" s="47" t="s">
        <v>62</v>
      </c>
    </row>
    <row r="135" spans="1:24" ht="124.95" customHeight="1" x14ac:dyDescent="0.3">
      <c r="A135" s="38">
        <v>265</v>
      </c>
      <c r="B135" s="68" t="s">
        <v>184</v>
      </c>
      <c r="D135" s="69" t="s">
        <v>508</v>
      </c>
      <c r="E135" s="68" t="s">
        <v>509</v>
      </c>
      <c r="F135" s="69" t="s">
        <v>510</v>
      </c>
      <c r="G135" s="39" t="s">
        <v>511</v>
      </c>
      <c r="H135" s="40" t="s">
        <v>287</v>
      </c>
      <c r="I135" s="41">
        <v>1</v>
      </c>
      <c r="J135" s="41">
        <v>2</v>
      </c>
      <c r="K135" s="42" t="s">
        <v>288</v>
      </c>
      <c r="L135" s="43">
        <v>221659.48</v>
      </c>
      <c r="M135" s="43"/>
      <c r="N135" s="43">
        <v>220000</v>
      </c>
      <c r="O135" s="43">
        <f t="shared" si="15"/>
        <v>220000</v>
      </c>
      <c r="P135" s="43">
        <f t="shared" si="16"/>
        <v>440000</v>
      </c>
      <c r="Q135" s="43">
        <f t="shared" si="17"/>
        <v>660000</v>
      </c>
      <c r="R135" s="43">
        <f t="shared" si="18"/>
        <v>105600</v>
      </c>
      <c r="S135" s="43">
        <f t="shared" si="19"/>
        <v>765600</v>
      </c>
      <c r="T135" s="44" t="s">
        <v>289</v>
      </c>
      <c r="U135" s="45" t="s">
        <v>290</v>
      </c>
      <c r="V135" s="46" t="s">
        <v>291</v>
      </c>
      <c r="W135" s="47" t="s">
        <v>62</v>
      </c>
    </row>
    <row r="136" spans="1:24" ht="124.95" customHeight="1" x14ac:dyDescent="0.3">
      <c r="A136" s="38">
        <v>268</v>
      </c>
      <c r="B136" s="68" t="s">
        <v>172</v>
      </c>
      <c r="D136" s="69" t="s">
        <v>201</v>
      </c>
      <c r="E136" s="68" t="s">
        <v>202</v>
      </c>
      <c r="F136" s="69" t="s">
        <v>171</v>
      </c>
      <c r="G136" s="39" t="s">
        <v>512</v>
      </c>
      <c r="H136" s="40" t="s">
        <v>287</v>
      </c>
      <c r="I136" s="41">
        <v>1</v>
      </c>
      <c r="J136" s="41">
        <v>2</v>
      </c>
      <c r="K136" s="42" t="s">
        <v>288</v>
      </c>
      <c r="L136" s="43">
        <v>430000</v>
      </c>
      <c r="M136" s="43" t="s">
        <v>425</v>
      </c>
      <c r="N136" s="43">
        <v>425000</v>
      </c>
      <c r="O136" s="43">
        <f t="shared" si="15"/>
        <v>425000</v>
      </c>
      <c r="P136" s="43">
        <f t="shared" si="16"/>
        <v>850000</v>
      </c>
      <c r="Q136" s="43">
        <f t="shared" si="17"/>
        <v>1275000</v>
      </c>
      <c r="R136" s="43">
        <f t="shared" si="18"/>
        <v>204000</v>
      </c>
      <c r="S136" s="43">
        <f t="shared" si="19"/>
        <v>1479000</v>
      </c>
      <c r="T136" s="44" t="s">
        <v>289</v>
      </c>
      <c r="U136" s="45" t="s">
        <v>290</v>
      </c>
      <c r="V136" s="46" t="s">
        <v>291</v>
      </c>
      <c r="W136" s="45" t="s">
        <v>50</v>
      </c>
      <c r="X136" s="32" t="s">
        <v>377</v>
      </c>
    </row>
    <row r="137" spans="1:24" ht="124.95" customHeight="1" x14ac:dyDescent="0.3">
      <c r="A137" s="38">
        <v>273</v>
      </c>
      <c r="B137" s="68" t="s">
        <v>172</v>
      </c>
      <c r="D137" s="69" t="s">
        <v>203</v>
      </c>
      <c r="E137" s="68" t="s">
        <v>204</v>
      </c>
      <c r="F137" s="69" t="s">
        <v>171</v>
      </c>
      <c r="G137" s="39" t="s">
        <v>513</v>
      </c>
      <c r="H137" s="40" t="s">
        <v>287</v>
      </c>
      <c r="I137" s="41">
        <v>1</v>
      </c>
      <c r="J137" s="41">
        <v>2</v>
      </c>
      <c r="K137" s="42" t="s">
        <v>288</v>
      </c>
      <c r="L137" s="43">
        <v>411654</v>
      </c>
      <c r="M137" s="43">
        <v>0</v>
      </c>
      <c r="N137" s="43">
        <v>400000</v>
      </c>
      <c r="O137" s="43">
        <f t="shared" si="15"/>
        <v>400000</v>
      </c>
      <c r="P137" s="43">
        <f t="shared" si="16"/>
        <v>800000</v>
      </c>
      <c r="Q137" s="43">
        <f t="shared" si="17"/>
        <v>1200000</v>
      </c>
      <c r="R137" s="43">
        <f t="shared" si="18"/>
        <v>192000</v>
      </c>
      <c r="S137" s="43">
        <f t="shared" si="19"/>
        <v>1392000</v>
      </c>
      <c r="T137" s="44" t="s">
        <v>289</v>
      </c>
      <c r="U137" s="45" t="s">
        <v>290</v>
      </c>
      <c r="V137" s="46" t="s">
        <v>381</v>
      </c>
      <c r="W137" s="45" t="s">
        <v>50</v>
      </c>
      <c r="X137" s="32" t="s">
        <v>300</v>
      </c>
    </row>
    <row r="138" spans="1:24" ht="124.95" customHeight="1" x14ac:dyDescent="0.3">
      <c r="A138" s="38">
        <v>283</v>
      </c>
      <c r="B138" s="68" t="s">
        <v>47</v>
      </c>
      <c r="D138" s="69" t="s">
        <v>254</v>
      </c>
      <c r="E138" s="68" t="s">
        <v>255</v>
      </c>
      <c r="F138" s="69" t="s">
        <v>46</v>
      </c>
      <c r="G138" s="39" t="s">
        <v>514</v>
      </c>
      <c r="H138" s="40" t="s">
        <v>287</v>
      </c>
      <c r="I138" s="41">
        <v>1</v>
      </c>
      <c r="J138" s="41">
        <v>2</v>
      </c>
      <c r="K138" s="42" t="s">
        <v>288</v>
      </c>
      <c r="L138" s="43">
        <v>170786.6</v>
      </c>
      <c r="M138" s="43">
        <v>1</v>
      </c>
      <c r="N138" s="43">
        <v>170000</v>
      </c>
      <c r="O138" s="43">
        <f t="shared" si="15"/>
        <v>170000</v>
      </c>
      <c r="P138" s="43">
        <f t="shared" si="16"/>
        <v>340000</v>
      </c>
      <c r="Q138" s="43">
        <f t="shared" si="17"/>
        <v>510000</v>
      </c>
      <c r="R138" s="43">
        <f t="shared" si="18"/>
        <v>81600</v>
      </c>
      <c r="S138" s="43">
        <f t="shared" si="19"/>
        <v>591600</v>
      </c>
      <c r="T138" s="44" t="s">
        <v>289</v>
      </c>
      <c r="U138" s="45" t="s">
        <v>290</v>
      </c>
      <c r="V138" s="46" t="s">
        <v>291</v>
      </c>
      <c r="W138" s="45" t="s">
        <v>50</v>
      </c>
      <c r="X138" s="32" t="s">
        <v>387</v>
      </c>
    </row>
    <row r="139" spans="1:24" ht="124.95" customHeight="1" x14ac:dyDescent="0.3">
      <c r="A139" s="49">
        <v>286</v>
      </c>
      <c r="B139" s="68" t="s">
        <v>76</v>
      </c>
      <c r="D139" s="69" t="s">
        <v>515</v>
      </c>
      <c r="E139" s="68" t="s">
        <v>516</v>
      </c>
      <c r="F139" s="69" t="s">
        <v>75</v>
      </c>
      <c r="G139" s="50" t="s">
        <v>517</v>
      </c>
      <c r="H139" s="51" t="s">
        <v>287</v>
      </c>
      <c r="I139" s="52">
        <v>1</v>
      </c>
      <c r="J139" s="52">
        <v>2</v>
      </c>
      <c r="K139" s="59" t="s">
        <v>288</v>
      </c>
      <c r="L139" s="63">
        <v>277155.17</v>
      </c>
      <c r="M139" s="48">
        <v>100000</v>
      </c>
      <c r="N139" s="55">
        <v>275000</v>
      </c>
      <c r="O139" s="55">
        <f t="shared" si="15"/>
        <v>275000</v>
      </c>
      <c r="P139" s="55">
        <f t="shared" si="16"/>
        <v>550000</v>
      </c>
      <c r="Q139" s="55">
        <f t="shared" si="17"/>
        <v>825000</v>
      </c>
      <c r="R139" s="55">
        <f t="shared" si="18"/>
        <v>132000</v>
      </c>
      <c r="S139" s="55">
        <f t="shared" si="19"/>
        <v>957000</v>
      </c>
      <c r="T139" s="56" t="s">
        <v>289</v>
      </c>
      <c r="U139" s="54" t="s">
        <v>290</v>
      </c>
      <c r="V139" s="57" t="s">
        <v>291</v>
      </c>
      <c r="W139" s="54" t="s">
        <v>50</v>
      </c>
      <c r="X139" s="32" t="s">
        <v>518</v>
      </c>
    </row>
    <row r="140" spans="1:24" ht="124.95" customHeight="1" x14ac:dyDescent="0.3">
      <c r="A140" s="38">
        <v>287</v>
      </c>
      <c r="B140" s="68" t="s">
        <v>76</v>
      </c>
      <c r="D140" s="69" t="s">
        <v>519</v>
      </c>
      <c r="E140" s="68" t="s">
        <v>520</v>
      </c>
      <c r="F140" s="69" t="s">
        <v>75</v>
      </c>
      <c r="G140" s="39" t="s">
        <v>521</v>
      </c>
      <c r="H140" s="40" t="s">
        <v>287</v>
      </c>
      <c r="I140" s="41">
        <v>1</v>
      </c>
      <c r="J140" s="41">
        <v>2</v>
      </c>
      <c r="K140" s="42" t="s">
        <v>288</v>
      </c>
      <c r="L140" s="43">
        <v>205906.59</v>
      </c>
      <c r="M140" s="43"/>
      <c r="N140" s="43">
        <v>350000</v>
      </c>
      <c r="O140" s="43">
        <f t="shared" si="15"/>
        <v>350000</v>
      </c>
      <c r="P140" s="43">
        <f t="shared" si="16"/>
        <v>700000</v>
      </c>
      <c r="Q140" s="43">
        <f t="shared" si="17"/>
        <v>1050000</v>
      </c>
      <c r="R140" s="43">
        <f t="shared" si="18"/>
        <v>168000</v>
      </c>
      <c r="S140" s="43">
        <f t="shared" si="19"/>
        <v>1218000</v>
      </c>
      <c r="T140" s="44" t="s">
        <v>289</v>
      </c>
      <c r="U140" s="45" t="s">
        <v>290</v>
      </c>
      <c r="V140" s="46" t="s">
        <v>381</v>
      </c>
      <c r="W140" s="45" t="s">
        <v>50</v>
      </c>
      <c r="X140" s="32" t="s">
        <v>387</v>
      </c>
    </row>
    <row r="141" spans="1:24" ht="124.95" customHeight="1" x14ac:dyDescent="0.3">
      <c r="A141" s="38">
        <v>291</v>
      </c>
      <c r="B141" s="68" t="s">
        <v>47</v>
      </c>
      <c r="D141" s="69" t="s">
        <v>254</v>
      </c>
      <c r="E141" s="68" t="s">
        <v>256</v>
      </c>
      <c r="F141" s="69" t="s">
        <v>46</v>
      </c>
      <c r="G141" s="39" t="s">
        <v>522</v>
      </c>
      <c r="H141" s="40" t="s">
        <v>287</v>
      </c>
      <c r="I141" s="41">
        <v>1</v>
      </c>
      <c r="J141" s="41">
        <v>2</v>
      </c>
      <c r="K141" s="42" t="s">
        <v>288</v>
      </c>
      <c r="L141" s="43">
        <v>147529.04999999999</v>
      </c>
      <c r="M141" s="43">
        <v>1</v>
      </c>
      <c r="N141" s="43">
        <v>140000</v>
      </c>
      <c r="O141" s="43">
        <f t="shared" si="15"/>
        <v>140000</v>
      </c>
      <c r="P141" s="43">
        <f t="shared" si="16"/>
        <v>280000</v>
      </c>
      <c r="Q141" s="43">
        <f t="shared" si="17"/>
        <v>420000</v>
      </c>
      <c r="R141" s="43">
        <f t="shared" si="18"/>
        <v>67200</v>
      </c>
      <c r="S141" s="43">
        <f t="shared" si="19"/>
        <v>487200</v>
      </c>
      <c r="T141" s="44" t="s">
        <v>289</v>
      </c>
      <c r="U141" s="45" t="s">
        <v>290</v>
      </c>
      <c r="V141" s="46" t="s">
        <v>291</v>
      </c>
      <c r="W141" s="45" t="s">
        <v>50</v>
      </c>
      <c r="X141" s="32" t="s">
        <v>387</v>
      </c>
    </row>
    <row r="142" spans="1:24" ht="124.95" customHeight="1" x14ac:dyDescent="0.3">
      <c r="A142" s="49">
        <v>292</v>
      </c>
      <c r="B142" s="68" t="s">
        <v>47</v>
      </c>
      <c r="D142" s="69" t="s">
        <v>257</v>
      </c>
      <c r="E142" s="68" t="s">
        <v>258</v>
      </c>
      <c r="F142" s="69" t="s">
        <v>46</v>
      </c>
      <c r="G142" s="50" t="s">
        <v>523</v>
      </c>
      <c r="H142" s="51" t="s">
        <v>287</v>
      </c>
      <c r="I142" s="52">
        <v>1</v>
      </c>
      <c r="J142" s="52">
        <v>2</v>
      </c>
      <c r="K142" s="59" t="s">
        <v>288</v>
      </c>
      <c r="L142" s="63">
        <v>125647</v>
      </c>
      <c r="M142" s="48">
        <v>1</v>
      </c>
      <c r="N142" s="55">
        <v>120000</v>
      </c>
      <c r="O142" s="55">
        <f t="shared" ref="O142:O173" si="20">I142*N142</f>
        <v>120000</v>
      </c>
      <c r="P142" s="55">
        <f t="shared" ref="P142:P176" si="21">J142*N142</f>
        <v>240000</v>
      </c>
      <c r="Q142" s="55">
        <f t="shared" ref="Q142:Q173" si="22">SUM(O142:P142)</f>
        <v>360000</v>
      </c>
      <c r="R142" s="55">
        <f t="shared" ref="R142:R173" si="23">Q142*$R$9</f>
        <v>57600</v>
      </c>
      <c r="S142" s="55">
        <f t="shared" ref="S142:S173" si="24">SUM(Q142:R142)</f>
        <v>417600</v>
      </c>
      <c r="T142" s="56" t="s">
        <v>289</v>
      </c>
      <c r="U142" s="54" t="s">
        <v>290</v>
      </c>
      <c r="V142" s="57" t="s">
        <v>291</v>
      </c>
      <c r="W142" s="54" t="s">
        <v>50</v>
      </c>
      <c r="X142" s="32" t="s">
        <v>524</v>
      </c>
    </row>
    <row r="143" spans="1:24" ht="124.95" customHeight="1" x14ac:dyDescent="0.3">
      <c r="A143" s="38">
        <v>294</v>
      </c>
      <c r="B143" s="68" t="s">
        <v>409</v>
      </c>
      <c r="D143" s="69" t="s">
        <v>525</v>
      </c>
      <c r="E143" s="68" t="s">
        <v>526</v>
      </c>
      <c r="F143" s="69" t="s">
        <v>411</v>
      </c>
      <c r="G143" s="39" t="s">
        <v>527</v>
      </c>
      <c r="H143" s="40" t="s">
        <v>287</v>
      </c>
      <c r="I143" s="41">
        <v>1</v>
      </c>
      <c r="J143" s="41">
        <v>2</v>
      </c>
      <c r="K143" s="42" t="s">
        <v>288</v>
      </c>
      <c r="L143" s="43">
        <v>589413</v>
      </c>
      <c r="M143" s="43" t="s">
        <v>381</v>
      </c>
      <c r="N143" s="43">
        <v>990000</v>
      </c>
      <c r="O143" s="43">
        <f t="shared" si="20"/>
        <v>990000</v>
      </c>
      <c r="P143" s="43">
        <f t="shared" si="21"/>
        <v>1980000</v>
      </c>
      <c r="Q143" s="43">
        <f t="shared" si="22"/>
        <v>2970000</v>
      </c>
      <c r="R143" s="43">
        <f t="shared" si="23"/>
        <v>475200</v>
      </c>
      <c r="S143" s="43">
        <f t="shared" si="24"/>
        <v>3445200</v>
      </c>
      <c r="T143" s="44" t="s">
        <v>289</v>
      </c>
      <c r="U143" s="45" t="s">
        <v>290</v>
      </c>
      <c r="V143" s="46" t="s">
        <v>381</v>
      </c>
      <c r="W143" s="45" t="s">
        <v>50</v>
      </c>
      <c r="X143" s="32" t="s">
        <v>300</v>
      </c>
    </row>
    <row r="144" spans="1:24" ht="140.4" customHeight="1" x14ac:dyDescent="0.3">
      <c r="A144" s="38">
        <v>298</v>
      </c>
      <c r="B144" s="68" t="s">
        <v>217</v>
      </c>
      <c r="D144" s="69" t="s">
        <v>218</v>
      </c>
      <c r="E144" s="68" t="s">
        <v>219</v>
      </c>
      <c r="F144" s="69" t="s">
        <v>216</v>
      </c>
      <c r="G144" s="39" t="s">
        <v>528</v>
      </c>
      <c r="H144" s="40" t="s">
        <v>287</v>
      </c>
      <c r="I144" s="41">
        <v>1</v>
      </c>
      <c r="J144" s="41">
        <v>2</v>
      </c>
      <c r="K144" s="42" t="s">
        <v>288</v>
      </c>
      <c r="L144" s="43">
        <v>227995.69</v>
      </c>
      <c r="M144" s="43"/>
      <c r="N144" s="43">
        <v>220000</v>
      </c>
      <c r="O144" s="43">
        <f t="shared" si="20"/>
        <v>220000</v>
      </c>
      <c r="P144" s="43">
        <f t="shared" si="21"/>
        <v>440000</v>
      </c>
      <c r="Q144" s="43">
        <f t="shared" si="22"/>
        <v>660000</v>
      </c>
      <c r="R144" s="43">
        <f t="shared" si="23"/>
        <v>105600</v>
      </c>
      <c r="S144" s="43">
        <f t="shared" si="24"/>
        <v>765600</v>
      </c>
      <c r="T144" s="44" t="s">
        <v>289</v>
      </c>
      <c r="U144" s="45" t="s">
        <v>290</v>
      </c>
      <c r="V144" s="46" t="s">
        <v>291</v>
      </c>
      <c r="W144" s="47" t="s">
        <v>62</v>
      </c>
    </row>
    <row r="145" spans="1:24" ht="140.4" customHeight="1" x14ac:dyDescent="0.3">
      <c r="A145" s="38">
        <v>301</v>
      </c>
      <c r="B145" s="68" t="s">
        <v>47</v>
      </c>
      <c r="D145" s="69" t="s">
        <v>529</v>
      </c>
      <c r="E145" s="68" t="s">
        <v>530</v>
      </c>
      <c r="F145" s="69" t="s">
        <v>59</v>
      </c>
      <c r="G145" s="39" t="s">
        <v>531</v>
      </c>
      <c r="H145" s="40" t="s">
        <v>287</v>
      </c>
      <c r="I145" s="41">
        <v>1</v>
      </c>
      <c r="J145" s="41">
        <v>2</v>
      </c>
      <c r="K145" s="42" t="s">
        <v>288</v>
      </c>
      <c r="L145" s="43">
        <v>229310.95</v>
      </c>
      <c r="M145" s="43"/>
      <c r="N145" s="43">
        <v>220000</v>
      </c>
      <c r="O145" s="43">
        <f t="shared" si="20"/>
        <v>220000</v>
      </c>
      <c r="P145" s="43">
        <f t="shared" si="21"/>
        <v>440000</v>
      </c>
      <c r="Q145" s="43">
        <f t="shared" si="22"/>
        <v>660000</v>
      </c>
      <c r="R145" s="43">
        <f t="shared" si="23"/>
        <v>105600</v>
      </c>
      <c r="S145" s="43">
        <f t="shared" si="24"/>
        <v>765600</v>
      </c>
      <c r="T145" s="44" t="s">
        <v>289</v>
      </c>
      <c r="U145" s="45" t="s">
        <v>290</v>
      </c>
      <c r="V145" s="46" t="s">
        <v>291</v>
      </c>
      <c r="W145" s="47" t="s">
        <v>62</v>
      </c>
    </row>
    <row r="146" spans="1:24" ht="140.4" customHeight="1" x14ac:dyDescent="0.3">
      <c r="A146" s="38">
        <v>302</v>
      </c>
      <c r="B146" s="68" t="s">
        <v>47</v>
      </c>
      <c r="D146" s="69" t="s">
        <v>529</v>
      </c>
      <c r="E146" s="68" t="s">
        <v>532</v>
      </c>
      <c r="F146" s="69" t="s">
        <v>59</v>
      </c>
      <c r="G146" s="39" t="s">
        <v>533</v>
      </c>
      <c r="H146" s="40" t="s">
        <v>287</v>
      </c>
      <c r="I146" s="41">
        <v>1</v>
      </c>
      <c r="J146" s="41">
        <v>2</v>
      </c>
      <c r="K146" s="42" t="s">
        <v>288</v>
      </c>
      <c r="L146" s="43">
        <v>221980.55</v>
      </c>
      <c r="M146" s="43"/>
      <c r="N146" s="43">
        <v>220000</v>
      </c>
      <c r="O146" s="43">
        <f t="shared" si="20"/>
        <v>220000</v>
      </c>
      <c r="P146" s="43">
        <f t="shared" si="21"/>
        <v>440000</v>
      </c>
      <c r="Q146" s="43">
        <f t="shared" si="22"/>
        <v>660000</v>
      </c>
      <c r="R146" s="43">
        <f t="shared" si="23"/>
        <v>105600</v>
      </c>
      <c r="S146" s="43">
        <f t="shared" si="24"/>
        <v>765600</v>
      </c>
      <c r="T146" s="44" t="s">
        <v>289</v>
      </c>
      <c r="U146" s="45" t="s">
        <v>290</v>
      </c>
      <c r="V146" s="46" t="s">
        <v>291</v>
      </c>
      <c r="W146" s="47" t="s">
        <v>62</v>
      </c>
    </row>
    <row r="147" spans="1:24" ht="140.4" customHeight="1" x14ac:dyDescent="0.3">
      <c r="A147" s="38">
        <v>303</v>
      </c>
      <c r="B147" s="68" t="s">
        <v>47</v>
      </c>
      <c r="D147" s="69" t="s">
        <v>529</v>
      </c>
      <c r="E147" s="68" t="s">
        <v>534</v>
      </c>
      <c r="F147" s="69" t="s">
        <v>59</v>
      </c>
      <c r="G147" s="39" t="s">
        <v>535</v>
      </c>
      <c r="H147" s="40" t="s">
        <v>287</v>
      </c>
      <c r="I147" s="41">
        <v>1</v>
      </c>
      <c r="J147" s="41">
        <v>2</v>
      </c>
      <c r="K147" s="42" t="s">
        <v>288</v>
      </c>
      <c r="L147" s="43">
        <v>223768.65</v>
      </c>
      <c r="M147" s="43"/>
      <c r="N147" s="43">
        <v>220000</v>
      </c>
      <c r="O147" s="43">
        <f t="shared" si="20"/>
        <v>220000</v>
      </c>
      <c r="P147" s="43">
        <f t="shared" si="21"/>
        <v>440000</v>
      </c>
      <c r="Q147" s="43">
        <f t="shared" si="22"/>
        <v>660000</v>
      </c>
      <c r="R147" s="43">
        <f t="shared" si="23"/>
        <v>105600</v>
      </c>
      <c r="S147" s="43">
        <f t="shared" si="24"/>
        <v>765600</v>
      </c>
      <c r="T147" s="44" t="s">
        <v>289</v>
      </c>
      <c r="U147" s="45" t="s">
        <v>290</v>
      </c>
      <c r="V147" s="46" t="s">
        <v>291</v>
      </c>
      <c r="W147" s="47" t="s">
        <v>62</v>
      </c>
    </row>
    <row r="148" spans="1:24" ht="140.4" customHeight="1" x14ac:dyDescent="0.3">
      <c r="A148" s="38">
        <v>304</v>
      </c>
      <c r="B148" s="68" t="s">
        <v>47</v>
      </c>
      <c r="D148" s="69" t="s">
        <v>60</v>
      </c>
      <c r="E148" s="68" t="s">
        <v>61</v>
      </c>
      <c r="F148" s="69" t="s">
        <v>59</v>
      </c>
      <c r="G148" s="39" t="s">
        <v>536</v>
      </c>
      <c r="H148" s="40" t="s">
        <v>287</v>
      </c>
      <c r="I148" s="41">
        <v>1</v>
      </c>
      <c r="J148" s="41">
        <v>2</v>
      </c>
      <c r="K148" s="42" t="s">
        <v>288</v>
      </c>
      <c r="L148" s="43">
        <v>230000</v>
      </c>
      <c r="M148" s="43"/>
      <c r="N148" s="43">
        <v>220000</v>
      </c>
      <c r="O148" s="43">
        <f t="shared" si="20"/>
        <v>220000</v>
      </c>
      <c r="P148" s="43">
        <f t="shared" si="21"/>
        <v>440000</v>
      </c>
      <c r="Q148" s="43">
        <f t="shared" si="22"/>
        <v>660000</v>
      </c>
      <c r="R148" s="43">
        <f t="shared" si="23"/>
        <v>105600</v>
      </c>
      <c r="S148" s="43">
        <f t="shared" si="24"/>
        <v>765600</v>
      </c>
      <c r="T148" s="44" t="s">
        <v>289</v>
      </c>
      <c r="U148" s="45" t="s">
        <v>290</v>
      </c>
      <c r="V148" s="46" t="s">
        <v>291</v>
      </c>
      <c r="W148" s="47" t="s">
        <v>62</v>
      </c>
    </row>
    <row r="149" spans="1:24" ht="140.4" customHeight="1" x14ac:dyDescent="0.3">
      <c r="A149" s="38">
        <v>305</v>
      </c>
      <c r="B149" s="68" t="s">
        <v>47</v>
      </c>
      <c r="D149" s="69" t="s">
        <v>60</v>
      </c>
      <c r="E149" s="68" t="s">
        <v>63</v>
      </c>
      <c r="F149" s="69" t="s">
        <v>59</v>
      </c>
      <c r="G149" s="39" t="s">
        <v>537</v>
      </c>
      <c r="H149" s="40" t="s">
        <v>287</v>
      </c>
      <c r="I149" s="41">
        <v>1</v>
      </c>
      <c r="J149" s="41">
        <v>2</v>
      </c>
      <c r="K149" s="42" t="s">
        <v>288</v>
      </c>
      <c r="L149" s="43">
        <v>248741</v>
      </c>
      <c r="M149" s="43"/>
      <c r="N149" s="43">
        <v>220000</v>
      </c>
      <c r="O149" s="43">
        <f t="shared" si="20"/>
        <v>220000</v>
      </c>
      <c r="P149" s="43">
        <f t="shared" si="21"/>
        <v>440000</v>
      </c>
      <c r="Q149" s="43">
        <f t="shared" si="22"/>
        <v>660000</v>
      </c>
      <c r="R149" s="43">
        <f t="shared" si="23"/>
        <v>105600</v>
      </c>
      <c r="S149" s="43">
        <f t="shared" si="24"/>
        <v>765600</v>
      </c>
      <c r="T149" s="44" t="s">
        <v>289</v>
      </c>
      <c r="U149" s="45" t="s">
        <v>290</v>
      </c>
      <c r="V149" s="46" t="s">
        <v>291</v>
      </c>
      <c r="W149" s="47" t="s">
        <v>62</v>
      </c>
    </row>
    <row r="150" spans="1:24" ht="140.4" customHeight="1" x14ac:dyDescent="0.3">
      <c r="A150" s="38">
        <v>306</v>
      </c>
      <c r="B150" s="68" t="s">
        <v>47</v>
      </c>
      <c r="D150" s="69" t="s">
        <v>60</v>
      </c>
      <c r="E150" s="68" t="s">
        <v>69</v>
      </c>
      <c r="F150" s="69" t="s">
        <v>59</v>
      </c>
      <c r="G150" s="39" t="s">
        <v>538</v>
      </c>
      <c r="H150" s="40" t="s">
        <v>287</v>
      </c>
      <c r="I150" s="41">
        <v>1</v>
      </c>
      <c r="J150" s="41">
        <v>2</v>
      </c>
      <c r="K150" s="42" t="s">
        <v>288</v>
      </c>
      <c r="L150" s="43">
        <v>230000</v>
      </c>
      <c r="M150" s="43"/>
      <c r="N150" s="43">
        <v>220000</v>
      </c>
      <c r="O150" s="43">
        <f t="shared" si="20"/>
        <v>220000</v>
      </c>
      <c r="P150" s="43">
        <f t="shared" si="21"/>
        <v>440000</v>
      </c>
      <c r="Q150" s="43">
        <f t="shared" si="22"/>
        <v>660000</v>
      </c>
      <c r="R150" s="43">
        <f t="shared" si="23"/>
        <v>105600</v>
      </c>
      <c r="S150" s="43">
        <f t="shared" si="24"/>
        <v>765600</v>
      </c>
      <c r="T150" s="44" t="s">
        <v>289</v>
      </c>
      <c r="U150" s="45" t="s">
        <v>290</v>
      </c>
      <c r="V150" s="46" t="s">
        <v>291</v>
      </c>
      <c r="W150" s="47" t="s">
        <v>62</v>
      </c>
    </row>
    <row r="151" spans="1:24" ht="140.4" customHeight="1" x14ac:dyDescent="0.3">
      <c r="A151" s="49">
        <v>307</v>
      </c>
      <c r="B151" s="68" t="s">
        <v>47</v>
      </c>
      <c r="D151" s="69" t="s">
        <v>70</v>
      </c>
      <c r="E151" s="68" t="s">
        <v>71</v>
      </c>
      <c r="F151" s="69" t="s">
        <v>59</v>
      </c>
      <c r="G151" s="50" t="s">
        <v>539</v>
      </c>
      <c r="H151" s="51" t="s">
        <v>287</v>
      </c>
      <c r="I151" s="52">
        <v>1</v>
      </c>
      <c r="J151" s="52">
        <v>2</v>
      </c>
      <c r="K151" s="59" t="s">
        <v>288</v>
      </c>
      <c r="L151" s="63">
        <v>289745</v>
      </c>
      <c r="M151" s="48">
        <v>50000</v>
      </c>
      <c r="N151" s="55">
        <v>150000</v>
      </c>
      <c r="O151" s="55">
        <f t="shared" si="20"/>
        <v>150000</v>
      </c>
      <c r="P151" s="55">
        <f t="shared" si="21"/>
        <v>300000</v>
      </c>
      <c r="Q151" s="55">
        <f t="shared" si="22"/>
        <v>450000</v>
      </c>
      <c r="R151" s="55">
        <f t="shared" si="23"/>
        <v>72000</v>
      </c>
      <c r="S151" s="55">
        <f t="shared" si="24"/>
        <v>522000</v>
      </c>
      <c r="T151" s="56" t="s">
        <v>289</v>
      </c>
      <c r="U151" s="54" t="s">
        <v>290</v>
      </c>
      <c r="V151" s="57" t="s">
        <v>291</v>
      </c>
      <c r="W151" s="54" t="s">
        <v>50</v>
      </c>
      <c r="X151" s="32" t="s">
        <v>316</v>
      </c>
    </row>
    <row r="152" spans="1:24" ht="124.95" customHeight="1" x14ac:dyDescent="0.3">
      <c r="A152" s="38">
        <v>309</v>
      </c>
      <c r="B152" s="68" t="s">
        <v>260</v>
      </c>
      <c r="D152" s="69" t="s">
        <v>94</v>
      </c>
      <c r="E152" s="68" t="s">
        <v>540</v>
      </c>
      <c r="F152" s="69" t="s">
        <v>259</v>
      </c>
      <c r="G152" s="39" t="s">
        <v>541</v>
      </c>
      <c r="H152" s="40" t="s">
        <v>287</v>
      </c>
      <c r="I152" s="41">
        <v>1</v>
      </c>
      <c r="J152" s="41">
        <v>2</v>
      </c>
      <c r="K152" s="42" t="s">
        <v>288</v>
      </c>
      <c r="L152" s="43">
        <v>220564.52</v>
      </c>
      <c r="M152" s="43"/>
      <c r="N152" s="43">
        <v>300000</v>
      </c>
      <c r="O152" s="43">
        <f t="shared" si="20"/>
        <v>300000</v>
      </c>
      <c r="P152" s="43">
        <f t="shared" si="21"/>
        <v>600000</v>
      </c>
      <c r="Q152" s="43">
        <f t="shared" si="22"/>
        <v>900000</v>
      </c>
      <c r="R152" s="43">
        <f t="shared" si="23"/>
        <v>144000</v>
      </c>
      <c r="S152" s="43">
        <f t="shared" si="24"/>
        <v>1044000</v>
      </c>
      <c r="T152" s="44" t="s">
        <v>289</v>
      </c>
      <c r="U152" s="45" t="s">
        <v>290</v>
      </c>
      <c r="V152" s="46" t="s">
        <v>381</v>
      </c>
      <c r="W152" s="47" t="s">
        <v>62</v>
      </c>
    </row>
    <row r="153" spans="1:24" ht="124.95" customHeight="1" x14ac:dyDescent="0.3">
      <c r="A153" s="49">
        <v>310</v>
      </c>
      <c r="B153" s="68" t="s">
        <v>260</v>
      </c>
      <c r="D153" s="69" t="s">
        <v>261</v>
      </c>
      <c r="E153" s="68" t="s">
        <v>262</v>
      </c>
      <c r="F153" s="69" t="s">
        <v>259</v>
      </c>
      <c r="G153" s="50" t="s">
        <v>542</v>
      </c>
      <c r="H153" s="51" t="s">
        <v>287</v>
      </c>
      <c r="I153" s="52">
        <v>1</v>
      </c>
      <c r="J153" s="52">
        <v>2</v>
      </c>
      <c r="K153" s="59" t="s">
        <v>288</v>
      </c>
      <c r="L153" s="63">
        <v>186174.57</v>
      </c>
      <c r="M153" s="48">
        <v>55000</v>
      </c>
      <c r="N153" s="55">
        <v>180000</v>
      </c>
      <c r="O153" s="55">
        <f t="shared" si="20"/>
        <v>180000</v>
      </c>
      <c r="P153" s="55">
        <f t="shared" si="21"/>
        <v>360000</v>
      </c>
      <c r="Q153" s="55">
        <f t="shared" si="22"/>
        <v>540000</v>
      </c>
      <c r="R153" s="55">
        <f t="shared" si="23"/>
        <v>86400</v>
      </c>
      <c r="S153" s="55">
        <f t="shared" si="24"/>
        <v>626400</v>
      </c>
      <c r="T153" s="56" t="s">
        <v>289</v>
      </c>
      <c r="U153" s="54" t="s">
        <v>290</v>
      </c>
      <c r="V153" s="57" t="s">
        <v>291</v>
      </c>
      <c r="W153" s="54" t="s">
        <v>50</v>
      </c>
      <c r="X153" s="32" t="s">
        <v>295</v>
      </c>
    </row>
    <row r="154" spans="1:24" ht="124.95" customHeight="1" x14ac:dyDescent="0.3">
      <c r="A154" s="38">
        <v>313</v>
      </c>
      <c r="B154" s="68" t="s">
        <v>241</v>
      </c>
      <c r="D154" s="69" t="s">
        <v>413</v>
      </c>
      <c r="E154" s="68" t="s">
        <v>543</v>
      </c>
      <c r="F154" s="69" t="s">
        <v>240</v>
      </c>
      <c r="G154" s="39" t="s">
        <v>544</v>
      </c>
      <c r="H154" s="40" t="s">
        <v>287</v>
      </c>
      <c r="I154" s="41">
        <v>1</v>
      </c>
      <c r="J154" s="41">
        <v>2</v>
      </c>
      <c r="K154" s="42" t="s">
        <v>288</v>
      </c>
      <c r="L154" s="43">
        <v>231163.79</v>
      </c>
      <c r="M154" s="43"/>
      <c r="N154" s="43">
        <v>300000</v>
      </c>
      <c r="O154" s="43">
        <f t="shared" si="20"/>
        <v>300000</v>
      </c>
      <c r="P154" s="43">
        <f t="shared" si="21"/>
        <v>600000</v>
      </c>
      <c r="Q154" s="43">
        <f t="shared" si="22"/>
        <v>900000</v>
      </c>
      <c r="R154" s="43">
        <f t="shared" si="23"/>
        <v>144000</v>
      </c>
      <c r="S154" s="43">
        <f t="shared" si="24"/>
        <v>1044000</v>
      </c>
      <c r="T154" s="44" t="s">
        <v>289</v>
      </c>
      <c r="U154" s="45" t="s">
        <v>290</v>
      </c>
      <c r="V154" s="46" t="s">
        <v>381</v>
      </c>
      <c r="W154" s="47" t="s">
        <v>62</v>
      </c>
    </row>
    <row r="155" spans="1:24" ht="124.95" customHeight="1" x14ac:dyDescent="0.3">
      <c r="A155" s="38">
        <v>314</v>
      </c>
      <c r="B155" s="68" t="s">
        <v>545</v>
      </c>
      <c r="D155" s="69" t="s">
        <v>94</v>
      </c>
      <c r="E155" s="68" t="s">
        <v>546</v>
      </c>
      <c r="F155" s="69" t="s">
        <v>547</v>
      </c>
      <c r="G155" s="39" t="s">
        <v>548</v>
      </c>
      <c r="H155" s="40" t="s">
        <v>287</v>
      </c>
      <c r="I155" s="41">
        <v>1</v>
      </c>
      <c r="J155" s="41">
        <v>2</v>
      </c>
      <c r="K155" s="42" t="s">
        <v>288</v>
      </c>
      <c r="L155" s="43">
        <v>225603.45</v>
      </c>
      <c r="M155" s="43"/>
      <c r="N155" s="43">
        <v>220000</v>
      </c>
      <c r="O155" s="43">
        <f t="shared" si="20"/>
        <v>220000</v>
      </c>
      <c r="P155" s="43">
        <f t="shared" si="21"/>
        <v>440000</v>
      </c>
      <c r="Q155" s="43">
        <f t="shared" si="22"/>
        <v>660000</v>
      </c>
      <c r="R155" s="43">
        <f t="shared" si="23"/>
        <v>105600</v>
      </c>
      <c r="S155" s="43">
        <f t="shared" si="24"/>
        <v>765600</v>
      </c>
      <c r="T155" s="44" t="s">
        <v>289</v>
      </c>
      <c r="U155" s="45" t="s">
        <v>290</v>
      </c>
      <c r="V155" s="46" t="s">
        <v>291</v>
      </c>
      <c r="W155" s="47" t="s">
        <v>62</v>
      </c>
    </row>
    <row r="156" spans="1:24" ht="124.95" customHeight="1" x14ac:dyDescent="0.3">
      <c r="A156" s="38">
        <v>316</v>
      </c>
      <c r="B156" s="68" t="s">
        <v>545</v>
      </c>
      <c r="D156" s="69" t="s">
        <v>549</v>
      </c>
      <c r="E156" s="68" t="s">
        <v>550</v>
      </c>
      <c r="F156" s="69" t="s">
        <v>547</v>
      </c>
      <c r="G156" s="39" t="s">
        <v>551</v>
      </c>
      <c r="H156" s="40" t="s">
        <v>287</v>
      </c>
      <c r="I156" s="41">
        <v>1</v>
      </c>
      <c r="J156" s="41">
        <v>2</v>
      </c>
      <c r="K156" s="42" t="s">
        <v>288</v>
      </c>
      <c r="L156" s="43">
        <v>237500.26</v>
      </c>
      <c r="M156" s="43"/>
      <c r="N156" s="43">
        <v>220000</v>
      </c>
      <c r="O156" s="43">
        <f t="shared" si="20"/>
        <v>220000</v>
      </c>
      <c r="P156" s="43">
        <f t="shared" si="21"/>
        <v>440000</v>
      </c>
      <c r="Q156" s="43">
        <f t="shared" si="22"/>
        <v>660000</v>
      </c>
      <c r="R156" s="43">
        <f t="shared" si="23"/>
        <v>105600</v>
      </c>
      <c r="S156" s="43">
        <f t="shared" si="24"/>
        <v>765600</v>
      </c>
      <c r="T156" s="44" t="s">
        <v>289</v>
      </c>
      <c r="U156" s="45" t="s">
        <v>290</v>
      </c>
      <c r="V156" s="46" t="s">
        <v>291</v>
      </c>
      <c r="W156" s="47" t="s">
        <v>62</v>
      </c>
    </row>
    <row r="157" spans="1:24" ht="124.95" customHeight="1" x14ac:dyDescent="0.3">
      <c r="A157" s="38">
        <v>319</v>
      </c>
      <c r="B157" s="68" t="s">
        <v>47</v>
      </c>
      <c r="D157" s="69" t="s">
        <v>148</v>
      </c>
      <c r="E157" s="68" t="s">
        <v>149</v>
      </c>
      <c r="F157" s="69" t="s">
        <v>147</v>
      </c>
      <c r="G157" s="39" t="s">
        <v>552</v>
      </c>
      <c r="H157" s="40" t="s">
        <v>287</v>
      </c>
      <c r="I157" s="41">
        <v>1</v>
      </c>
      <c r="J157" s="41">
        <v>2</v>
      </c>
      <c r="K157" s="42" t="s">
        <v>288</v>
      </c>
      <c r="L157" s="43">
        <v>255210</v>
      </c>
      <c r="M157" s="43"/>
      <c r="N157" s="43">
        <v>220000</v>
      </c>
      <c r="O157" s="43">
        <f t="shared" si="20"/>
        <v>220000</v>
      </c>
      <c r="P157" s="43">
        <f t="shared" si="21"/>
        <v>440000</v>
      </c>
      <c r="Q157" s="43">
        <f t="shared" si="22"/>
        <v>660000</v>
      </c>
      <c r="R157" s="43">
        <f t="shared" si="23"/>
        <v>105600</v>
      </c>
      <c r="S157" s="43">
        <f t="shared" si="24"/>
        <v>765600</v>
      </c>
      <c r="T157" s="44" t="s">
        <v>289</v>
      </c>
      <c r="U157" s="45" t="s">
        <v>290</v>
      </c>
      <c r="V157" s="46" t="s">
        <v>291</v>
      </c>
      <c r="W157" s="47" t="s">
        <v>62</v>
      </c>
    </row>
    <row r="158" spans="1:24" ht="124.95" customHeight="1" x14ac:dyDescent="0.3">
      <c r="A158" s="49">
        <v>321</v>
      </c>
      <c r="B158" s="68" t="s">
        <v>76</v>
      </c>
      <c r="D158" s="69" t="s">
        <v>107</v>
      </c>
      <c r="E158" s="68" t="s">
        <v>108</v>
      </c>
      <c r="F158" s="69" t="s">
        <v>106</v>
      </c>
      <c r="G158" s="50" t="s">
        <v>553</v>
      </c>
      <c r="H158" s="51" t="s">
        <v>287</v>
      </c>
      <c r="I158" s="52">
        <v>1</v>
      </c>
      <c r="J158" s="52">
        <v>2</v>
      </c>
      <c r="K158" s="59" t="s">
        <v>288</v>
      </c>
      <c r="L158" s="63">
        <v>167985</v>
      </c>
      <c r="M158" s="48">
        <v>250000</v>
      </c>
      <c r="N158" s="55">
        <v>160000</v>
      </c>
      <c r="O158" s="55">
        <f t="shared" si="20"/>
        <v>160000</v>
      </c>
      <c r="P158" s="55">
        <f t="shared" si="21"/>
        <v>320000</v>
      </c>
      <c r="Q158" s="55">
        <f t="shared" si="22"/>
        <v>480000</v>
      </c>
      <c r="R158" s="55">
        <f t="shared" si="23"/>
        <v>76800</v>
      </c>
      <c r="S158" s="55">
        <f t="shared" si="24"/>
        <v>556800</v>
      </c>
      <c r="T158" s="56" t="s">
        <v>289</v>
      </c>
      <c r="U158" s="54" t="s">
        <v>290</v>
      </c>
      <c r="V158" s="57" t="s">
        <v>291</v>
      </c>
      <c r="W158" s="54" t="s">
        <v>50</v>
      </c>
      <c r="X158" s="32" t="s">
        <v>292</v>
      </c>
    </row>
    <row r="159" spans="1:24" ht="140.4" customHeight="1" x14ac:dyDescent="0.3">
      <c r="A159" s="38">
        <v>335</v>
      </c>
      <c r="B159" s="68" t="s">
        <v>47</v>
      </c>
      <c r="D159" s="69" t="s">
        <v>554</v>
      </c>
      <c r="E159" s="68" t="s">
        <v>555</v>
      </c>
      <c r="F159" s="69" t="s">
        <v>142</v>
      </c>
      <c r="G159" s="39" t="s">
        <v>556</v>
      </c>
      <c r="H159" s="40" t="s">
        <v>287</v>
      </c>
      <c r="I159" s="41">
        <v>1</v>
      </c>
      <c r="J159" s="41">
        <v>2</v>
      </c>
      <c r="K159" s="42" t="s">
        <v>288</v>
      </c>
      <c r="L159" s="43">
        <v>225784</v>
      </c>
      <c r="M159" s="43"/>
      <c r="N159" s="43">
        <v>220000</v>
      </c>
      <c r="O159" s="43">
        <f t="shared" si="20"/>
        <v>220000</v>
      </c>
      <c r="P159" s="43">
        <f t="shared" si="21"/>
        <v>440000</v>
      </c>
      <c r="Q159" s="43">
        <f t="shared" si="22"/>
        <v>660000</v>
      </c>
      <c r="R159" s="43">
        <f t="shared" si="23"/>
        <v>105600</v>
      </c>
      <c r="S159" s="43">
        <f t="shared" si="24"/>
        <v>765600</v>
      </c>
      <c r="T159" s="44" t="s">
        <v>289</v>
      </c>
      <c r="U159" s="45" t="s">
        <v>290</v>
      </c>
      <c r="V159" s="46" t="s">
        <v>291</v>
      </c>
      <c r="W159" s="47" t="s">
        <v>62</v>
      </c>
    </row>
    <row r="160" spans="1:24" ht="124.95" customHeight="1" x14ac:dyDescent="0.3">
      <c r="A160" s="38">
        <v>336</v>
      </c>
      <c r="B160" s="68" t="s">
        <v>98</v>
      </c>
      <c r="D160" s="69" t="s">
        <v>554</v>
      </c>
      <c r="E160" s="68" t="s">
        <v>557</v>
      </c>
      <c r="F160" s="69" t="s">
        <v>97</v>
      </c>
      <c r="G160" s="39" t="s">
        <v>558</v>
      </c>
      <c r="H160" s="40" t="s">
        <v>287</v>
      </c>
      <c r="I160" s="41">
        <v>1</v>
      </c>
      <c r="J160" s="41">
        <v>2</v>
      </c>
      <c r="K160" s="42" t="s">
        <v>288</v>
      </c>
      <c r="L160" s="43">
        <v>225846.76</v>
      </c>
      <c r="M160" s="43"/>
      <c r="N160" s="43">
        <v>300000</v>
      </c>
      <c r="O160" s="43">
        <f t="shared" si="20"/>
        <v>300000</v>
      </c>
      <c r="P160" s="43">
        <f t="shared" si="21"/>
        <v>600000</v>
      </c>
      <c r="Q160" s="43">
        <f t="shared" si="22"/>
        <v>900000</v>
      </c>
      <c r="R160" s="43">
        <f t="shared" si="23"/>
        <v>144000</v>
      </c>
      <c r="S160" s="43">
        <f t="shared" si="24"/>
        <v>1044000</v>
      </c>
      <c r="T160" s="44" t="s">
        <v>289</v>
      </c>
      <c r="U160" s="45" t="s">
        <v>290</v>
      </c>
      <c r="V160" s="46" t="s">
        <v>381</v>
      </c>
      <c r="W160" s="47" t="s">
        <v>62</v>
      </c>
    </row>
    <row r="161" spans="1:24" ht="124.95" customHeight="1" x14ac:dyDescent="0.3">
      <c r="A161" s="49">
        <v>338</v>
      </c>
      <c r="B161" s="68" t="s">
        <v>47</v>
      </c>
      <c r="D161" s="69" t="s">
        <v>72</v>
      </c>
      <c r="E161" s="68" t="s">
        <v>73</v>
      </c>
      <c r="F161" s="69" t="s">
        <v>46</v>
      </c>
      <c r="G161" s="50" t="s">
        <v>559</v>
      </c>
      <c r="H161" s="51" t="s">
        <v>287</v>
      </c>
      <c r="I161" s="52">
        <v>1</v>
      </c>
      <c r="J161" s="52">
        <v>2</v>
      </c>
      <c r="K161" s="59" t="s">
        <v>288</v>
      </c>
      <c r="L161" s="63">
        <v>421478</v>
      </c>
      <c r="M161" s="48">
        <v>280000</v>
      </c>
      <c r="N161" s="55">
        <v>390000</v>
      </c>
      <c r="O161" s="55">
        <f t="shared" si="20"/>
        <v>390000</v>
      </c>
      <c r="P161" s="55">
        <f t="shared" si="21"/>
        <v>780000</v>
      </c>
      <c r="Q161" s="55">
        <f t="shared" si="22"/>
        <v>1170000</v>
      </c>
      <c r="R161" s="55">
        <f t="shared" si="23"/>
        <v>187200</v>
      </c>
      <c r="S161" s="55">
        <f t="shared" si="24"/>
        <v>1357200</v>
      </c>
      <c r="T161" s="56" t="s">
        <v>289</v>
      </c>
      <c r="U161" s="54" t="s">
        <v>290</v>
      </c>
      <c r="V161" s="57" t="s">
        <v>291</v>
      </c>
      <c r="W161" s="54" t="s">
        <v>50</v>
      </c>
      <c r="X161" s="32" t="s">
        <v>300</v>
      </c>
    </row>
    <row r="162" spans="1:24" ht="140.4" customHeight="1" x14ac:dyDescent="0.3">
      <c r="A162" s="49">
        <v>351</v>
      </c>
      <c r="B162" s="68" t="s">
        <v>47</v>
      </c>
      <c r="D162" s="69" t="s">
        <v>212</v>
      </c>
      <c r="E162" s="68" t="s">
        <v>229</v>
      </c>
      <c r="F162" s="69" t="s">
        <v>46</v>
      </c>
      <c r="G162" s="50" t="s">
        <v>560</v>
      </c>
      <c r="H162" s="51" t="s">
        <v>287</v>
      </c>
      <c r="I162" s="52">
        <v>1</v>
      </c>
      <c r="J162" s="52">
        <v>2</v>
      </c>
      <c r="K162" s="59" t="s">
        <v>288</v>
      </c>
      <c r="L162" s="63">
        <v>206206.89</v>
      </c>
      <c r="M162" s="48">
        <v>40000</v>
      </c>
      <c r="N162" s="55">
        <v>150000</v>
      </c>
      <c r="O162" s="55">
        <f t="shared" si="20"/>
        <v>150000</v>
      </c>
      <c r="P162" s="55">
        <f t="shared" si="21"/>
        <v>300000</v>
      </c>
      <c r="Q162" s="55">
        <f t="shared" si="22"/>
        <v>450000</v>
      </c>
      <c r="R162" s="55">
        <f t="shared" si="23"/>
        <v>72000</v>
      </c>
      <c r="S162" s="55">
        <f t="shared" si="24"/>
        <v>522000</v>
      </c>
      <c r="T162" s="56" t="s">
        <v>289</v>
      </c>
      <c r="U162" s="54" t="s">
        <v>290</v>
      </c>
      <c r="V162" s="57" t="s">
        <v>291</v>
      </c>
      <c r="W162" s="54" t="s">
        <v>50</v>
      </c>
      <c r="X162" s="32" t="s">
        <v>345</v>
      </c>
    </row>
    <row r="163" spans="1:24" ht="124.95" customHeight="1" x14ac:dyDescent="0.3">
      <c r="A163" s="38">
        <v>353</v>
      </c>
      <c r="B163" s="68" t="s">
        <v>47</v>
      </c>
      <c r="D163" s="69" t="s">
        <v>561</v>
      </c>
      <c r="E163" s="68" t="s">
        <v>562</v>
      </c>
      <c r="F163" s="69" t="s">
        <v>563</v>
      </c>
      <c r="G163" s="39" t="s">
        <v>564</v>
      </c>
      <c r="H163" s="40" t="s">
        <v>287</v>
      </c>
      <c r="I163" s="41">
        <v>1</v>
      </c>
      <c r="J163" s="65">
        <v>2</v>
      </c>
      <c r="K163" s="42" t="s">
        <v>288</v>
      </c>
      <c r="L163" s="43">
        <v>265000</v>
      </c>
      <c r="M163" s="43"/>
      <c r="N163" s="43">
        <v>250000</v>
      </c>
      <c r="O163" s="43">
        <f t="shared" si="20"/>
        <v>250000</v>
      </c>
      <c r="P163" s="43">
        <f t="shared" si="21"/>
        <v>500000</v>
      </c>
      <c r="Q163" s="43">
        <f t="shared" si="22"/>
        <v>750000</v>
      </c>
      <c r="R163" s="43">
        <f t="shared" si="23"/>
        <v>120000</v>
      </c>
      <c r="S163" s="43">
        <f t="shared" si="24"/>
        <v>870000</v>
      </c>
      <c r="T163" s="44" t="s">
        <v>289</v>
      </c>
      <c r="U163" s="45" t="s">
        <v>290</v>
      </c>
      <c r="V163" s="46" t="s">
        <v>291</v>
      </c>
      <c r="W163" s="47" t="s">
        <v>62</v>
      </c>
    </row>
    <row r="164" spans="1:24" ht="124.95" customHeight="1" x14ac:dyDescent="0.3">
      <c r="A164" s="38">
        <v>354</v>
      </c>
      <c r="B164" s="68" t="s">
        <v>428</v>
      </c>
      <c r="D164" s="69" t="s">
        <v>561</v>
      </c>
      <c r="E164" s="68" t="s">
        <v>565</v>
      </c>
      <c r="F164" s="69" t="s">
        <v>566</v>
      </c>
      <c r="G164" s="39" t="s">
        <v>567</v>
      </c>
      <c r="H164" s="40" t="s">
        <v>287</v>
      </c>
      <c r="I164" s="41">
        <v>1</v>
      </c>
      <c r="J164" s="65">
        <v>2</v>
      </c>
      <c r="K164" s="42" t="s">
        <v>288</v>
      </c>
      <c r="L164" s="43">
        <v>150000</v>
      </c>
      <c r="M164" s="43"/>
      <c r="N164" s="43">
        <v>250000</v>
      </c>
      <c r="O164" s="43">
        <f t="shared" si="20"/>
        <v>250000</v>
      </c>
      <c r="P164" s="43">
        <f t="shared" si="21"/>
        <v>500000</v>
      </c>
      <c r="Q164" s="43">
        <f t="shared" si="22"/>
        <v>750000</v>
      </c>
      <c r="R164" s="43">
        <f t="shared" si="23"/>
        <v>120000</v>
      </c>
      <c r="S164" s="43">
        <f t="shared" si="24"/>
        <v>870000</v>
      </c>
      <c r="T164" s="44" t="s">
        <v>289</v>
      </c>
      <c r="U164" s="45" t="s">
        <v>290</v>
      </c>
      <c r="V164" s="46" t="s">
        <v>381</v>
      </c>
      <c r="W164" s="47" t="s">
        <v>62</v>
      </c>
    </row>
    <row r="165" spans="1:24" ht="140.4" customHeight="1" x14ac:dyDescent="0.3">
      <c r="A165" s="38">
        <v>355</v>
      </c>
      <c r="B165" s="68" t="s">
        <v>172</v>
      </c>
      <c r="D165" s="69" t="s">
        <v>568</v>
      </c>
      <c r="E165" s="68" t="s">
        <v>569</v>
      </c>
      <c r="F165" s="69" t="s">
        <v>171</v>
      </c>
      <c r="G165" s="39" t="s">
        <v>570</v>
      </c>
      <c r="H165" s="40" t="s">
        <v>287</v>
      </c>
      <c r="I165" s="41">
        <v>1</v>
      </c>
      <c r="J165" s="65">
        <v>2</v>
      </c>
      <c r="K165" s="42" t="s">
        <v>288</v>
      </c>
      <c r="L165" s="43">
        <v>138387.24</v>
      </c>
      <c r="M165" s="43"/>
      <c r="N165" s="43">
        <v>225000</v>
      </c>
      <c r="O165" s="43">
        <f t="shared" si="20"/>
        <v>225000</v>
      </c>
      <c r="P165" s="43">
        <f t="shared" si="21"/>
        <v>450000</v>
      </c>
      <c r="Q165" s="43">
        <f t="shared" si="22"/>
        <v>675000</v>
      </c>
      <c r="R165" s="43">
        <f t="shared" si="23"/>
        <v>108000</v>
      </c>
      <c r="S165" s="43">
        <f t="shared" si="24"/>
        <v>783000</v>
      </c>
      <c r="T165" s="44" t="s">
        <v>289</v>
      </c>
      <c r="U165" s="45" t="s">
        <v>290</v>
      </c>
      <c r="V165" s="46" t="s">
        <v>381</v>
      </c>
      <c r="W165" s="47" t="s">
        <v>62</v>
      </c>
    </row>
    <row r="166" spans="1:24" ht="124.95" customHeight="1" x14ac:dyDescent="0.3">
      <c r="A166" s="49">
        <v>356</v>
      </c>
      <c r="B166" s="68" t="s">
        <v>241</v>
      </c>
      <c r="D166" s="69" t="s">
        <v>571</v>
      </c>
      <c r="E166" s="68" t="s">
        <v>572</v>
      </c>
      <c r="F166" s="69" t="s">
        <v>240</v>
      </c>
      <c r="G166" s="50" t="s">
        <v>573</v>
      </c>
      <c r="H166" s="51" t="s">
        <v>287</v>
      </c>
      <c r="I166" s="52">
        <v>1</v>
      </c>
      <c r="J166" s="61">
        <v>2</v>
      </c>
      <c r="K166" s="59" t="s">
        <v>288</v>
      </c>
      <c r="L166" s="63">
        <v>58960</v>
      </c>
      <c r="M166" s="48" t="s">
        <v>381</v>
      </c>
      <c r="N166" s="55">
        <v>250000</v>
      </c>
      <c r="O166" s="55">
        <f t="shared" si="20"/>
        <v>250000</v>
      </c>
      <c r="P166" s="55">
        <f t="shared" si="21"/>
        <v>500000</v>
      </c>
      <c r="Q166" s="55">
        <f t="shared" si="22"/>
        <v>750000</v>
      </c>
      <c r="R166" s="55">
        <f t="shared" si="23"/>
        <v>120000</v>
      </c>
      <c r="S166" s="55">
        <f t="shared" si="24"/>
        <v>870000</v>
      </c>
      <c r="T166" s="56" t="s">
        <v>289</v>
      </c>
      <c r="U166" s="54" t="s">
        <v>290</v>
      </c>
      <c r="V166" s="57" t="s">
        <v>291</v>
      </c>
      <c r="W166" s="54" t="s">
        <v>50</v>
      </c>
      <c r="X166" s="32" t="s">
        <v>518</v>
      </c>
    </row>
    <row r="167" spans="1:24" ht="124.95" customHeight="1" x14ac:dyDescent="0.3">
      <c r="A167" s="49">
        <v>357</v>
      </c>
      <c r="B167" s="68" t="s">
        <v>98</v>
      </c>
      <c r="D167" s="69" t="s">
        <v>220</v>
      </c>
      <c r="E167" s="68" t="s">
        <v>221</v>
      </c>
      <c r="F167" s="69" t="s">
        <v>97</v>
      </c>
      <c r="G167" s="50" t="s">
        <v>574</v>
      </c>
      <c r="H167" s="51" t="s">
        <v>287</v>
      </c>
      <c r="I167" s="52">
        <v>1</v>
      </c>
      <c r="J167" s="61">
        <v>2</v>
      </c>
      <c r="K167" s="59" t="s">
        <v>288</v>
      </c>
      <c r="L167" s="63">
        <v>276244</v>
      </c>
      <c r="M167" s="48" t="s">
        <v>425</v>
      </c>
      <c r="N167" s="55">
        <v>270000</v>
      </c>
      <c r="O167" s="55">
        <f t="shared" si="20"/>
        <v>270000</v>
      </c>
      <c r="P167" s="55">
        <f t="shared" si="21"/>
        <v>540000</v>
      </c>
      <c r="Q167" s="55">
        <f t="shared" si="22"/>
        <v>810000</v>
      </c>
      <c r="R167" s="55">
        <f t="shared" si="23"/>
        <v>129600</v>
      </c>
      <c r="S167" s="55">
        <f t="shared" si="24"/>
        <v>939600</v>
      </c>
      <c r="T167" s="56" t="s">
        <v>289</v>
      </c>
      <c r="U167" s="54" t="s">
        <v>290</v>
      </c>
      <c r="V167" s="57" t="s">
        <v>291</v>
      </c>
      <c r="W167" s="54" t="s">
        <v>50</v>
      </c>
      <c r="X167" s="32" t="s">
        <v>518</v>
      </c>
    </row>
    <row r="168" spans="1:24" ht="124.95" customHeight="1" x14ac:dyDescent="0.3">
      <c r="A168" s="49">
        <v>358</v>
      </c>
      <c r="B168" s="68" t="s">
        <v>76</v>
      </c>
      <c r="D168" s="69" t="s">
        <v>77</v>
      </c>
      <c r="E168" s="68" t="s">
        <v>78</v>
      </c>
      <c r="F168" s="69" t="s">
        <v>75</v>
      </c>
      <c r="G168" s="50" t="s">
        <v>575</v>
      </c>
      <c r="H168" s="51" t="s">
        <v>287</v>
      </c>
      <c r="I168" s="52">
        <v>1</v>
      </c>
      <c r="J168" s="61">
        <v>2</v>
      </c>
      <c r="K168" s="59" t="s">
        <v>288</v>
      </c>
      <c r="L168" s="63">
        <v>58960</v>
      </c>
      <c r="M168" s="48"/>
      <c r="N168" s="55">
        <v>55000</v>
      </c>
      <c r="O168" s="55">
        <f t="shared" si="20"/>
        <v>55000</v>
      </c>
      <c r="P168" s="55">
        <f t="shared" si="21"/>
        <v>110000</v>
      </c>
      <c r="Q168" s="55">
        <f t="shared" si="22"/>
        <v>165000</v>
      </c>
      <c r="R168" s="55">
        <f t="shared" si="23"/>
        <v>26400</v>
      </c>
      <c r="S168" s="55">
        <f t="shared" si="24"/>
        <v>191400</v>
      </c>
      <c r="T168" s="56" t="s">
        <v>289</v>
      </c>
      <c r="U168" s="54" t="s">
        <v>290</v>
      </c>
      <c r="V168" s="57" t="s">
        <v>291</v>
      </c>
      <c r="W168" s="54" t="s">
        <v>50</v>
      </c>
      <c r="X168" s="32" t="s">
        <v>518</v>
      </c>
    </row>
    <row r="169" spans="1:24" ht="124.95" customHeight="1" x14ac:dyDescent="0.3">
      <c r="A169" s="49">
        <v>359</v>
      </c>
      <c r="B169" s="68" t="s">
        <v>184</v>
      </c>
      <c r="D169" s="69" t="s">
        <v>576</v>
      </c>
      <c r="E169" s="68" t="s">
        <v>577</v>
      </c>
      <c r="F169" s="69" t="s">
        <v>195</v>
      </c>
      <c r="G169" s="50" t="s">
        <v>578</v>
      </c>
      <c r="H169" s="51" t="s">
        <v>287</v>
      </c>
      <c r="I169" s="52">
        <v>1</v>
      </c>
      <c r="J169" s="61">
        <v>2</v>
      </c>
      <c r="K169" s="59" t="s">
        <v>288</v>
      </c>
      <c r="L169" s="63">
        <v>88566.45</v>
      </c>
      <c r="M169" s="48" t="s">
        <v>381</v>
      </c>
      <c r="N169" s="55">
        <v>250000</v>
      </c>
      <c r="O169" s="55">
        <f t="shared" si="20"/>
        <v>250000</v>
      </c>
      <c r="P169" s="55">
        <f t="shared" si="21"/>
        <v>500000</v>
      </c>
      <c r="Q169" s="55">
        <f t="shared" si="22"/>
        <v>750000</v>
      </c>
      <c r="R169" s="55">
        <f t="shared" si="23"/>
        <v>120000</v>
      </c>
      <c r="S169" s="55">
        <f t="shared" si="24"/>
        <v>870000</v>
      </c>
      <c r="T169" s="56" t="s">
        <v>289</v>
      </c>
      <c r="U169" s="54" t="s">
        <v>290</v>
      </c>
      <c r="V169" s="57" t="s">
        <v>291</v>
      </c>
      <c r="W169" s="54" t="s">
        <v>50</v>
      </c>
      <c r="X169" s="32" t="s">
        <v>518</v>
      </c>
    </row>
    <row r="170" spans="1:24" ht="124.95" customHeight="1" x14ac:dyDescent="0.3">
      <c r="A170" s="38">
        <v>360</v>
      </c>
      <c r="B170" s="68" t="s">
        <v>409</v>
      </c>
      <c r="D170" s="69" t="s">
        <v>579</v>
      </c>
      <c r="E170" s="68" t="s">
        <v>580</v>
      </c>
      <c r="F170" s="69" t="s">
        <v>411</v>
      </c>
      <c r="G170" s="39" t="s">
        <v>581</v>
      </c>
      <c r="H170" s="40" t="s">
        <v>287</v>
      </c>
      <c r="I170" s="41">
        <v>1</v>
      </c>
      <c r="J170" s="65">
        <v>2</v>
      </c>
      <c r="K170" s="42" t="s">
        <v>288</v>
      </c>
      <c r="L170" s="43">
        <v>94500</v>
      </c>
      <c r="M170" s="43" t="s">
        <v>381</v>
      </c>
      <c r="N170" s="43">
        <v>250000</v>
      </c>
      <c r="O170" s="43">
        <f t="shared" si="20"/>
        <v>250000</v>
      </c>
      <c r="P170" s="43">
        <f t="shared" si="21"/>
        <v>500000</v>
      </c>
      <c r="Q170" s="43">
        <f t="shared" si="22"/>
        <v>750000</v>
      </c>
      <c r="R170" s="43">
        <f t="shared" si="23"/>
        <v>120000</v>
      </c>
      <c r="S170" s="43">
        <f t="shared" si="24"/>
        <v>870000</v>
      </c>
      <c r="T170" s="44" t="s">
        <v>289</v>
      </c>
      <c r="U170" s="45" t="s">
        <v>290</v>
      </c>
      <c r="V170" s="46" t="s">
        <v>291</v>
      </c>
      <c r="W170" s="45" t="s">
        <v>50</v>
      </c>
      <c r="X170" s="32" t="s">
        <v>518</v>
      </c>
    </row>
    <row r="171" spans="1:24" ht="124.95" customHeight="1" x14ac:dyDescent="0.3">
      <c r="A171" s="49">
        <v>361</v>
      </c>
      <c r="B171" s="68" t="s">
        <v>409</v>
      </c>
      <c r="D171" s="69" t="s">
        <v>582</v>
      </c>
      <c r="E171" s="68" t="s">
        <v>583</v>
      </c>
      <c r="F171" s="69" t="s">
        <v>411</v>
      </c>
      <c r="G171" s="50" t="s">
        <v>584</v>
      </c>
      <c r="H171" s="51" t="s">
        <v>287</v>
      </c>
      <c r="I171" s="52">
        <v>1</v>
      </c>
      <c r="J171" s="61">
        <v>2</v>
      </c>
      <c r="K171" s="59" t="s">
        <v>288</v>
      </c>
      <c r="L171" s="63">
        <v>58960</v>
      </c>
      <c r="M171" s="48" t="s">
        <v>381</v>
      </c>
      <c r="N171" s="55">
        <v>250000</v>
      </c>
      <c r="O171" s="55">
        <f t="shared" si="20"/>
        <v>250000</v>
      </c>
      <c r="P171" s="55">
        <f t="shared" si="21"/>
        <v>500000</v>
      </c>
      <c r="Q171" s="55">
        <f t="shared" si="22"/>
        <v>750000</v>
      </c>
      <c r="R171" s="55">
        <f t="shared" si="23"/>
        <v>120000</v>
      </c>
      <c r="S171" s="55">
        <f t="shared" si="24"/>
        <v>870000</v>
      </c>
      <c r="T171" s="56" t="s">
        <v>289</v>
      </c>
      <c r="U171" s="54" t="s">
        <v>290</v>
      </c>
      <c r="V171" s="57" t="s">
        <v>291</v>
      </c>
      <c r="W171" s="54" t="s">
        <v>50</v>
      </c>
      <c r="X171" s="32" t="s">
        <v>518</v>
      </c>
    </row>
    <row r="172" spans="1:24" ht="124.95" customHeight="1" x14ac:dyDescent="0.3">
      <c r="A172" s="49">
        <v>362</v>
      </c>
      <c r="B172" s="68" t="s">
        <v>260</v>
      </c>
      <c r="D172" s="69" t="s">
        <v>585</v>
      </c>
      <c r="E172" s="68" t="s">
        <v>586</v>
      </c>
      <c r="F172" s="69" t="s">
        <v>259</v>
      </c>
      <c r="G172" s="50" t="s">
        <v>587</v>
      </c>
      <c r="H172" s="51" t="s">
        <v>287</v>
      </c>
      <c r="I172" s="52">
        <v>1</v>
      </c>
      <c r="J172" s="61">
        <v>2</v>
      </c>
      <c r="K172" s="59" t="s">
        <v>288</v>
      </c>
      <c r="L172" s="63">
        <v>58960</v>
      </c>
      <c r="M172" s="48" t="s">
        <v>381</v>
      </c>
      <c r="N172" s="55">
        <v>250000</v>
      </c>
      <c r="O172" s="55">
        <f t="shared" si="20"/>
        <v>250000</v>
      </c>
      <c r="P172" s="55">
        <f t="shared" si="21"/>
        <v>500000</v>
      </c>
      <c r="Q172" s="55">
        <f t="shared" si="22"/>
        <v>750000</v>
      </c>
      <c r="R172" s="55">
        <f t="shared" si="23"/>
        <v>120000</v>
      </c>
      <c r="S172" s="55">
        <f t="shared" si="24"/>
        <v>870000</v>
      </c>
      <c r="T172" s="56" t="s">
        <v>289</v>
      </c>
      <c r="U172" s="54" t="s">
        <v>290</v>
      </c>
      <c r="V172" s="57" t="s">
        <v>291</v>
      </c>
      <c r="W172" s="54" t="s">
        <v>50</v>
      </c>
      <c r="X172" s="32" t="s">
        <v>518</v>
      </c>
    </row>
    <row r="173" spans="1:24" ht="124.95" customHeight="1" x14ac:dyDescent="0.3">
      <c r="A173" s="38">
        <v>363</v>
      </c>
      <c r="B173" s="68" t="s">
        <v>245</v>
      </c>
      <c r="D173" s="69" t="s">
        <v>246</v>
      </c>
      <c r="E173" s="68" t="s">
        <v>247</v>
      </c>
      <c r="F173" s="69" t="s">
        <v>244</v>
      </c>
      <c r="G173" s="39" t="s">
        <v>588</v>
      </c>
      <c r="H173" s="40" t="s">
        <v>287</v>
      </c>
      <c r="I173" s="41">
        <v>1</v>
      </c>
      <c r="J173" s="65">
        <v>2</v>
      </c>
      <c r="K173" s="42" t="s">
        <v>288</v>
      </c>
      <c r="L173" s="43">
        <v>198600</v>
      </c>
      <c r="M173" s="43">
        <v>100000</v>
      </c>
      <c r="N173" s="43">
        <v>195000</v>
      </c>
      <c r="O173" s="43">
        <f t="shared" si="20"/>
        <v>195000</v>
      </c>
      <c r="P173" s="43">
        <f t="shared" si="21"/>
        <v>390000</v>
      </c>
      <c r="Q173" s="43">
        <f t="shared" si="22"/>
        <v>585000</v>
      </c>
      <c r="R173" s="43">
        <f t="shared" si="23"/>
        <v>93600</v>
      </c>
      <c r="S173" s="43">
        <f t="shared" si="24"/>
        <v>678600</v>
      </c>
      <c r="T173" s="44" t="s">
        <v>289</v>
      </c>
      <c r="U173" s="45" t="s">
        <v>290</v>
      </c>
      <c r="V173" s="46" t="s">
        <v>291</v>
      </c>
      <c r="W173" s="45" t="s">
        <v>50</v>
      </c>
      <c r="X173" s="32" t="s">
        <v>518</v>
      </c>
    </row>
    <row r="174" spans="1:24" ht="124.95" customHeight="1" x14ac:dyDescent="0.3">
      <c r="A174" s="38">
        <v>367</v>
      </c>
      <c r="B174" s="68" t="s">
        <v>249</v>
      </c>
      <c r="D174" s="69" t="s">
        <v>250</v>
      </c>
      <c r="E174" s="68" t="s">
        <v>251</v>
      </c>
      <c r="F174" s="69" t="s">
        <v>248</v>
      </c>
      <c r="G174" s="39" t="s">
        <v>589</v>
      </c>
      <c r="H174" s="40" t="s">
        <v>287</v>
      </c>
      <c r="I174" s="41">
        <v>1</v>
      </c>
      <c r="J174" s="65">
        <v>2</v>
      </c>
      <c r="K174" s="42" t="s">
        <v>288</v>
      </c>
      <c r="L174" s="43">
        <v>252360.8</v>
      </c>
      <c r="M174" s="43"/>
      <c r="N174" s="43">
        <v>250000</v>
      </c>
      <c r="O174" s="43">
        <f t="shared" ref="O174:O176" si="25">I174*N174</f>
        <v>250000</v>
      </c>
      <c r="P174" s="43">
        <f t="shared" si="21"/>
        <v>500000</v>
      </c>
      <c r="Q174" s="43">
        <f t="shared" ref="Q174:Q176" si="26">SUM(O174:P174)</f>
        <v>750000</v>
      </c>
      <c r="R174" s="43">
        <f t="shared" ref="R174:R176" si="27">Q174*$R$9</f>
        <v>120000</v>
      </c>
      <c r="S174" s="43">
        <f t="shared" ref="S174:S176" si="28">SUM(Q174:R174)</f>
        <v>870000</v>
      </c>
      <c r="T174" s="44" t="s">
        <v>289</v>
      </c>
      <c r="U174" s="45" t="s">
        <v>290</v>
      </c>
      <c r="V174" s="46" t="s">
        <v>291</v>
      </c>
      <c r="W174" s="47" t="s">
        <v>62</v>
      </c>
    </row>
    <row r="175" spans="1:24" ht="124.95" customHeight="1" x14ac:dyDescent="0.3">
      <c r="A175" s="38">
        <v>368</v>
      </c>
      <c r="B175" s="68" t="s">
        <v>590</v>
      </c>
      <c r="D175" s="69" t="s">
        <v>591</v>
      </c>
      <c r="E175" s="68" t="s">
        <v>592</v>
      </c>
      <c r="F175" s="69" t="s">
        <v>593</v>
      </c>
      <c r="G175" s="39" t="s">
        <v>594</v>
      </c>
      <c r="H175" s="40" t="s">
        <v>287</v>
      </c>
      <c r="I175" s="41">
        <v>1</v>
      </c>
      <c r="J175" s="65">
        <v>2</v>
      </c>
      <c r="K175" s="42" t="s">
        <v>288</v>
      </c>
      <c r="L175" s="43">
        <v>216292.02</v>
      </c>
      <c r="M175" s="43"/>
      <c r="N175" s="43">
        <v>300000</v>
      </c>
      <c r="O175" s="43">
        <f t="shared" si="25"/>
        <v>300000</v>
      </c>
      <c r="P175" s="43">
        <f t="shared" si="21"/>
        <v>600000</v>
      </c>
      <c r="Q175" s="43">
        <f t="shared" si="26"/>
        <v>900000</v>
      </c>
      <c r="R175" s="43">
        <f t="shared" si="27"/>
        <v>144000</v>
      </c>
      <c r="S175" s="43">
        <f t="shared" si="28"/>
        <v>1044000</v>
      </c>
      <c r="T175" s="44" t="s">
        <v>289</v>
      </c>
      <c r="U175" s="45" t="s">
        <v>290</v>
      </c>
      <c r="V175" s="46" t="s">
        <v>381</v>
      </c>
      <c r="W175" s="47" t="s">
        <v>62</v>
      </c>
    </row>
    <row r="176" spans="1:24" ht="124.95" customHeight="1" x14ac:dyDescent="0.3">
      <c r="A176" s="38">
        <v>369</v>
      </c>
      <c r="B176" s="68" t="s">
        <v>428</v>
      </c>
      <c r="D176" s="69" t="s">
        <v>250</v>
      </c>
      <c r="E176" s="68" t="s">
        <v>595</v>
      </c>
      <c r="F176" s="69" t="s">
        <v>566</v>
      </c>
      <c r="G176" s="39" t="s">
        <v>596</v>
      </c>
      <c r="H176" s="40" t="s">
        <v>287</v>
      </c>
      <c r="I176" s="41">
        <v>1</v>
      </c>
      <c r="J176" s="65">
        <v>2</v>
      </c>
      <c r="K176" s="42" t="s">
        <v>288</v>
      </c>
      <c r="L176" s="43">
        <v>250000</v>
      </c>
      <c r="M176" s="43"/>
      <c r="N176" s="43">
        <v>300000</v>
      </c>
      <c r="O176" s="43">
        <f t="shared" si="25"/>
        <v>300000</v>
      </c>
      <c r="P176" s="43">
        <f t="shared" si="21"/>
        <v>600000</v>
      </c>
      <c r="Q176" s="43">
        <f t="shared" si="26"/>
        <v>900000</v>
      </c>
      <c r="R176" s="43">
        <f t="shared" si="27"/>
        <v>144000</v>
      </c>
      <c r="S176" s="43">
        <f t="shared" si="28"/>
        <v>1044000</v>
      </c>
      <c r="T176" s="44" t="s">
        <v>289</v>
      </c>
      <c r="U176" s="45" t="s">
        <v>290</v>
      </c>
      <c r="V176" s="46" t="s">
        <v>381</v>
      </c>
      <c r="W176" s="47" t="s">
        <v>62</v>
      </c>
    </row>
    <row r="177" spans="7:19" x14ac:dyDescent="0.3">
      <c r="I177" s="32">
        <f>SUM(I14:I176)</f>
        <v>169</v>
      </c>
      <c r="J177" s="32">
        <f>SUM(J14:J176)</f>
        <v>338</v>
      </c>
      <c r="L177" s="2"/>
      <c r="M177" s="48">
        <f>L177-N177</f>
        <v>0</v>
      </c>
      <c r="O177" s="33">
        <f>SUM(O14:O176)</f>
        <v>39870000</v>
      </c>
      <c r="P177" s="33">
        <f>SUM(P14:P176)</f>
        <v>79740000</v>
      </c>
      <c r="Q177" s="33">
        <f>SUM(Q14:Q176)</f>
        <v>119610000</v>
      </c>
      <c r="R177" s="33">
        <f>SUM(R14:R176)</f>
        <v>19137600</v>
      </c>
      <c r="S177" s="33">
        <f>SUM(S14:S176)</f>
        <v>138747600</v>
      </c>
    </row>
    <row r="178" spans="7:19" x14ac:dyDescent="0.3">
      <c r="I178" s="141">
        <f>SUM(I177:J177)</f>
        <v>507</v>
      </c>
      <c r="J178" s="142"/>
      <c r="L178" s="2"/>
      <c r="M178" s="2"/>
    </row>
    <row r="179" spans="7:19" x14ac:dyDescent="0.3">
      <c r="G179" s="34"/>
      <c r="L179" s="2"/>
      <c r="M179" s="2"/>
    </row>
    <row r="180" spans="7:19" ht="135.75" customHeight="1" x14ac:dyDescent="0.3">
      <c r="G180" s="6"/>
      <c r="L180" s="2"/>
      <c r="M180" s="2"/>
    </row>
    <row r="181" spans="7:19" x14ac:dyDescent="0.3">
      <c r="L181" s="2"/>
      <c r="M181" s="2"/>
    </row>
    <row r="182" spans="7:19" x14ac:dyDescent="0.3">
      <c r="G182" s="35" t="s">
        <v>597</v>
      </c>
      <c r="L182" s="2"/>
      <c r="M182" s="2"/>
    </row>
    <row r="183" spans="7:19" x14ac:dyDescent="0.3">
      <c r="G183" s="2" t="s">
        <v>598</v>
      </c>
      <c r="L183" s="2"/>
      <c r="M183" s="2"/>
    </row>
    <row r="184" spans="7:19" x14ac:dyDescent="0.3">
      <c r="G184" s="2" t="s">
        <v>599</v>
      </c>
      <c r="L184" s="2"/>
      <c r="M184" s="2"/>
    </row>
    <row r="185" spans="7:19" x14ac:dyDescent="0.3">
      <c r="G185" s="35" t="s">
        <v>600</v>
      </c>
      <c r="L185" s="2"/>
      <c r="M185" s="2"/>
    </row>
    <row r="186" spans="7:19" x14ac:dyDescent="0.3">
      <c r="G186" s="35" t="s">
        <v>601</v>
      </c>
      <c r="L186" s="2"/>
      <c r="M186" s="2"/>
    </row>
    <row r="187" spans="7:19" x14ac:dyDescent="0.3">
      <c r="G187" s="2" t="s">
        <v>602</v>
      </c>
      <c r="L187" s="2"/>
      <c r="M187" s="2"/>
    </row>
    <row r="188" spans="7:19" x14ac:dyDescent="0.3">
      <c r="G188" s="36" t="s">
        <v>603</v>
      </c>
      <c r="L188" s="2"/>
      <c r="M188" s="2"/>
    </row>
    <row r="189" spans="7:19" x14ac:dyDescent="0.3">
      <c r="G189" s="35" t="s">
        <v>604</v>
      </c>
      <c r="L189" s="2"/>
      <c r="M189" s="2"/>
    </row>
    <row r="190" spans="7:19" x14ac:dyDescent="0.3">
      <c r="G190" s="37" t="s">
        <v>605</v>
      </c>
      <c r="L190" s="2"/>
      <c r="M190" s="2"/>
    </row>
  </sheetData>
  <autoFilter ref="V12:X178" xr:uid="{00000000-0009-0000-0000-000000000000}"/>
  <mergeCells count="13">
    <mergeCell ref="N8:P8"/>
    <mergeCell ref="A5:G8"/>
    <mergeCell ref="W12:W13"/>
    <mergeCell ref="I178:J178"/>
    <mergeCell ref="V10:X10"/>
    <mergeCell ref="I12:J12"/>
    <mergeCell ref="A12:A13"/>
    <mergeCell ref="H12:H13"/>
    <mergeCell ref="X12:X13"/>
    <mergeCell ref="L12:L13"/>
    <mergeCell ref="G12:G13"/>
    <mergeCell ref="M12:M13"/>
    <mergeCell ref="A11:X11"/>
  </mergeCells>
  <conditionalFormatting sqref="E16:F16">
    <cfRule type="duplicateValues" dxfId="0" priority="1"/>
  </conditionalFormatting>
  <printOptions horizontalCentered="1" verticalCentered="1"/>
  <pageMargins left="0.39370078740157483" right="0.39370078740157483" top="0.39370078740157483" bottom="0.39370078740157483" header="0" footer="0"/>
  <pageSetup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16"/>
  <sheetViews>
    <sheetView topLeftCell="F3" zoomScale="52" zoomScaleNormal="90" workbookViewId="0">
      <selection activeCell="R177" sqref="R177"/>
    </sheetView>
  </sheetViews>
  <sheetFormatPr baseColWidth="10" defaultColWidth="11.44140625" defaultRowHeight="15.6" x14ac:dyDescent="0.3"/>
  <cols>
    <col min="1" max="1" width="10" style="2" customWidth="1"/>
    <col min="2" max="2" width="20" style="2" bestFit="1" customWidth="1"/>
    <col min="3" max="3" width="60" style="3" bestFit="1" customWidth="1"/>
    <col min="4" max="4" width="22" style="2" customWidth="1"/>
    <col min="5" max="5" width="42" style="3" customWidth="1"/>
    <col min="6" max="6" width="70" style="2" customWidth="1"/>
    <col min="7" max="7" width="14" style="3" customWidth="1"/>
    <col min="8" max="8" width="14" customWidth="1"/>
    <col min="9" max="11" width="18.33203125" style="62" bestFit="1" customWidth="1"/>
    <col min="12" max="12" width="23.44140625" style="62" bestFit="1" customWidth="1"/>
    <col min="13" max="13" width="17.109375" style="62" bestFit="1" customWidth="1"/>
    <col min="14" max="14" width="24.33203125" style="62" bestFit="1" customWidth="1"/>
    <col min="15" max="15" width="18" style="2" bestFit="1" customWidth="1"/>
    <col min="16" max="17" width="21.88671875" style="2" bestFit="1" customWidth="1"/>
    <col min="18" max="18" width="27.6640625" style="2" bestFit="1" customWidth="1"/>
    <col min="19" max="19" width="19.109375" style="2" bestFit="1" customWidth="1"/>
    <col min="20" max="20" width="24.33203125" style="2" bestFit="1" customWidth="1"/>
    <col min="21" max="21" width="23.109375" style="2" customWidth="1"/>
    <col min="22" max="22" width="21.109375" style="64" bestFit="1" customWidth="1"/>
    <col min="23" max="26" width="18" style="5" customWidth="1"/>
    <col min="27" max="32" width="11.44140625" style="5" customWidth="1"/>
    <col min="33" max="16384" width="11.44140625" style="5"/>
  </cols>
  <sheetData>
    <row r="1" spans="1:23" x14ac:dyDescent="0.3">
      <c r="I1" s="2"/>
      <c r="J1" s="2"/>
      <c r="K1" s="2"/>
      <c r="L1" s="2"/>
      <c r="M1" s="2"/>
      <c r="N1" s="2"/>
    </row>
    <row r="2" spans="1:23" x14ac:dyDescent="0.3">
      <c r="A2" s="1"/>
      <c r="B2" s="1"/>
      <c r="I2" s="2"/>
      <c r="J2" s="2"/>
      <c r="K2" s="2"/>
      <c r="L2" s="2"/>
      <c r="M2" s="2"/>
      <c r="N2" s="2"/>
    </row>
    <row r="3" spans="1:23" x14ac:dyDescent="0.3">
      <c r="A3" s="1"/>
      <c r="B3" s="1"/>
      <c r="I3" s="2"/>
      <c r="J3" s="2"/>
      <c r="K3" s="2"/>
      <c r="L3" s="2"/>
      <c r="M3" s="2"/>
      <c r="N3" s="2"/>
    </row>
    <row r="4" spans="1:23" x14ac:dyDescent="0.3">
      <c r="A4" s="1"/>
      <c r="B4" s="1"/>
      <c r="F4" s="3"/>
      <c r="I4" s="2"/>
      <c r="J4" s="2"/>
      <c r="K4" s="2"/>
      <c r="L4" s="2"/>
      <c r="M4" s="2"/>
      <c r="N4" s="2"/>
    </row>
    <row r="5" spans="1:23" x14ac:dyDescent="0.3">
      <c r="A5" s="1"/>
      <c r="C5" s="2"/>
      <c r="E5" s="2"/>
      <c r="I5" s="2"/>
      <c r="J5" s="2"/>
      <c r="K5" s="2"/>
      <c r="L5" s="2"/>
      <c r="M5" s="2"/>
      <c r="N5" s="2"/>
    </row>
    <row r="6" spans="1:23" x14ac:dyDescent="0.3">
      <c r="C6" s="2"/>
      <c r="E6" s="2"/>
      <c r="I6" s="2"/>
      <c r="J6" s="2"/>
      <c r="K6" s="2"/>
      <c r="L6" s="2"/>
      <c r="M6" s="2"/>
      <c r="N6" s="2"/>
      <c r="R6" s="5"/>
    </row>
    <row r="7" spans="1:23" x14ac:dyDescent="0.3">
      <c r="C7" s="2"/>
      <c r="E7" s="2"/>
      <c r="I7" s="2"/>
      <c r="J7" s="2"/>
      <c r="K7" s="2"/>
      <c r="L7" s="2"/>
      <c r="M7" s="2"/>
      <c r="N7" s="2"/>
    </row>
    <row r="8" spans="1:23" ht="33.75" customHeight="1" x14ac:dyDescent="0.3">
      <c r="C8" s="2"/>
      <c r="E8" s="2"/>
      <c r="I8" s="2"/>
      <c r="J8" s="2"/>
      <c r="K8" s="2"/>
      <c r="L8" s="2"/>
      <c r="M8" s="2"/>
      <c r="N8" s="2"/>
      <c r="O8" s="144" t="s">
        <v>606</v>
      </c>
      <c r="P8" s="145"/>
      <c r="Q8" s="145"/>
    </row>
    <row r="9" spans="1:23" x14ac:dyDescent="0.3">
      <c r="I9" s="2"/>
      <c r="J9" s="2"/>
      <c r="K9" s="2"/>
      <c r="L9" s="2"/>
      <c r="M9" s="2"/>
      <c r="N9" s="2"/>
      <c r="S9" s="7">
        <v>0.16</v>
      </c>
    </row>
    <row r="10" spans="1:23" s="11" customFormat="1" ht="10.199999999999999" customHeight="1" x14ac:dyDescent="0.3">
      <c r="A10" s="14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2"/>
    </row>
    <row r="11" spans="1:23" s="12" customFormat="1" ht="31.95" customHeight="1" x14ac:dyDescent="0.3">
      <c r="A11" s="148" t="s">
        <v>264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</row>
    <row r="12" spans="1:23" s="17" customFormat="1" ht="31.2" customHeight="1" x14ac:dyDescent="0.3">
      <c r="A12" s="150" t="s">
        <v>33</v>
      </c>
      <c r="B12" s="137" t="s">
        <v>38</v>
      </c>
      <c r="C12" s="137" t="s">
        <v>39</v>
      </c>
      <c r="D12" s="137" t="s">
        <v>266</v>
      </c>
      <c r="E12" s="137" t="s">
        <v>267</v>
      </c>
      <c r="F12" s="137" t="s">
        <v>268</v>
      </c>
      <c r="G12" s="137" t="s">
        <v>270</v>
      </c>
      <c r="H12" s="142"/>
      <c r="I12" s="76" t="s">
        <v>273</v>
      </c>
      <c r="J12" s="76" t="s">
        <v>273</v>
      </c>
      <c r="K12" s="76" t="s">
        <v>273</v>
      </c>
      <c r="L12" s="143" t="s">
        <v>276</v>
      </c>
      <c r="M12" s="143" t="s">
        <v>277</v>
      </c>
      <c r="N12" s="143" t="s">
        <v>278</v>
      </c>
      <c r="O12" s="137" t="s">
        <v>607</v>
      </c>
      <c r="P12" s="67" t="s">
        <v>275</v>
      </c>
      <c r="Q12" s="67" t="s">
        <v>275</v>
      </c>
      <c r="R12" s="137" t="s">
        <v>276</v>
      </c>
      <c r="S12" s="137" t="s">
        <v>277</v>
      </c>
      <c r="T12" s="137" t="s">
        <v>278</v>
      </c>
      <c r="U12" s="137" t="s">
        <v>282</v>
      </c>
      <c r="V12" s="137" t="s">
        <v>283</v>
      </c>
      <c r="W12" s="139" t="s">
        <v>608</v>
      </c>
    </row>
    <row r="13" spans="1:23" s="26" customFormat="1" ht="25.5" customHeight="1" x14ac:dyDescent="0.3">
      <c r="A13" s="138"/>
      <c r="B13" s="138"/>
      <c r="C13" s="138"/>
      <c r="D13" s="138"/>
      <c r="E13" s="138"/>
      <c r="F13" s="138"/>
      <c r="G13" s="21">
        <v>2026</v>
      </c>
      <c r="H13" s="21">
        <v>2027</v>
      </c>
      <c r="I13" s="90">
        <v>2026</v>
      </c>
      <c r="J13" s="90" t="s">
        <v>609</v>
      </c>
      <c r="K13" s="90" t="s">
        <v>610</v>
      </c>
      <c r="L13" s="138"/>
      <c r="M13" s="138"/>
      <c r="N13" s="138"/>
      <c r="O13" s="138"/>
      <c r="P13" s="22">
        <v>2026</v>
      </c>
      <c r="Q13" s="23">
        <v>2027</v>
      </c>
      <c r="R13" s="138"/>
      <c r="S13" s="138"/>
      <c r="T13" s="138"/>
      <c r="U13" s="138"/>
      <c r="V13" s="138"/>
      <c r="W13" s="140"/>
    </row>
    <row r="14" spans="1:23" s="29" customFormat="1" ht="28.2" customHeight="1" x14ac:dyDescent="0.3">
      <c r="A14" s="86">
        <v>6</v>
      </c>
      <c r="B14" s="87" t="s">
        <v>47</v>
      </c>
      <c r="C14" s="107" t="s">
        <v>81</v>
      </c>
      <c r="D14" s="88" t="s">
        <v>82</v>
      </c>
      <c r="E14" s="108" t="s">
        <v>80</v>
      </c>
      <c r="F14" s="109" t="s">
        <v>286</v>
      </c>
      <c r="G14" s="79">
        <v>1</v>
      </c>
      <c r="H14" s="80">
        <v>2</v>
      </c>
      <c r="I14" s="48">
        <v>125000</v>
      </c>
      <c r="J14" s="48">
        <f>I14</f>
        <v>125000</v>
      </c>
      <c r="K14" s="48">
        <f>J14</f>
        <v>125000</v>
      </c>
      <c r="L14" s="48">
        <f>SUM(I14:K14)</f>
        <v>375000</v>
      </c>
      <c r="M14" s="48">
        <f>L14*0.16</f>
        <v>60000</v>
      </c>
      <c r="N14" s="48">
        <f>SUM(L14:M14)</f>
        <v>435000</v>
      </c>
      <c r="O14" s="77">
        <v>150000</v>
      </c>
      <c r="P14" s="77">
        <f t="shared" ref="P14:P45" si="0">G14*O14</f>
        <v>150000</v>
      </c>
      <c r="Q14" s="77">
        <f t="shared" ref="Q14:Q45" si="1">H14*O14</f>
        <v>300000</v>
      </c>
      <c r="R14" s="77">
        <f>SUM(P14:Q14)</f>
        <v>450000</v>
      </c>
      <c r="S14" s="77">
        <f t="shared" ref="S14:S45" si="2">R14*$S$9</f>
        <v>72000</v>
      </c>
      <c r="T14" s="77">
        <f t="shared" ref="T14:T45" si="3">SUM(R14:S14)</f>
        <v>522000</v>
      </c>
      <c r="U14" s="78" t="s">
        <v>50</v>
      </c>
      <c r="V14" s="82" t="s">
        <v>292</v>
      </c>
      <c r="W14" s="83" t="s">
        <v>608</v>
      </c>
    </row>
    <row r="15" spans="1:23" s="29" customFormat="1" ht="28.2" customHeight="1" x14ac:dyDescent="0.3">
      <c r="A15" s="86">
        <v>16</v>
      </c>
      <c r="B15" s="68" t="s">
        <v>172</v>
      </c>
      <c r="C15" s="72" t="s">
        <v>173</v>
      </c>
      <c r="D15" s="73" t="s">
        <v>174</v>
      </c>
      <c r="E15" s="72" t="s">
        <v>171</v>
      </c>
      <c r="F15" s="109" t="s">
        <v>294</v>
      </c>
      <c r="G15" s="79">
        <v>1</v>
      </c>
      <c r="H15" s="80">
        <v>2</v>
      </c>
      <c r="I15" s="48">
        <v>77500</v>
      </c>
      <c r="J15" s="48">
        <f t="shared" ref="J15:K78" si="4">I15</f>
        <v>77500</v>
      </c>
      <c r="K15" s="48">
        <f t="shared" si="4"/>
        <v>77500</v>
      </c>
      <c r="L15" s="48">
        <f>SUM(I15:K15)</f>
        <v>232500</v>
      </c>
      <c r="M15" s="48">
        <f>L15*0.16</f>
        <v>37200</v>
      </c>
      <c r="N15" s="48">
        <f t="shared" ref="N15:N28" si="5">SUM(L15:M15)</f>
        <v>269700</v>
      </c>
      <c r="O15" s="77">
        <v>180000</v>
      </c>
      <c r="P15" s="77">
        <f t="shared" si="0"/>
        <v>180000</v>
      </c>
      <c r="Q15" s="77">
        <f t="shared" si="1"/>
        <v>360000</v>
      </c>
      <c r="R15" s="77">
        <f t="shared" ref="R15:R45" si="6">SUM(P15:Q15)</f>
        <v>540000</v>
      </c>
      <c r="S15" s="77">
        <f t="shared" si="2"/>
        <v>86400</v>
      </c>
      <c r="T15" s="77">
        <f t="shared" si="3"/>
        <v>626400</v>
      </c>
      <c r="U15" s="78" t="s">
        <v>50</v>
      </c>
      <c r="V15" s="82" t="s">
        <v>295</v>
      </c>
      <c r="W15" s="83" t="s">
        <v>608</v>
      </c>
    </row>
    <row r="16" spans="1:23" s="29" customFormat="1" ht="28.2" customHeight="1" x14ac:dyDescent="0.3">
      <c r="A16" s="86">
        <v>17</v>
      </c>
      <c r="B16" s="68" t="s">
        <v>172</v>
      </c>
      <c r="C16" s="69" t="s">
        <v>117</v>
      </c>
      <c r="D16" s="70" t="s">
        <v>175</v>
      </c>
      <c r="E16" s="71" t="s">
        <v>171</v>
      </c>
      <c r="F16" s="109" t="s">
        <v>297</v>
      </c>
      <c r="G16" s="79">
        <v>1</v>
      </c>
      <c r="H16" s="80">
        <v>2</v>
      </c>
      <c r="I16" s="48">
        <v>122850</v>
      </c>
      <c r="J16" s="48">
        <f t="shared" si="4"/>
        <v>122850</v>
      </c>
      <c r="K16" s="48">
        <f t="shared" si="4"/>
        <v>122850</v>
      </c>
      <c r="L16" s="48">
        <f>SUM(I16:K16)</f>
        <v>368550</v>
      </c>
      <c r="M16" s="48">
        <f>L16*0.16</f>
        <v>58968</v>
      </c>
      <c r="N16" s="48">
        <f t="shared" si="5"/>
        <v>427518</v>
      </c>
      <c r="O16" s="77">
        <v>225000</v>
      </c>
      <c r="P16" s="77">
        <f t="shared" si="0"/>
        <v>225000</v>
      </c>
      <c r="Q16" s="77">
        <f t="shared" si="1"/>
        <v>450000</v>
      </c>
      <c r="R16" s="77">
        <f t="shared" si="6"/>
        <v>675000</v>
      </c>
      <c r="S16" s="77">
        <f t="shared" si="2"/>
        <v>108000</v>
      </c>
      <c r="T16" s="77">
        <f t="shared" si="3"/>
        <v>783000</v>
      </c>
      <c r="U16" s="78" t="s">
        <v>50</v>
      </c>
      <c r="V16" s="82" t="s">
        <v>295</v>
      </c>
      <c r="W16" s="83" t="s">
        <v>608</v>
      </c>
    </row>
    <row r="17" spans="1:23" s="29" customFormat="1" ht="28.2" customHeight="1" x14ac:dyDescent="0.3">
      <c r="A17" s="86">
        <v>19</v>
      </c>
      <c r="B17" s="68" t="s">
        <v>47</v>
      </c>
      <c r="C17" s="72" t="s">
        <v>48</v>
      </c>
      <c r="D17" s="73" t="s">
        <v>49</v>
      </c>
      <c r="E17" s="72" t="s">
        <v>46</v>
      </c>
      <c r="F17" s="109" t="s">
        <v>299</v>
      </c>
      <c r="G17" s="79">
        <v>1</v>
      </c>
      <c r="H17" s="80">
        <v>2</v>
      </c>
      <c r="I17" s="48">
        <v>75000</v>
      </c>
      <c r="J17" s="48">
        <f t="shared" si="4"/>
        <v>75000</v>
      </c>
      <c r="K17" s="48">
        <f t="shared" si="4"/>
        <v>75000</v>
      </c>
      <c r="L17" s="48">
        <f t="shared" ref="L17:L28" si="7">SUM(I17:K17)</f>
        <v>225000</v>
      </c>
      <c r="M17" s="48">
        <f t="shared" ref="M17:M28" si="8">L17*0.16</f>
        <v>36000</v>
      </c>
      <c r="N17" s="48">
        <f t="shared" si="5"/>
        <v>261000</v>
      </c>
      <c r="O17" s="77">
        <v>160000</v>
      </c>
      <c r="P17" s="77">
        <f t="shared" si="0"/>
        <v>160000</v>
      </c>
      <c r="Q17" s="77">
        <f t="shared" si="1"/>
        <v>320000</v>
      </c>
      <c r="R17" s="77">
        <f t="shared" si="6"/>
        <v>480000</v>
      </c>
      <c r="S17" s="77">
        <f t="shared" si="2"/>
        <v>76800</v>
      </c>
      <c r="T17" s="77">
        <f t="shared" si="3"/>
        <v>556800</v>
      </c>
      <c r="U17" s="78" t="s">
        <v>50</v>
      </c>
      <c r="V17" s="82" t="s">
        <v>300</v>
      </c>
      <c r="W17" s="83" t="s">
        <v>608</v>
      </c>
    </row>
    <row r="18" spans="1:23" s="29" customFormat="1" ht="28.2" customHeight="1" x14ac:dyDescent="0.3">
      <c r="A18" s="86">
        <v>20</v>
      </c>
      <c r="B18" s="68" t="s">
        <v>47</v>
      </c>
      <c r="C18" s="72" t="s">
        <v>48</v>
      </c>
      <c r="D18" s="68" t="s">
        <v>53</v>
      </c>
      <c r="E18" s="69" t="s">
        <v>46</v>
      </c>
      <c r="F18" s="109" t="s">
        <v>301</v>
      </c>
      <c r="G18" s="79">
        <v>1</v>
      </c>
      <c r="H18" s="80">
        <v>2</v>
      </c>
      <c r="I18" s="48">
        <v>75000</v>
      </c>
      <c r="J18" s="48">
        <f t="shared" si="4"/>
        <v>75000</v>
      </c>
      <c r="K18" s="48">
        <f t="shared" si="4"/>
        <v>75000</v>
      </c>
      <c r="L18" s="48">
        <f t="shared" si="7"/>
        <v>225000</v>
      </c>
      <c r="M18" s="48">
        <f t="shared" si="8"/>
        <v>36000</v>
      </c>
      <c r="N18" s="48">
        <f t="shared" si="5"/>
        <v>261000</v>
      </c>
      <c r="O18" s="77">
        <v>160000</v>
      </c>
      <c r="P18" s="77">
        <f t="shared" si="0"/>
        <v>160000</v>
      </c>
      <c r="Q18" s="77">
        <f t="shared" si="1"/>
        <v>320000</v>
      </c>
      <c r="R18" s="77">
        <f t="shared" si="6"/>
        <v>480000</v>
      </c>
      <c r="S18" s="77">
        <f t="shared" si="2"/>
        <v>76800</v>
      </c>
      <c r="T18" s="77">
        <f t="shared" si="3"/>
        <v>556800</v>
      </c>
      <c r="U18" s="78" t="s">
        <v>50</v>
      </c>
      <c r="V18" s="82" t="s">
        <v>300</v>
      </c>
      <c r="W18" s="83" t="s">
        <v>608</v>
      </c>
    </row>
    <row r="19" spans="1:23" s="29" customFormat="1" ht="28.2" customHeight="1" x14ac:dyDescent="0.3">
      <c r="A19" s="86">
        <v>21</v>
      </c>
      <c r="B19" s="68" t="s">
        <v>47</v>
      </c>
      <c r="C19" s="72" t="s">
        <v>48</v>
      </c>
      <c r="D19" s="73" t="s">
        <v>54</v>
      </c>
      <c r="E19" s="72" t="s">
        <v>46</v>
      </c>
      <c r="F19" s="110" t="s">
        <v>303</v>
      </c>
      <c r="G19" s="79">
        <v>1</v>
      </c>
      <c r="H19" s="80">
        <v>2</v>
      </c>
      <c r="I19" s="48">
        <v>75000</v>
      </c>
      <c r="J19" s="48">
        <f t="shared" si="4"/>
        <v>75000</v>
      </c>
      <c r="K19" s="48">
        <f t="shared" si="4"/>
        <v>75000</v>
      </c>
      <c r="L19" s="48">
        <f t="shared" si="7"/>
        <v>225000</v>
      </c>
      <c r="M19" s="48">
        <f t="shared" si="8"/>
        <v>36000</v>
      </c>
      <c r="N19" s="48">
        <f t="shared" si="5"/>
        <v>261000</v>
      </c>
      <c r="O19" s="77">
        <v>160000</v>
      </c>
      <c r="P19" s="77">
        <f t="shared" si="0"/>
        <v>160000</v>
      </c>
      <c r="Q19" s="77">
        <f t="shared" si="1"/>
        <v>320000</v>
      </c>
      <c r="R19" s="77">
        <f t="shared" si="6"/>
        <v>480000</v>
      </c>
      <c r="S19" s="77">
        <f t="shared" si="2"/>
        <v>76800</v>
      </c>
      <c r="T19" s="77">
        <f t="shared" si="3"/>
        <v>556800</v>
      </c>
      <c r="U19" s="78" t="s">
        <v>50</v>
      </c>
      <c r="V19" s="82" t="s">
        <v>300</v>
      </c>
      <c r="W19" s="83" t="s">
        <v>608</v>
      </c>
    </row>
    <row r="20" spans="1:23" s="29" customFormat="1" ht="28.2" customHeight="1" x14ac:dyDescent="0.3">
      <c r="A20" s="86">
        <v>22</v>
      </c>
      <c r="B20" s="68" t="s">
        <v>47</v>
      </c>
      <c r="C20" s="72" t="s">
        <v>48</v>
      </c>
      <c r="D20" s="68" t="s">
        <v>55</v>
      </c>
      <c r="E20" s="69" t="s">
        <v>46</v>
      </c>
      <c r="F20" s="109" t="s">
        <v>304</v>
      </c>
      <c r="G20" s="79">
        <v>1</v>
      </c>
      <c r="H20" s="80">
        <v>2</v>
      </c>
      <c r="I20" s="48">
        <v>75000</v>
      </c>
      <c r="J20" s="48">
        <f t="shared" si="4"/>
        <v>75000</v>
      </c>
      <c r="K20" s="48">
        <f t="shared" si="4"/>
        <v>75000</v>
      </c>
      <c r="L20" s="48">
        <f t="shared" si="7"/>
        <v>225000</v>
      </c>
      <c r="M20" s="48">
        <f t="shared" si="8"/>
        <v>36000</v>
      </c>
      <c r="N20" s="48">
        <f t="shared" si="5"/>
        <v>261000</v>
      </c>
      <c r="O20" s="77">
        <v>160000</v>
      </c>
      <c r="P20" s="77">
        <f t="shared" si="0"/>
        <v>160000</v>
      </c>
      <c r="Q20" s="77">
        <f t="shared" si="1"/>
        <v>320000</v>
      </c>
      <c r="R20" s="77">
        <f t="shared" si="6"/>
        <v>480000</v>
      </c>
      <c r="S20" s="77">
        <f t="shared" si="2"/>
        <v>76800</v>
      </c>
      <c r="T20" s="77">
        <f t="shared" si="3"/>
        <v>556800</v>
      </c>
      <c r="U20" s="78" t="s">
        <v>50</v>
      </c>
      <c r="V20" s="82" t="s">
        <v>300</v>
      </c>
      <c r="W20" s="83" t="s">
        <v>608</v>
      </c>
    </row>
    <row r="21" spans="1:23" s="29" customFormat="1" ht="28.2" customHeight="1" x14ac:dyDescent="0.3">
      <c r="A21" s="86">
        <v>23</v>
      </c>
      <c r="B21" s="68" t="s">
        <v>47</v>
      </c>
      <c r="C21" s="72" t="s">
        <v>56</v>
      </c>
      <c r="D21" s="73" t="s">
        <v>57</v>
      </c>
      <c r="E21" s="72" t="s">
        <v>46</v>
      </c>
      <c r="F21" s="109" t="s">
        <v>305</v>
      </c>
      <c r="G21" s="79">
        <v>1</v>
      </c>
      <c r="H21" s="80">
        <v>2</v>
      </c>
      <c r="I21" s="48">
        <v>120000</v>
      </c>
      <c r="J21" s="48">
        <f t="shared" si="4"/>
        <v>120000</v>
      </c>
      <c r="K21" s="48">
        <f t="shared" si="4"/>
        <v>120000</v>
      </c>
      <c r="L21" s="48">
        <f t="shared" si="7"/>
        <v>360000</v>
      </c>
      <c r="M21" s="48">
        <f t="shared" si="8"/>
        <v>57600</v>
      </c>
      <c r="N21" s="48">
        <f t="shared" si="5"/>
        <v>417600</v>
      </c>
      <c r="O21" s="77">
        <v>350000</v>
      </c>
      <c r="P21" s="77">
        <f t="shared" si="0"/>
        <v>350000</v>
      </c>
      <c r="Q21" s="77">
        <f t="shared" si="1"/>
        <v>700000</v>
      </c>
      <c r="R21" s="77">
        <f t="shared" si="6"/>
        <v>1050000</v>
      </c>
      <c r="S21" s="77">
        <f t="shared" si="2"/>
        <v>168000</v>
      </c>
      <c r="T21" s="77">
        <f t="shared" si="3"/>
        <v>1218000</v>
      </c>
      <c r="U21" s="78" t="s">
        <v>50</v>
      </c>
      <c r="V21" s="82" t="s">
        <v>300</v>
      </c>
      <c r="W21" s="83" t="s">
        <v>608</v>
      </c>
    </row>
    <row r="22" spans="1:23" s="29" customFormat="1" ht="28.2" customHeight="1" x14ac:dyDescent="0.3">
      <c r="A22" s="86">
        <v>24</v>
      </c>
      <c r="B22" s="68" t="s">
        <v>47</v>
      </c>
      <c r="C22" s="72" t="s">
        <v>56</v>
      </c>
      <c r="D22" s="73" t="s">
        <v>65</v>
      </c>
      <c r="E22" s="72" t="s">
        <v>46</v>
      </c>
      <c r="F22" s="110" t="s">
        <v>307</v>
      </c>
      <c r="G22" s="79">
        <v>1</v>
      </c>
      <c r="H22" s="80">
        <v>2</v>
      </c>
      <c r="I22" s="48">
        <v>120000</v>
      </c>
      <c r="J22" s="48">
        <f t="shared" si="4"/>
        <v>120000</v>
      </c>
      <c r="K22" s="48">
        <f t="shared" si="4"/>
        <v>120000</v>
      </c>
      <c r="L22" s="48">
        <f t="shared" si="7"/>
        <v>360000</v>
      </c>
      <c r="M22" s="48">
        <f t="shared" si="8"/>
        <v>57600</v>
      </c>
      <c r="N22" s="48">
        <f t="shared" si="5"/>
        <v>417600</v>
      </c>
      <c r="O22" s="77">
        <v>350000</v>
      </c>
      <c r="P22" s="77">
        <f t="shared" si="0"/>
        <v>350000</v>
      </c>
      <c r="Q22" s="77">
        <f t="shared" si="1"/>
        <v>700000</v>
      </c>
      <c r="R22" s="77">
        <f t="shared" si="6"/>
        <v>1050000</v>
      </c>
      <c r="S22" s="77">
        <f t="shared" si="2"/>
        <v>168000</v>
      </c>
      <c r="T22" s="77">
        <f t="shared" si="3"/>
        <v>1218000</v>
      </c>
      <c r="U22" s="78" t="s">
        <v>50</v>
      </c>
      <c r="V22" s="82" t="s">
        <v>300</v>
      </c>
      <c r="W22" s="83" t="s">
        <v>608</v>
      </c>
    </row>
    <row r="23" spans="1:23" s="29" customFormat="1" ht="28.2" customHeight="1" x14ac:dyDescent="0.3">
      <c r="A23" s="86">
        <v>25</v>
      </c>
      <c r="B23" s="68" t="s">
        <v>47</v>
      </c>
      <c r="C23" s="72" t="s">
        <v>56</v>
      </c>
      <c r="D23" s="68" t="s">
        <v>66</v>
      </c>
      <c r="E23" s="69" t="s">
        <v>46</v>
      </c>
      <c r="F23" s="109" t="s">
        <v>308</v>
      </c>
      <c r="G23" s="79">
        <v>1</v>
      </c>
      <c r="H23" s="80">
        <v>2</v>
      </c>
      <c r="I23" s="48">
        <v>120000</v>
      </c>
      <c r="J23" s="48">
        <f t="shared" si="4"/>
        <v>120000</v>
      </c>
      <c r="K23" s="48">
        <f t="shared" si="4"/>
        <v>120000</v>
      </c>
      <c r="L23" s="48">
        <f t="shared" si="7"/>
        <v>360000</v>
      </c>
      <c r="M23" s="48">
        <f t="shared" si="8"/>
        <v>57600</v>
      </c>
      <c r="N23" s="48">
        <f t="shared" si="5"/>
        <v>417600</v>
      </c>
      <c r="O23" s="77">
        <v>350000</v>
      </c>
      <c r="P23" s="77">
        <f t="shared" si="0"/>
        <v>350000</v>
      </c>
      <c r="Q23" s="77">
        <f t="shared" si="1"/>
        <v>700000</v>
      </c>
      <c r="R23" s="77">
        <f t="shared" si="6"/>
        <v>1050000</v>
      </c>
      <c r="S23" s="77">
        <f t="shared" si="2"/>
        <v>168000</v>
      </c>
      <c r="T23" s="77">
        <f t="shared" si="3"/>
        <v>1218000</v>
      </c>
      <c r="U23" s="78" t="s">
        <v>50</v>
      </c>
      <c r="V23" s="82" t="s">
        <v>300</v>
      </c>
      <c r="W23" s="83" t="s">
        <v>608</v>
      </c>
    </row>
    <row r="24" spans="1:23" s="29" customFormat="1" ht="28.2" customHeight="1" x14ac:dyDescent="0.3">
      <c r="A24" s="86">
        <v>26</v>
      </c>
      <c r="B24" s="68" t="s">
        <v>47</v>
      </c>
      <c r="C24" s="72" t="s">
        <v>130</v>
      </c>
      <c r="D24" s="68" t="s">
        <v>131</v>
      </c>
      <c r="E24" s="69" t="s">
        <v>46</v>
      </c>
      <c r="F24" s="109" t="s">
        <v>310</v>
      </c>
      <c r="G24" s="79">
        <v>1</v>
      </c>
      <c r="H24" s="80">
        <v>2</v>
      </c>
      <c r="I24" s="48">
        <v>200000</v>
      </c>
      <c r="J24" s="48">
        <f t="shared" si="4"/>
        <v>200000</v>
      </c>
      <c r="K24" s="48">
        <f t="shared" si="4"/>
        <v>200000</v>
      </c>
      <c r="L24" s="48">
        <f t="shared" si="7"/>
        <v>600000</v>
      </c>
      <c r="M24" s="48">
        <f t="shared" si="8"/>
        <v>96000</v>
      </c>
      <c r="N24" s="48">
        <f t="shared" si="5"/>
        <v>696000</v>
      </c>
      <c r="O24" s="77">
        <v>500000</v>
      </c>
      <c r="P24" s="77">
        <f t="shared" si="0"/>
        <v>500000</v>
      </c>
      <c r="Q24" s="77">
        <f t="shared" si="1"/>
        <v>1000000</v>
      </c>
      <c r="R24" s="77">
        <f t="shared" si="6"/>
        <v>1500000</v>
      </c>
      <c r="S24" s="77">
        <f t="shared" si="2"/>
        <v>240000</v>
      </c>
      <c r="T24" s="77">
        <f t="shared" si="3"/>
        <v>1740000</v>
      </c>
      <c r="U24" s="78" t="s">
        <v>50</v>
      </c>
      <c r="V24" s="82" t="s">
        <v>311</v>
      </c>
      <c r="W24" s="83" t="s">
        <v>608</v>
      </c>
    </row>
    <row r="25" spans="1:23" s="29" customFormat="1" ht="28.2" customHeight="1" x14ac:dyDescent="0.3">
      <c r="A25" s="86">
        <v>27</v>
      </c>
      <c r="B25" s="68" t="s">
        <v>47</v>
      </c>
      <c r="C25" s="72" t="s">
        <v>83</v>
      </c>
      <c r="D25" s="73" t="s">
        <v>84</v>
      </c>
      <c r="E25" s="72" t="s">
        <v>46</v>
      </c>
      <c r="F25" s="109" t="s">
        <v>312</v>
      </c>
      <c r="G25" s="79">
        <v>1</v>
      </c>
      <c r="H25" s="80">
        <v>2</v>
      </c>
      <c r="I25" s="48">
        <v>200000</v>
      </c>
      <c r="J25" s="48">
        <f t="shared" si="4"/>
        <v>200000</v>
      </c>
      <c r="K25" s="48">
        <f t="shared" si="4"/>
        <v>200000</v>
      </c>
      <c r="L25" s="48">
        <f t="shared" si="7"/>
        <v>600000</v>
      </c>
      <c r="M25" s="48">
        <f t="shared" si="8"/>
        <v>96000</v>
      </c>
      <c r="N25" s="48">
        <f t="shared" si="5"/>
        <v>696000</v>
      </c>
      <c r="O25" s="77">
        <v>420000</v>
      </c>
      <c r="P25" s="77">
        <f t="shared" si="0"/>
        <v>420000</v>
      </c>
      <c r="Q25" s="77">
        <f t="shared" si="1"/>
        <v>840000</v>
      </c>
      <c r="R25" s="77">
        <f t="shared" si="6"/>
        <v>1260000</v>
      </c>
      <c r="S25" s="77">
        <f t="shared" si="2"/>
        <v>201600</v>
      </c>
      <c r="T25" s="77">
        <f t="shared" si="3"/>
        <v>1461600</v>
      </c>
      <c r="U25" s="78" t="s">
        <v>50</v>
      </c>
      <c r="V25" s="82" t="s">
        <v>295</v>
      </c>
      <c r="W25" s="83" t="s">
        <v>608</v>
      </c>
    </row>
    <row r="26" spans="1:23" s="29" customFormat="1" ht="28.2" customHeight="1" x14ac:dyDescent="0.3">
      <c r="A26" s="86">
        <v>28</v>
      </c>
      <c r="B26" s="68" t="s">
        <v>47</v>
      </c>
      <c r="C26" s="72" t="s">
        <v>83</v>
      </c>
      <c r="D26" s="68" t="s">
        <v>85</v>
      </c>
      <c r="E26" s="69" t="s">
        <v>46</v>
      </c>
      <c r="F26" s="109" t="s">
        <v>313</v>
      </c>
      <c r="G26" s="79">
        <v>1</v>
      </c>
      <c r="H26" s="80">
        <v>2</v>
      </c>
      <c r="I26" s="48">
        <v>200000</v>
      </c>
      <c r="J26" s="48">
        <f t="shared" si="4"/>
        <v>200000</v>
      </c>
      <c r="K26" s="48">
        <f t="shared" si="4"/>
        <v>200000</v>
      </c>
      <c r="L26" s="48">
        <f t="shared" si="7"/>
        <v>600000</v>
      </c>
      <c r="M26" s="48">
        <f t="shared" si="8"/>
        <v>96000</v>
      </c>
      <c r="N26" s="48">
        <f t="shared" si="5"/>
        <v>696000</v>
      </c>
      <c r="O26" s="77">
        <v>420000</v>
      </c>
      <c r="P26" s="77">
        <f t="shared" si="0"/>
        <v>420000</v>
      </c>
      <c r="Q26" s="77">
        <f t="shared" si="1"/>
        <v>840000</v>
      </c>
      <c r="R26" s="77">
        <f t="shared" si="6"/>
        <v>1260000</v>
      </c>
      <c r="S26" s="77">
        <f t="shared" si="2"/>
        <v>201600</v>
      </c>
      <c r="T26" s="77">
        <f t="shared" si="3"/>
        <v>1461600</v>
      </c>
      <c r="U26" s="78" t="s">
        <v>50</v>
      </c>
      <c r="V26" s="82" t="s">
        <v>295</v>
      </c>
      <c r="W26" s="83" t="s">
        <v>608</v>
      </c>
    </row>
    <row r="27" spans="1:23" s="29" customFormat="1" ht="28.2" customHeight="1" x14ac:dyDescent="0.3">
      <c r="A27" s="86">
        <v>29</v>
      </c>
      <c r="B27" s="68" t="s">
        <v>47</v>
      </c>
      <c r="C27" s="72" t="s">
        <v>86</v>
      </c>
      <c r="D27" s="68" t="s">
        <v>87</v>
      </c>
      <c r="E27" s="69" t="s">
        <v>46</v>
      </c>
      <c r="F27" s="109" t="s">
        <v>314</v>
      </c>
      <c r="G27" s="79">
        <v>1</v>
      </c>
      <c r="H27" s="80">
        <v>2</v>
      </c>
      <c r="I27" s="48">
        <v>75000</v>
      </c>
      <c r="J27" s="48">
        <f t="shared" si="4"/>
        <v>75000</v>
      </c>
      <c r="K27" s="48">
        <f t="shared" si="4"/>
        <v>75000</v>
      </c>
      <c r="L27" s="48">
        <f t="shared" si="7"/>
        <v>225000</v>
      </c>
      <c r="M27" s="48">
        <f t="shared" si="8"/>
        <v>36000</v>
      </c>
      <c r="N27" s="48">
        <f t="shared" si="5"/>
        <v>261000</v>
      </c>
      <c r="O27" s="77">
        <v>150000</v>
      </c>
      <c r="P27" s="77">
        <f t="shared" si="0"/>
        <v>150000</v>
      </c>
      <c r="Q27" s="77">
        <f t="shared" si="1"/>
        <v>300000</v>
      </c>
      <c r="R27" s="77">
        <f t="shared" si="6"/>
        <v>450000</v>
      </c>
      <c r="S27" s="77">
        <f t="shared" si="2"/>
        <v>72000</v>
      </c>
      <c r="T27" s="77">
        <f t="shared" si="3"/>
        <v>522000</v>
      </c>
      <c r="U27" s="78" t="s">
        <v>50</v>
      </c>
      <c r="V27" s="82" t="s">
        <v>295</v>
      </c>
      <c r="W27" s="83" t="s">
        <v>608</v>
      </c>
    </row>
    <row r="28" spans="1:23" s="29" customFormat="1" ht="28.2" customHeight="1" x14ac:dyDescent="0.3">
      <c r="A28" s="86">
        <v>30</v>
      </c>
      <c r="B28" s="68" t="s">
        <v>47</v>
      </c>
      <c r="C28" s="72" t="s">
        <v>232</v>
      </c>
      <c r="D28" s="73" t="s">
        <v>233</v>
      </c>
      <c r="E28" s="72" t="s">
        <v>46</v>
      </c>
      <c r="F28" s="109" t="s">
        <v>315</v>
      </c>
      <c r="G28" s="79">
        <v>1</v>
      </c>
      <c r="H28" s="79">
        <v>2</v>
      </c>
      <c r="I28" s="48">
        <v>50000</v>
      </c>
      <c r="J28" s="48">
        <f t="shared" si="4"/>
        <v>50000</v>
      </c>
      <c r="K28" s="48">
        <f t="shared" si="4"/>
        <v>50000</v>
      </c>
      <c r="L28" s="48">
        <f t="shared" si="7"/>
        <v>150000</v>
      </c>
      <c r="M28" s="48">
        <f t="shared" si="8"/>
        <v>24000</v>
      </c>
      <c r="N28" s="48">
        <f t="shared" si="5"/>
        <v>174000</v>
      </c>
      <c r="O28" s="77">
        <v>150000</v>
      </c>
      <c r="P28" s="77">
        <f t="shared" si="0"/>
        <v>150000</v>
      </c>
      <c r="Q28" s="77">
        <f t="shared" si="1"/>
        <v>300000</v>
      </c>
      <c r="R28" s="77">
        <f t="shared" si="6"/>
        <v>450000</v>
      </c>
      <c r="S28" s="77">
        <f t="shared" si="2"/>
        <v>72000</v>
      </c>
      <c r="T28" s="77">
        <f t="shared" si="3"/>
        <v>522000</v>
      </c>
      <c r="U28" s="78" t="s">
        <v>50</v>
      </c>
      <c r="V28" s="82" t="s">
        <v>316</v>
      </c>
      <c r="W28" s="83" t="s">
        <v>608</v>
      </c>
    </row>
    <row r="29" spans="1:23" s="29" customFormat="1" ht="28.2" customHeight="1" x14ac:dyDescent="0.3">
      <c r="A29" s="92">
        <v>31</v>
      </c>
      <c r="B29" s="68" t="s">
        <v>47</v>
      </c>
      <c r="C29" s="72" t="s">
        <v>318</v>
      </c>
      <c r="D29" s="68" t="s">
        <v>319</v>
      </c>
      <c r="E29" s="69" t="s">
        <v>46</v>
      </c>
      <c r="F29" s="109" t="s">
        <v>320</v>
      </c>
      <c r="G29" s="79">
        <v>1</v>
      </c>
      <c r="H29" s="79">
        <v>2</v>
      </c>
      <c r="I29" s="48">
        <v>60000</v>
      </c>
      <c r="J29" s="48">
        <f t="shared" si="4"/>
        <v>60000</v>
      </c>
      <c r="K29" s="48">
        <f t="shared" si="4"/>
        <v>60000</v>
      </c>
      <c r="L29" s="48">
        <f>SUM(I29:K29)</f>
        <v>180000</v>
      </c>
      <c r="M29" s="48">
        <f>L29*0.16</f>
        <v>28800</v>
      </c>
      <c r="N29" s="48">
        <f>SUM(L29:M29)</f>
        <v>208800</v>
      </c>
      <c r="O29" s="77">
        <v>200000</v>
      </c>
      <c r="P29" s="77">
        <f t="shared" si="0"/>
        <v>200000</v>
      </c>
      <c r="Q29" s="77">
        <f t="shared" si="1"/>
        <v>400000</v>
      </c>
      <c r="R29" s="77">
        <f t="shared" si="6"/>
        <v>600000</v>
      </c>
      <c r="S29" s="77">
        <f t="shared" si="2"/>
        <v>96000</v>
      </c>
      <c r="T29" s="77">
        <f t="shared" si="3"/>
        <v>696000</v>
      </c>
      <c r="U29" s="78" t="s">
        <v>50</v>
      </c>
      <c r="V29" s="82" t="s">
        <v>295</v>
      </c>
      <c r="W29" s="91" t="s">
        <v>611</v>
      </c>
    </row>
    <row r="30" spans="1:23" s="29" customFormat="1" ht="28.2" customHeight="1" x14ac:dyDescent="0.3">
      <c r="A30" s="86">
        <v>32</v>
      </c>
      <c r="B30" s="68" t="s">
        <v>47</v>
      </c>
      <c r="C30" s="72" t="s">
        <v>234</v>
      </c>
      <c r="D30" s="73" t="s">
        <v>235</v>
      </c>
      <c r="E30" s="72" t="s">
        <v>46</v>
      </c>
      <c r="F30" s="109" t="s">
        <v>321</v>
      </c>
      <c r="G30" s="79">
        <v>1</v>
      </c>
      <c r="H30" s="79">
        <v>2</v>
      </c>
      <c r="I30" s="48">
        <v>176000</v>
      </c>
      <c r="J30" s="48">
        <f t="shared" si="4"/>
        <v>176000</v>
      </c>
      <c r="K30" s="48">
        <f t="shared" si="4"/>
        <v>176000</v>
      </c>
      <c r="L30" s="48">
        <f t="shared" ref="L30:L33" si="9">SUM(I30:K30)</f>
        <v>528000</v>
      </c>
      <c r="M30" s="48">
        <f t="shared" ref="M30:M33" si="10">L30*0.16</f>
        <v>84480</v>
      </c>
      <c r="N30" s="48">
        <f t="shared" ref="N30:N33" si="11">SUM(L30:M30)</f>
        <v>612480</v>
      </c>
      <c r="O30" s="77">
        <v>330000</v>
      </c>
      <c r="P30" s="77">
        <f t="shared" si="0"/>
        <v>330000</v>
      </c>
      <c r="Q30" s="77">
        <f t="shared" si="1"/>
        <v>660000</v>
      </c>
      <c r="R30" s="77">
        <f t="shared" si="6"/>
        <v>990000</v>
      </c>
      <c r="S30" s="77">
        <f t="shared" si="2"/>
        <v>158400</v>
      </c>
      <c r="T30" s="77">
        <f t="shared" si="3"/>
        <v>1148400</v>
      </c>
      <c r="U30" s="78" t="s">
        <v>50</v>
      </c>
      <c r="V30" s="82" t="s">
        <v>322</v>
      </c>
      <c r="W30" s="83" t="s">
        <v>608</v>
      </c>
    </row>
    <row r="31" spans="1:23" s="29" customFormat="1" ht="28.2" customHeight="1" x14ac:dyDescent="0.3">
      <c r="A31" s="86">
        <v>33</v>
      </c>
      <c r="B31" s="68" t="s">
        <v>47</v>
      </c>
      <c r="C31" s="72" t="s">
        <v>88</v>
      </c>
      <c r="D31" s="73" t="s">
        <v>89</v>
      </c>
      <c r="E31" s="72" t="s">
        <v>46</v>
      </c>
      <c r="F31" s="109" t="s">
        <v>323</v>
      </c>
      <c r="G31" s="79">
        <v>1</v>
      </c>
      <c r="H31" s="79">
        <v>2</v>
      </c>
      <c r="I31" s="48">
        <v>75000</v>
      </c>
      <c r="J31" s="48">
        <f t="shared" si="4"/>
        <v>75000</v>
      </c>
      <c r="K31" s="48">
        <f t="shared" si="4"/>
        <v>75000</v>
      </c>
      <c r="L31" s="48">
        <f t="shared" si="9"/>
        <v>225000</v>
      </c>
      <c r="M31" s="48">
        <f t="shared" si="10"/>
        <v>36000</v>
      </c>
      <c r="N31" s="48">
        <f t="shared" si="11"/>
        <v>261000</v>
      </c>
      <c r="O31" s="77">
        <v>145000</v>
      </c>
      <c r="P31" s="77">
        <f t="shared" si="0"/>
        <v>145000</v>
      </c>
      <c r="Q31" s="77">
        <f t="shared" si="1"/>
        <v>290000</v>
      </c>
      <c r="R31" s="77">
        <f t="shared" si="6"/>
        <v>435000</v>
      </c>
      <c r="S31" s="77">
        <f t="shared" si="2"/>
        <v>69600</v>
      </c>
      <c r="T31" s="77">
        <f t="shared" si="3"/>
        <v>504600</v>
      </c>
      <c r="U31" s="78" t="s">
        <v>50</v>
      </c>
      <c r="V31" s="82" t="s">
        <v>295</v>
      </c>
      <c r="W31" s="83" t="s">
        <v>608</v>
      </c>
    </row>
    <row r="32" spans="1:23" s="29" customFormat="1" ht="28.2" customHeight="1" x14ac:dyDescent="0.3">
      <c r="A32" s="86">
        <v>34</v>
      </c>
      <c r="B32" s="68" t="s">
        <v>47</v>
      </c>
      <c r="C32" s="72" t="s">
        <v>90</v>
      </c>
      <c r="D32" s="73" t="s">
        <v>91</v>
      </c>
      <c r="E32" s="72" t="s">
        <v>46</v>
      </c>
      <c r="F32" s="109" t="s">
        <v>324</v>
      </c>
      <c r="G32" s="79">
        <v>1</v>
      </c>
      <c r="H32" s="79">
        <v>2</v>
      </c>
      <c r="I32" s="48">
        <v>60000</v>
      </c>
      <c r="J32" s="48">
        <f t="shared" si="4"/>
        <v>60000</v>
      </c>
      <c r="K32" s="48">
        <f t="shared" si="4"/>
        <v>60000</v>
      </c>
      <c r="L32" s="48">
        <f t="shared" si="9"/>
        <v>180000</v>
      </c>
      <c r="M32" s="48">
        <f t="shared" si="10"/>
        <v>28800</v>
      </c>
      <c r="N32" s="48">
        <f t="shared" si="11"/>
        <v>208800</v>
      </c>
      <c r="O32" s="77">
        <v>175000</v>
      </c>
      <c r="P32" s="77">
        <f t="shared" si="0"/>
        <v>175000</v>
      </c>
      <c r="Q32" s="77">
        <f t="shared" si="1"/>
        <v>350000</v>
      </c>
      <c r="R32" s="77">
        <f t="shared" si="6"/>
        <v>525000</v>
      </c>
      <c r="S32" s="77">
        <f t="shared" si="2"/>
        <v>84000</v>
      </c>
      <c r="T32" s="77">
        <f t="shared" si="3"/>
        <v>609000</v>
      </c>
      <c r="U32" s="78" t="s">
        <v>50</v>
      </c>
      <c r="V32" s="82" t="s">
        <v>295</v>
      </c>
      <c r="W32" s="83" t="s">
        <v>608</v>
      </c>
    </row>
    <row r="33" spans="1:23" s="29" customFormat="1" ht="28.2" customHeight="1" x14ac:dyDescent="0.3">
      <c r="A33" s="86">
        <v>35</v>
      </c>
      <c r="B33" s="68" t="s">
        <v>47</v>
      </c>
      <c r="C33" s="72" t="s">
        <v>92</v>
      </c>
      <c r="D33" s="73" t="s">
        <v>93</v>
      </c>
      <c r="E33" s="72" t="s">
        <v>46</v>
      </c>
      <c r="F33" s="109" t="s">
        <v>325</v>
      </c>
      <c r="G33" s="79">
        <v>1</v>
      </c>
      <c r="H33" s="79">
        <v>2</v>
      </c>
      <c r="I33" s="48">
        <v>60000</v>
      </c>
      <c r="J33" s="48">
        <f t="shared" si="4"/>
        <v>60000</v>
      </c>
      <c r="K33" s="48">
        <f t="shared" si="4"/>
        <v>60000</v>
      </c>
      <c r="L33" s="48">
        <f t="shared" si="9"/>
        <v>180000</v>
      </c>
      <c r="M33" s="48">
        <f t="shared" si="10"/>
        <v>28800</v>
      </c>
      <c r="N33" s="48">
        <f t="shared" si="11"/>
        <v>208800</v>
      </c>
      <c r="O33" s="77">
        <v>175000</v>
      </c>
      <c r="P33" s="77">
        <f t="shared" si="0"/>
        <v>175000</v>
      </c>
      <c r="Q33" s="77">
        <f t="shared" si="1"/>
        <v>350000</v>
      </c>
      <c r="R33" s="77">
        <f t="shared" si="6"/>
        <v>525000</v>
      </c>
      <c r="S33" s="77">
        <f t="shared" si="2"/>
        <v>84000</v>
      </c>
      <c r="T33" s="77">
        <f t="shared" si="3"/>
        <v>609000</v>
      </c>
      <c r="U33" s="78" t="s">
        <v>50</v>
      </c>
      <c r="V33" s="82" t="s">
        <v>295</v>
      </c>
      <c r="W33" s="83" t="s">
        <v>608</v>
      </c>
    </row>
    <row r="34" spans="1:23" s="29" customFormat="1" ht="28.2" customHeight="1" x14ac:dyDescent="0.3">
      <c r="A34" s="92">
        <v>36</v>
      </c>
      <c r="B34" s="68" t="s">
        <v>47</v>
      </c>
      <c r="C34" s="72" t="s">
        <v>326</v>
      </c>
      <c r="D34" s="73" t="s">
        <v>327</v>
      </c>
      <c r="E34" s="72" t="s">
        <v>46</v>
      </c>
      <c r="F34" s="109" t="s">
        <v>328</v>
      </c>
      <c r="G34" s="79">
        <v>1</v>
      </c>
      <c r="H34" s="79">
        <v>2</v>
      </c>
      <c r="I34" s="48">
        <v>12000</v>
      </c>
      <c r="J34" s="48">
        <f t="shared" si="4"/>
        <v>12000</v>
      </c>
      <c r="K34" s="48">
        <f t="shared" si="4"/>
        <v>12000</v>
      </c>
      <c r="L34" s="48">
        <f>SUM(I34:K34)</f>
        <v>36000</v>
      </c>
      <c r="M34" s="48">
        <f>L34*0.16</f>
        <v>5760</v>
      </c>
      <c r="N34" s="48">
        <f>SUM(L34:M34)</f>
        <v>41760</v>
      </c>
      <c r="O34" s="77">
        <v>220000</v>
      </c>
      <c r="P34" s="77">
        <f t="shared" si="0"/>
        <v>220000</v>
      </c>
      <c r="Q34" s="77">
        <f t="shared" si="1"/>
        <v>440000</v>
      </c>
      <c r="R34" s="77">
        <f t="shared" si="6"/>
        <v>660000</v>
      </c>
      <c r="S34" s="77">
        <f t="shared" si="2"/>
        <v>105600</v>
      </c>
      <c r="T34" s="77">
        <f t="shared" si="3"/>
        <v>765600</v>
      </c>
      <c r="U34" s="78" t="s">
        <v>50</v>
      </c>
      <c r="V34" s="82" t="s">
        <v>329</v>
      </c>
      <c r="W34" s="91" t="s">
        <v>611</v>
      </c>
    </row>
    <row r="35" spans="1:23" s="29" customFormat="1" ht="28.2" customHeight="1" x14ac:dyDescent="0.3">
      <c r="A35" s="92">
        <v>37</v>
      </c>
      <c r="B35" s="68" t="s">
        <v>47</v>
      </c>
      <c r="C35" s="72" t="s">
        <v>326</v>
      </c>
      <c r="D35" s="68" t="s">
        <v>330</v>
      </c>
      <c r="E35" s="69" t="s">
        <v>46</v>
      </c>
      <c r="F35" s="109" t="s">
        <v>331</v>
      </c>
      <c r="G35" s="79">
        <v>1</v>
      </c>
      <c r="H35" s="79">
        <v>2</v>
      </c>
      <c r="I35" s="48">
        <v>12000</v>
      </c>
      <c r="J35" s="48">
        <f t="shared" si="4"/>
        <v>12000</v>
      </c>
      <c r="K35" s="48">
        <f t="shared" si="4"/>
        <v>12000</v>
      </c>
      <c r="L35" s="48">
        <f>SUM(I35:K35)</f>
        <v>36000</v>
      </c>
      <c r="M35" s="48">
        <f>L35*0.16</f>
        <v>5760</v>
      </c>
      <c r="N35" s="48">
        <f>SUM(L35:M35)</f>
        <v>41760</v>
      </c>
      <c r="O35" s="77">
        <v>220000</v>
      </c>
      <c r="P35" s="77">
        <f t="shared" si="0"/>
        <v>220000</v>
      </c>
      <c r="Q35" s="77">
        <f t="shared" si="1"/>
        <v>440000</v>
      </c>
      <c r="R35" s="77">
        <f t="shared" si="6"/>
        <v>660000</v>
      </c>
      <c r="S35" s="77">
        <f t="shared" si="2"/>
        <v>105600</v>
      </c>
      <c r="T35" s="77">
        <f t="shared" si="3"/>
        <v>765600</v>
      </c>
      <c r="U35" s="78" t="s">
        <v>50</v>
      </c>
      <c r="V35" s="82" t="s">
        <v>329</v>
      </c>
      <c r="W35" s="91" t="s">
        <v>611</v>
      </c>
    </row>
    <row r="36" spans="1:23" s="29" customFormat="1" ht="28.2" customHeight="1" x14ac:dyDescent="0.3">
      <c r="A36" s="86">
        <v>38</v>
      </c>
      <c r="B36" s="68" t="s">
        <v>47</v>
      </c>
      <c r="C36" s="72" t="s">
        <v>132</v>
      </c>
      <c r="D36" s="68" t="s">
        <v>133</v>
      </c>
      <c r="E36" s="69" t="s">
        <v>46</v>
      </c>
      <c r="F36" s="109" t="s">
        <v>332</v>
      </c>
      <c r="G36" s="79">
        <v>1</v>
      </c>
      <c r="H36" s="80">
        <v>2</v>
      </c>
      <c r="I36" s="48">
        <v>75000</v>
      </c>
      <c r="J36" s="48">
        <f t="shared" si="4"/>
        <v>75000</v>
      </c>
      <c r="K36" s="48">
        <f t="shared" si="4"/>
        <v>75000</v>
      </c>
      <c r="L36" s="48">
        <f t="shared" ref="L36:L82" si="12">SUM(I36:K36)</f>
        <v>225000</v>
      </c>
      <c r="M36" s="48">
        <f t="shared" ref="M36:M82" si="13">L36*0.16</f>
        <v>36000</v>
      </c>
      <c r="N36" s="48">
        <f t="shared" ref="N36:N82" si="14">SUM(L36:M36)</f>
        <v>261000</v>
      </c>
      <c r="O36" s="77">
        <v>140000</v>
      </c>
      <c r="P36" s="77">
        <f t="shared" si="0"/>
        <v>140000</v>
      </c>
      <c r="Q36" s="77">
        <f t="shared" si="1"/>
        <v>280000</v>
      </c>
      <c r="R36" s="77">
        <f t="shared" si="6"/>
        <v>420000</v>
      </c>
      <c r="S36" s="77">
        <f t="shared" si="2"/>
        <v>67200</v>
      </c>
      <c r="T36" s="77">
        <f t="shared" si="3"/>
        <v>487200</v>
      </c>
      <c r="U36" s="78" t="s">
        <v>50</v>
      </c>
      <c r="V36" s="82" t="s">
        <v>311</v>
      </c>
      <c r="W36" s="83" t="s">
        <v>608</v>
      </c>
    </row>
    <row r="37" spans="1:23" s="29" customFormat="1" ht="28.2" customHeight="1" x14ac:dyDescent="0.3">
      <c r="A37" s="86">
        <v>39</v>
      </c>
      <c r="B37" s="68" t="s">
        <v>47</v>
      </c>
      <c r="C37" s="72" t="s">
        <v>132</v>
      </c>
      <c r="D37" s="73" t="s">
        <v>134</v>
      </c>
      <c r="E37" s="72" t="s">
        <v>46</v>
      </c>
      <c r="F37" s="109" t="s">
        <v>333</v>
      </c>
      <c r="G37" s="79">
        <v>1</v>
      </c>
      <c r="H37" s="80">
        <v>2</v>
      </c>
      <c r="I37" s="48">
        <v>75000</v>
      </c>
      <c r="J37" s="48">
        <f t="shared" si="4"/>
        <v>75000</v>
      </c>
      <c r="K37" s="48">
        <f t="shared" si="4"/>
        <v>75000</v>
      </c>
      <c r="L37" s="48">
        <f t="shared" si="12"/>
        <v>225000</v>
      </c>
      <c r="M37" s="48">
        <f t="shared" si="13"/>
        <v>36000</v>
      </c>
      <c r="N37" s="48">
        <f t="shared" si="14"/>
        <v>261000</v>
      </c>
      <c r="O37" s="77">
        <v>140000</v>
      </c>
      <c r="P37" s="77">
        <f t="shared" si="0"/>
        <v>140000</v>
      </c>
      <c r="Q37" s="77">
        <f t="shared" si="1"/>
        <v>280000</v>
      </c>
      <c r="R37" s="77">
        <f t="shared" si="6"/>
        <v>420000</v>
      </c>
      <c r="S37" s="77">
        <f t="shared" si="2"/>
        <v>67200</v>
      </c>
      <c r="T37" s="77">
        <f t="shared" si="3"/>
        <v>487200</v>
      </c>
      <c r="U37" s="78" t="s">
        <v>50</v>
      </c>
      <c r="V37" s="82" t="s">
        <v>311</v>
      </c>
      <c r="W37" s="83" t="s">
        <v>608</v>
      </c>
    </row>
    <row r="38" spans="1:23" s="29" customFormat="1" ht="28.2" customHeight="1" x14ac:dyDescent="0.3">
      <c r="A38" s="86">
        <v>40</v>
      </c>
      <c r="B38" s="68" t="s">
        <v>47</v>
      </c>
      <c r="C38" s="72" t="s">
        <v>132</v>
      </c>
      <c r="D38" s="73" t="s">
        <v>135</v>
      </c>
      <c r="E38" s="72" t="s">
        <v>46</v>
      </c>
      <c r="F38" s="109" t="s">
        <v>334</v>
      </c>
      <c r="G38" s="79">
        <v>1</v>
      </c>
      <c r="H38" s="80">
        <v>2</v>
      </c>
      <c r="I38" s="48">
        <v>75000</v>
      </c>
      <c r="J38" s="48">
        <f t="shared" si="4"/>
        <v>75000</v>
      </c>
      <c r="K38" s="48">
        <f t="shared" si="4"/>
        <v>75000</v>
      </c>
      <c r="L38" s="48">
        <f t="shared" si="12"/>
        <v>225000</v>
      </c>
      <c r="M38" s="48">
        <f t="shared" si="13"/>
        <v>36000</v>
      </c>
      <c r="N38" s="48">
        <f t="shared" si="14"/>
        <v>261000</v>
      </c>
      <c r="O38" s="77">
        <v>140000</v>
      </c>
      <c r="P38" s="77">
        <f t="shared" si="0"/>
        <v>140000</v>
      </c>
      <c r="Q38" s="77">
        <f t="shared" si="1"/>
        <v>280000</v>
      </c>
      <c r="R38" s="77">
        <f t="shared" si="6"/>
        <v>420000</v>
      </c>
      <c r="S38" s="77">
        <f t="shared" si="2"/>
        <v>67200</v>
      </c>
      <c r="T38" s="77">
        <f t="shared" si="3"/>
        <v>487200</v>
      </c>
      <c r="U38" s="78" t="s">
        <v>50</v>
      </c>
      <c r="V38" s="82" t="s">
        <v>311</v>
      </c>
      <c r="W38" s="83" t="s">
        <v>608</v>
      </c>
    </row>
    <row r="39" spans="1:23" s="29" customFormat="1" ht="28.2" customHeight="1" x14ac:dyDescent="0.3">
      <c r="A39" s="86">
        <v>41</v>
      </c>
      <c r="B39" s="68" t="s">
        <v>47</v>
      </c>
      <c r="C39" s="72" t="s">
        <v>136</v>
      </c>
      <c r="D39" s="73" t="s">
        <v>137</v>
      </c>
      <c r="E39" s="72" t="s">
        <v>46</v>
      </c>
      <c r="F39" s="109" t="s">
        <v>335</v>
      </c>
      <c r="G39" s="79">
        <v>1</v>
      </c>
      <c r="H39" s="80">
        <v>2</v>
      </c>
      <c r="I39" s="48">
        <v>55000</v>
      </c>
      <c r="J39" s="48">
        <f t="shared" si="4"/>
        <v>55000</v>
      </c>
      <c r="K39" s="48">
        <f t="shared" si="4"/>
        <v>55000</v>
      </c>
      <c r="L39" s="48">
        <f t="shared" si="12"/>
        <v>165000</v>
      </c>
      <c r="M39" s="48">
        <f t="shared" si="13"/>
        <v>26400</v>
      </c>
      <c r="N39" s="48">
        <f t="shared" si="14"/>
        <v>191400</v>
      </c>
      <c r="O39" s="77">
        <v>125000</v>
      </c>
      <c r="P39" s="77">
        <f t="shared" si="0"/>
        <v>125000</v>
      </c>
      <c r="Q39" s="77">
        <f t="shared" si="1"/>
        <v>250000</v>
      </c>
      <c r="R39" s="77">
        <f t="shared" si="6"/>
        <v>375000</v>
      </c>
      <c r="S39" s="77">
        <f t="shared" si="2"/>
        <v>60000</v>
      </c>
      <c r="T39" s="77">
        <f t="shared" si="3"/>
        <v>435000</v>
      </c>
      <c r="U39" s="78" t="s">
        <v>50</v>
      </c>
      <c r="V39" s="82" t="s">
        <v>336</v>
      </c>
      <c r="W39" s="83" t="s">
        <v>608</v>
      </c>
    </row>
    <row r="40" spans="1:23" s="29" customFormat="1" ht="28.2" customHeight="1" x14ac:dyDescent="0.3">
      <c r="A40" s="86">
        <v>42</v>
      </c>
      <c r="B40" s="68" t="s">
        <v>47</v>
      </c>
      <c r="C40" s="72" t="s">
        <v>138</v>
      </c>
      <c r="D40" s="73" t="s">
        <v>139</v>
      </c>
      <c r="E40" s="72" t="s">
        <v>46</v>
      </c>
      <c r="F40" s="109" t="s">
        <v>337</v>
      </c>
      <c r="G40" s="79">
        <v>1</v>
      </c>
      <c r="H40" s="80">
        <v>2</v>
      </c>
      <c r="I40" s="48">
        <v>55000</v>
      </c>
      <c r="J40" s="48">
        <f t="shared" si="4"/>
        <v>55000</v>
      </c>
      <c r="K40" s="48">
        <f t="shared" si="4"/>
        <v>55000</v>
      </c>
      <c r="L40" s="48">
        <f t="shared" si="12"/>
        <v>165000</v>
      </c>
      <c r="M40" s="48">
        <f t="shared" si="13"/>
        <v>26400</v>
      </c>
      <c r="N40" s="48">
        <f t="shared" si="14"/>
        <v>191400</v>
      </c>
      <c r="O40" s="77">
        <v>125000</v>
      </c>
      <c r="P40" s="77">
        <f t="shared" si="0"/>
        <v>125000</v>
      </c>
      <c r="Q40" s="77">
        <f t="shared" si="1"/>
        <v>250000</v>
      </c>
      <c r="R40" s="77">
        <f t="shared" si="6"/>
        <v>375000</v>
      </c>
      <c r="S40" s="77">
        <f t="shared" si="2"/>
        <v>60000</v>
      </c>
      <c r="T40" s="77">
        <f t="shared" si="3"/>
        <v>435000</v>
      </c>
      <c r="U40" s="78" t="s">
        <v>50</v>
      </c>
      <c r="V40" s="82" t="s">
        <v>336</v>
      </c>
      <c r="W40" s="83" t="s">
        <v>608</v>
      </c>
    </row>
    <row r="41" spans="1:23" s="29" customFormat="1" ht="28.2" customHeight="1" x14ac:dyDescent="0.3">
      <c r="A41" s="86">
        <v>43</v>
      </c>
      <c r="B41" s="68" t="s">
        <v>47</v>
      </c>
      <c r="C41" s="72" t="s">
        <v>140</v>
      </c>
      <c r="D41" s="68" t="s">
        <v>141</v>
      </c>
      <c r="E41" s="69" t="s">
        <v>46</v>
      </c>
      <c r="F41" s="109" t="s">
        <v>338</v>
      </c>
      <c r="G41" s="79">
        <v>1</v>
      </c>
      <c r="H41" s="79">
        <v>2</v>
      </c>
      <c r="I41" s="48">
        <v>47500</v>
      </c>
      <c r="J41" s="48">
        <f t="shared" si="4"/>
        <v>47500</v>
      </c>
      <c r="K41" s="48">
        <f t="shared" si="4"/>
        <v>47500</v>
      </c>
      <c r="L41" s="48">
        <f t="shared" si="12"/>
        <v>142500</v>
      </c>
      <c r="M41" s="48">
        <f t="shared" si="13"/>
        <v>22800</v>
      </c>
      <c r="N41" s="48">
        <f t="shared" si="14"/>
        <v>165300</v>
      </c>
      <c r="O41" s="77">
        <v>150000</v>
      </c>
      <c r="P41" s="77">
        <f t="shared" si="0"/>
        <v>150000</v>
      </c>
      <c r="Q41" s="77">
        <f t="shared" si="1"/>
        <v>300000</v>
      </c>
      <c r="R41" s="77">
        <f t="shared" si="6"/>
        <v>450000</v>
      </c>
      <c r="S41" s="77">
        <f t="shared" si="2"/>
        <v>72000</v>
      </c>
      <c r="T41" s="77">
        <f t="shared" si="3"/>
        <v>522000</v>
      </c>
      <c r="U41" s="78" t="s">
        <v>50</v>
      </c>
      <c r="V41" s="82" t="s">
        <v>336</v>
      </c>
      <c r="W41" s="83" t="s">
        <v>608</v>
      </c>
    </row>
    <row r="42" spans="1:23" s="29" customFormat="1" ht="28.2" customHeight="1" x14ac:dyDescent="0.3">
      <c r="A42" s="86">
        <v>44</v>
      </c>
      <c r="B42" s="68" t="s">
        <v>47</v>
      </c>
      <c r="C42" s="72" t="s">
        <v>152</v>
      </c>
      <c r="D42" s="73" t="s">
        <v>153</v>
      </c>
      <c r="E42" s="72" t="s">
        <v>46</v>
      </c>
      <c r="F42" s="109" t="s">
        <v>339</v>
      </c>
      <c r="G42" s="79">
        <v>1</v>
      </c>
      <c r="H42" s="79">
        <v>2</v>
      </c>
      <c r="I42" s="48">
        <v>47500</v>
      </c>
      <c r="J42" s="48">
        <f t="shared" si="4"/>
        <v>47500</v>
      </c>
      <c r="K42" s="48">
        <f t="shared" si="4"/>
        <v>47500</v>
      </c>
      <c r="L42" s="48">
        <f t="shared" si="12"/>
        <v>142500</v>
      </c>
      <c r="M42" s="48">
        <f t="shared" si="13"/>
        <v>22800</v>
      </c>
      <c r="N42" s="48">
        <f t="shared" si="14"/>
        <v>165300</v>
      </c>
      <c r="O42" s="77">
        <v>150000</v>
      </c>
      <c r="P42" s="77">
        <f t="shared" si="0"/>
        <v>150000</v>
      </c>
      <c r="Q42" s="77">
        <f t="shared" si="1"/>
        <v>300000</v>
      </c>
      <c r="R42" s="77">
        <f t="shared" si="6"/>
        <v>450000</v>
      </c>
      <c r="S42" s="77">
        <f t="shared" si="2"/>
        <v>72000</v>
      </c>
      <c r="T42" s="77">
        <f t="shared" si="3"/>
        <v>522000</v>
      </c>
      <c r="U42" s="78" t="s">
        <v>50</v>
      </c>
      <c r="V42" s="82" t="s">
        <v>336</v>
      </c>
      <c r="W42" s="83" t="s">
        <v>608</v>
      </c>
    </row>
    <row r="43" spans="1:23" s="29" customFormat="1" ht="28.2" customHeight="1" x14ac:dyDescent="0.3">
      <c r="A43" s="86">
        <v>45</v>
      </c>
      <c r="B43" s="68" t="s">
        <v>47</v>
      </c>
      <c r="C43" s="72" t="s">
        <v>154</v>
      </c>
      <c r="D43" s="68" t="s">
        <v>155</v>
      </c>
      <c r="E43" s="69" t="s">
        <v>46</v>
      </c>
      <c r="F43" s="109" t="s">
        <v>340</v>
      </c>
      <c r="G43" s="79">
        <v>1</v>
      </c>
      <c r="H43" s="80">
        <v>2</v>
      </c>
      <c r="I43" s="48">
        <v>50000</v>
      </c>
      <c r="J43" s="48">
        <f t="shared" si="4"/>
        <v>50000</v>
      </c>
      <c r="K43" s="48">
        <f t="shared" si="4"/>
        <v>50000</v>
      </c>
      <c r="L43" s="48">
        <f t="shared" si="12"/>
        <v>150000</v>
      </c>
      <c r="M43" s="48">
        <f t="shared" si="13"/>
        <v>24000</v>
      </c>
      <c r="N43" s="48">
        <f t="shared" si="14"/>
        <v>174000</v>
      </c>
      <c r="O43" s="77">
        <v>150000</v>
      </c>
      <c r="P43" s="77">
        <f t="shared" si="0"/>
        <v>150000</v>
      </c>
      <c r="Q43" s="77">
        <f t="shared" si="1"/>
        <v>300000</v>
      </c>
      <c r="R43" s="77">
        <f t="shared" si="6"/>
        <v>450000</v>
      </c>
      <c r="S43" s="77">
        <f t="shared" si="2"/>
        <v>72000</v>
      </c>
      <c r="T43" s="77">
        <f t="shared" si="3"/>
        <v>522000</v>
      </c>
      <c r="U43" s="78" t="s">
        <v>50</v>
      </c>
      <c r="V43" s="82" t="s">
        <v>311</v>
      </c>
      <c r="W43" s="83" t="s">
        <v>608</v>
      </c>
    </row>
    <row r="44" spans="1:23" s="29" customFormat="1" ht="28.2" customHeight="1" x14ac:dyDescent="0.3">
      <c r="A44" s="86">
        <v>46</v>
      </c>
      <c r="B44" s="68" t="s">
        <v>47</v>
      </c>
      <c r="C44" s="72" t="s">
        <v>154</v>
      </c>
      <c r="D44" s="73" t="s">
        <v>156</v>
      </c>
      <c r="E44" s="72" t="s">
        <v>46</v>
      </c>
      <c r="F44" s="109" t="s">
        <v>341</v>
      </c>
      <c r="G44" s="79">
        <v>1</v>
      </c>
      <c r="H44" s="80">
        <v>2</v>
      </c>
      <c r="I44" s="48">
        <v>50000</v>
      </c>
      <c r="J44" s="48">
        <f t="shared" si="4"/>
        <v>50000</v>
      </c>
      <c r="K44" s="48">
        <f t="shared" si="4"/>
        <v>50000</v>
      </c>
      <c r="L44" s="48">
        <f t="shared" si="12"/>
        <v>150000</v>
      </c>
      <c r="M44" s="48">
        <f t="shared" si="13"/>
        <v>24000</v>
      </c>
      <c r="N44" s="48">
        <f t="shared" si="14"/>
        <v>174000</v>
      </c>
      <c r="O44" s="77">
        <v>150000</v>
      </c>
      <c r="P44" s="77">
        <f t="shared" si="0"/>
        <v>150000</v>
      </c>
      <c r="Q44" s="77">
        <f t="shared" si="1"/>
        <v>300000</v>
      </c>
      <c r="R44" s="77">
        <f t="shared" si="6"/>
        <v>450000</v>
      </c>
      <c r="S44" s="77">
        <f t="shared" si="2"/>
        <v>72000</v>
      </c>
      <c r="T44" s="77">
        <f t="shared" si="3"/>
        <v>522000</v>
      </c>
      <c r="U44" s="78" t="s">
        <v>50</v>
      </c>
      <c r="V44" s="82" t="s">
        <v>311</v>
      </c>
      <c r="W44" s="83" t="s">
        <v>608</v>
      </c>
    </row>
    <row r="45" spans="1:23" s="29" customFormat="1" ht="28.2" customHeight="1" x14ac:dyDescent="0.3">
      <c r="A45" s="86">
        <v>47</v>
      </c>
      <c r="B45" s="68" t="s">
        <v>47</v>
      </c>
      <c r="C45" s="72" t="s">
        <v>154</v>
      </c>
      <c r="D45" s="68" t="s">
        <v>157</v>
      </c>
      <c r="E45" s="69" t="s">
        <v>46</v>
      </c>
      <c r="F45" s="109" t="s">
        <v>342</v>
      </c>
      <c r="G45" s="79">
        <v>1</v>
      </c>
      <c r="H45" s="80">
        <v>2</v>
      </c>
      <c r="I45" s="48">
        <v>50000</v>
      </c>
      <c r="J45" s="48">
        <f t="shared" si="4"/>
        <v>50000</v>
      </c>
      <c r="K45" s="48">
        <f t="shared" si="4"/>
        <v>50000</v>
      </c>
      <c r="L45" s="48">
        <f t="shared" si="12"/>
        <v>150000</v>
      </c>
      <c r="M45" s="48">
        <f t="shared" si="13"/>
        <v>24000</v>
      </c>
      <c r="N45" s="48">
        <f t="shared" si="14"/>
        <v>174000</v>
      </c>
      <c r="O45" s="77">
        <v>150000</v>
      </c>
      <c r="P45" s="77">
        <f t="shared" si="0"/>
        <v>150000</v>
      </c>
      <c r="Q45" s="77">
        <f t="shared" si="1"/>
        <v>300000</v>
      </c>
      <c r="R45" s="77">
        <f t="shared" si="6"/>
        <v>450000</v>
      </c>
      <c r="S45" s="77">
        <f t="shared" si="2"/>
        <v>72000</v>
      </c>
      <c r="T45" s="77">
        <f t="shared" si="3"/>
        <v>522000</v>
      </c>
      <c r="U45" s="78" t="s">
        <v>50</v>
      </c>
      <c r="V45" s="82" t="s">
        <v>311</v>
      </c>
      <c r="W45" s="83" t="s">
        <v>608</v>
      </c>
    </row>
    <row r="46" spans="1:23" s="29" customFormat="1" ht="28.2" customHeight="1" x14ac:dyDescent="0.3">
      <c r="A46" s="86">
        <v>48</v>
      </c>
      <c r="B46" s="68" t="s">
        <v>47</v>
      </c>
      <c r="C46" s="72" t="s">
        <v>154</v>
      </c>
      <c r="D46" s="73" t="s">
        <v>158</v>
      </c>
      <c r="E46" s="72" t="s">
        <v>46</v>
      </c>
      <c r="F46" s="109" t="s">
        <v>343</v>
      </c>
      <c r="G46" s="79">
        <v>1</v>
      </c>
      <c r="H46" s="80">
        <v>2</v>
      </c>
      <c r="I46" s="48">
        <v>50000</v>
      </c>
      <c r="J46" s="48">
        <f t="shared" si="4"/>
        <v>50000</v>
      </c>
      <c r="K46" s="48">
        <f t="shared" si="4"/>
        <v>50000</v>
      </c>
      <c r="L46" s="48">
        <f t="shared" si="12"/>
        <v>150000</v>
      </c>
      <c r="M46" s="48">
        <f t="shared" si="13"/>
        <v>24000</v>
      </c>
      <c r="N46" s="48">
        <f t="shared" si="14"/>
        <v>174000</v>
      </c>
      <c r="O46" s="77">
        <v>150000</v>
      </c>
      <c r="P46" s="77">
        <f t="shared" ref="P46:P77" si="15">G46*O46</f>
        <v>150000</v>
      </c>
      <c r="Q46" s="77">
        <f t="shared" ref="Q46:Q77" si="16">H46*O46</f>
        <v>300000</v>
      </c>
      <c r="R46" s="77">
        <f t="shared" ref="R46:R77" si="17">SUM(P46:Q46)</f>
        <v>450000</v>
      </c>
      <c r="S46" s="77">
        <f t="shared" ref="S46:S77" si="18">R46*$S$9</f>
        <v>72000</v>
      </c>
      <c r="T46" s="77">
        <f t="shared" ref="T46:T77" si="19">SUM(R46:S46)</f>
        <v>522000</v>
      </c>
      <c r="U46" s="78" t="s">
        <v>50</v>
      </c>
      <c r="V46" s="82" t="s">
        <v>311</v>
      </c>
      <c r="W46" s="83" t="s">
        <v>608</v>
      </c>
    </row>
    <row r="47" spans="1:23" s="29" customFormat="1" ht="28.2" customHeight="1" x14ac:dyDescent="0.3">
      <c r="A47" s="86">
        <v>49</v>
      </c>
      <c r="B47" s="68" t="s">
        <v>47</v>
      </c>
      <c r="C47" s="72" t="s">
        <v>176</v>
      </c>
      <c r="D47" s="73" t="s">
        <v>177</v>
      </c>
      <c r="E47" s="72" t="s">
        <v>46</v>
      </c>
      <c r="F47" s="109" t="s">
        <v>344</v>
      </c>
      <c r="G47" s="79">
        <v>1</v>
      </c>
      <c r="H47" s="80">
        <v>2</v>
      </c>
      <c r="I47" s="48">
        <v>15000</v>
      </c>
      <c r="J47" s="48">
        <f t="shared" si="4"/>
        <v>15000</v>
      </c>
      <c r="K47" s="48">
        <f t="shared" si="4"/>
        <v>15000</v>
      </c>
      <c r="L47" s="48">
        <f t="shared" si="12"/>
        <v>45000</v>
      </c>
      <c r="M47" s="48">
        <f t="shared" si="13"/>
        <v>7200</v>
      </c>
      <c r="N47" s="48">
        <f t="shared" si="14"/>
        <v>52200</v>
      </c>
      <c r="O47" s="77">
        <v>120000</v>
      </c>
      <c r="P47" s="77">
        <f t="shared" si="15"/>
        <v>120000</v>
      </c>
      <c r="Q47" s="77">
        <f t="shared" si="16"/>
        <v>240000</v>
      </c>
      <c r="R47" s="77">
        <f t="shared" si="17"/>
        <v>360000</v>
      </c>
      <c r="S47" s="77">
        <f t="shared" si="18"/>
        <v>57600</v>
      </c>
      <c r="T47" s="77">
        <f t="shared" si="19"/>
        <v>417600</v>
      </c>
      <c r="U47" s="78" t="s">
        <v>50</v>
      </c>
      <c r="V47" s="82" t="s">
        <v>345</v>
      </c>
      <c r="W47" s="83" t="s">
        <v>608</v>
      </c>
    </row>
    <row r="48" spans="1:23" s="29" customFormat="1" ht="28.2" customHeight="1" x14ac:dyDescent="0.3">
      <c r="A48" s="86">
        <v>50</v>
      </c>
      <c r="B48" s="68" t="s">
        <v>47</v>
      </c>
      <c r="C48" s="72" t="s">
        <v>176</v>
      </c>
      <c r="D48" s="68" t="s">
        <v>178</v>
      </c>
      <c r="E48" s="69" t="s">
        <v>46</v>
      </c>
      <c r="F48" s="109" t="s">
        <v>346</v>
      </c>
      <c r="G48" s="79">
        <v>1</v>
      </c>
      <c r="H48" s="80">
        <v>2</v>
      </c>
      <c r="I48" s="48">
        <v>15000</v>
      </c>
      <c r="J48" s="48">
        <f t="shared" si="4"/>
        <v>15000</v>
      </c>
      <c r="K48" s="48">
        <f t="shared" si="4"/>
        <v>15000</v>
      </c>
      <c r="L48" s="48">
        <f t="shared" si="12"/>
        <v>45000</v>
      </c>
      <c r="M48" s="48">
        <f t="shared" si="13"/>
        <v>7200</v>
      </c>
      <c r="N48" s="48">
        <f t="shared" si="14"/>
        <v>52200</v>
      </c>
      <c r="O48" s="77">
        <v>120000</v>
      </c>
      <c r="P48" s="77">
        <f t="shared" si="15"/>
        <v>120000</v>
      </c>
      <c r="Q48" s="77">
        <f t="shared" si="16"/>
        <v>240000</v>
      </c>
      <c r="R48" s="77">
        <f t="shared" si="17"/>
        <v>360000</v>
      </c>
      <c r="S48" s="77">
        <f t="shared" si="18"/>
        <v>57600</v>
      </c>
      <c r="T48" s="77">
        <f t="shared" si="19"/>
        <v>417600</v>
      </c>
      <c r="U48" s="78" t="s">
        <v>50</v>
      </c>
      <c r="V48" s="82" t="s">
        <v>345</v>
      </c>
      <c r="W48" s="83" t="s">
        <v>608</v>
      </c>
    </row>
    <row r="49" spans="1:23" s="29" customFormat="1" ht="28.2" customHeight="1" x14ac:dyDescent="0.3">
      <c r="A49" s="86">
        <v>51</v>
      </c>
      <c r="B49" s="68" t="s">
        <v>47</v>
      </c>
      <c r="C49" s="72" t="s">
        <v>176</v>
      </c>
      <c r="D49" s="73" t="s">
        <v>179</v>
      </c>
      <c r="E49" s="72" t="s">
        <v>46</v>
      </c>
      <c r="F49" s="109" t="s">
        <v>347</v>
      </c>
      <c r="G49" s="79">
        <v>1</v>
      </c>
      <c r="H49" s="80">
        <v>2</v>
      </c>
      <c r="I49" s="48">
        <v>15000</v>
      </c>
      <c r="J49" s="48">
        <f t="shared" si="4"/>
        <v>15000</v>
      </c>
      <c r="K49" s="48">
        <f t="shared" si="4"/>
        <v>15000</v>
      </c>
      <c r="L49" s="48">
        <f t="shared" si="12"/>
        <v>45000</v>
      </c>
      <c r="M49" s="48">
        <f t="shared" si="13"/>
        <v>7200</v>
      </c>
      <c r="N49" s="48">
        <f t="shared" si="14"/>
        <v>52200</v>
      </c>
      <c r="O49" s="77">
        <v>120000</v>
      </c>
      <c r="P49" s="77">
        <f t="shared" si="15"/>
        <v>120000</v>
      </c>
      <c r="Q49" s="77">
        <f t="shared" si="16"/>
        <v>240000</v>
      </c>
      <c r="R49" s="77">
        <f t="shared" si="17"/>
        <v>360000</v>
      </c>
      <c r="S49" s="77">
        <f t="shared" si="18"/>
        <v>57600</v>
      </c>
      <c r="T49" s="77">
        <f t="shared" si="19"/>
        <v>417600</v>
      </c>
      <c r="U49" s="78" t="s">
        <v>50</v>
      </c>
      <c r="V49" s="82" t="s">
        <v>345</v>
      </c>
      <c r="W49" s="83" t="s">
        <v>608</v>
      </c>
    </row>
    <row r="50" spans="1:23" s="29" customFormat="1" ht="28.2" customHeight="1" x14ac:dyDescent="0.3">
      <c r="A50" s="86">
        <v>52</v>
      </c>
      <c r="B50" s="68" t="s">
        <v>47</v>
      </c>
      <c r="C50" s="72" t="s">
        <v>176</v>
      </c>
      <c r="D50" s="73" t="s">
        <v>180</v>
      </c>
      <c r="E50" s="72" t="s">
        <v>46</v>
      </c>
      <c r="F50" s="109" t="s">
        <v>348</v>
      </c>
      <c r="G50" s="79">
        <v>1</v>
      </c>
      <c r="H50" s="80">
        <v>2</v>
      </c>
      <c r="I50" s="48">
        <v>15000</v>
      </c>
      <c r="J50" s="48">
        <f t="shared" si="4"/>
        <v>15000</v>
      </c>
      <c r="K50" s="48">
        <f t="shared" si="4"/>
        <v>15000</v>
      </c>
      <c r="L50" s="48">
        <f t="shared" si="12"/>
        <v>45000</v>
      </c>
      <c r="M50" s="48">
        <f t="shared" si="13"/>
        <v>7200</v>
      </c>
      <c r="N50" s="48">
        <f t="shared" si="14"/>
        <v>52200</v>
      </c>
      <c r="O50" s="77">
        <v>120000</v>
      </c>
      <c r="P50" s="77">
        <f t="shared" si="15"/>
        <v>120000</v>
      </c>
      <c r="Q50" s="77">
        <f t="shared" si="16"/>
        <v>240000</v>
      </c>
      <c r="R50" s="77">
        <f t="shared" si="17"/>
        <v>360000</v>
      </c>
      <c r="S50" s="77">
        <f t="shared" si="18"/>
        <v>57600</v>
      </c>
      <c r="T50" s="77">
        <f t="shared" si="19"/>
        <v>417600</v>
      </c>
      <c r="U50" s="78" t="s">
        <v>50</v>
      </c>
      <c r="V50" s="82" t="s">
        <v>345</v>
      </c>
      <c r="W50" s="83" t="s">
        <v>608</v>
      </c>
    </row>
    <row r="51" spans="1:23" s="29" customFormat="1" ht="28.2" customHeight="1" x14ac:dyDescent="0.3">
      <c r="A51" s="86">
        <v>53</v>
      </c>
      <c r="B51" s="68" t="s">
        <v>47</v>
      </c>
      <c r="C51" s="72" t="s">
        <v>176</v>
      </c>
      <c r="D51" s="68" t="s">
        <v>181</v>
      </c>
      <c r="E51" s="69" t="s">
        <v>46</v>
      </c>
      <c r="F51" s="109" t="s">
        <v>349</v>
      </c>
      <c r="G51" s="79">
        <v>1</v>
      </c>
      <c r="H51" s="80">
        <v>2</v>
      </c>
      <c r="I51" s="48">
        <v>15000</v>
      </c>
      <c r="J51" s="48">
        <f t="shared" si="4"/>
        <v>15000</v>
      </c>
      <c r="K51" s="48">
        <f t="shared" si="4"/>
        <v>15000</v>
      </c>
      <c r="L51" s="48">
        <f t="shared" si="12"/>
        <v>45000</v>
      </c>
      <c r="M51" s="48">
        <f t="shared" si="13"/>
        <v>7200</v>
      </c>
      <c r="N51" s="48">
        <f t="shared" si="14"/>
        <v>52200</v>
      </c>
      <c r="O51" s="77">
        <v>120000</v>
      </c>
      <c r="P51" s="77">
        <f t="shared" si="15"/>
        <v>120000</v>
      </c>
      <c r="Q51" s="77">
        <f t="shared" si="16"/>
        <v>240000</v>
      </c>
      <c r="R51" s="77">
        <f t="shared" si="17"/>
        <v>360000</v>
      </c>
      <c r="S51" s="77">
        <f t="shared" si="18"/>
        <v>57600</v>
      </c>
      <c r="T51" s="77">
        <f t="shared" si="19"/>
        <v>417600</v>
      </c>
      <c r="U51" s="78" t="s">
        <v>50</v>
      </c>
      <c r="V51" s="82" t="s">
        <v>345</v>
      </c>
      <c r="W51" s="83" t="s">
        <v>608</v>
      </c>
    </row>
    <row r="52" spans="1:23" s="29" customFormat="1" ht="28.2" customHeight="1" x14ac:dyDescent="0.3">
      <c r="A52" s="86">
        <v>54</v>
      </c>
      <c r="B52" s="68" t="s">
        <v>47</v>
      </c>
      <c r="C52" s="72" t="s">
        <v>176</v>
      </c>
      <c r="D52" s="68" t="s">
        <v>182</v>
      </c>
      <c r="E52" s="69" t="s">
        <v>46</v>
      </c>
      <c r="F52" s="109" t="s">
        <v>350</v>
      </c>
      <c r="G52" s="79">
        <v>1</v>
      </c>
      <c r="H52" s="80">
        <v>2</v>
      </c>
      <c r="I52" s="48">
        <v>15000</v>
      </c>
      <c r="J52" s="48">
        <f t="shared" si="4"/>
        <v>15000</v>
      </c>
      <c r="K52" s="48">
        <f t="shared" si="4"/>
        <v>15000</v>
      </c>
      <c r="L52" s="48">
        <f t="shared" si="12"/>
        <v>45000</v>
      </c>
      <c r="M52" s="48">
        <f t="shared" si="13"/>
        <v>7200</v>
      </c>
      <c r="N52" s="48">
        <f t="shared" si="14"/>
        <v>52200</v>
      </c>
      <c r="O52" s="77">
        <v>120000</v>
      </c>
      <c r="P52" s="77">
        <f t="shared" si="15"/>
        <v>120000</v>
      </c>
      <c r="Q52" s="77">
        <f t="shared" si="16"/>
        <v>240000</v>
      </c>
      <c r="R52" s="77">
        <f t="shared" si="17"/>
        <v>360000</v>
      </c>
      <c r="S52" s="77">
        <f t="shared" si="18"/>
        <v>57600</v>
      </c>
      <c r="T52" s="77">
        <f t="shared" si="19"/>
        <v>417600</v>
      </c>
      <c r="U52" s="78" t="s">
        <v>50</v>
      </c>
      <c r="V52" s="82" t="s">
        <v>345</v>
      </c>
      <c r="W52" s="83" t="s">
        <v>608</v>
      </c>
    </row>
    <row r="53" spans="1:23" s="29" customFormat="1" ht="28.2" customHeight="1" x14ac:dyDescent="0.3">
      <c r="A53" s="86">
        <v>55</v>
      </c>
      <c r="B53" s="68" t="s">
        <v>47</v>
      </c>
      <c r="C53" s="72" t="s">
        <v>176</v>
      </c>
      <c r="D53" s="73" t="s">
        <v>189</v>
      </c>
      <c r="E53" s="72" t="s">
        <v>46</v>
      </c>
      <c r="F53" s="109" t="s">
        <v>351</v>
      </c>
      <c r="G53" s="79">
        <v>1</v>
      </c>
      <c r="H53" s="80">
        <v>2</v>
      </c>
      <c r="I53" s="48">
        <v>15000</v>
      </c>
      <c r="J53" s="48">
        <f t="shared" si="4"/>
        <v>15000</v>
      </c>
      <c r="K53" s="48">
        <f t="shared" si="4"/>
        <v>15000</v>
      </c>
      <c r="L53" s="48">
        <f t="shared" si="12"/>
        <v>45000</v>
      </c>
      <c r="M53" s="48">
        <f t="shared" si="13"/>
        <v>7200</v>
      </c>
      <c r="N53" s="48">
        <f t="shared" si="14"/>
        <v>52200</v>
      </c>
      <c r="O53" s="77">
        <v>120000</v>
      </c>
      <c r="P53" s="77">
        <f t="shared" si="15"/>
        <v>120000</v>
      </c>
      <c r="Q53" s="77">
        <f t="shared" si="16"/>
        <v>240000</v>
      </c>
      <c r="R53" s="77">
        <f t="shared" si="17"/>
        <v>360000</v>
      </c>
      <c r="S53" s="77">
        <f t="shared" si="18"/>
        <v>57600</v>
      </c>
      <c r="T53" s="77">
        <f t="shared" si="19"/>
        <v>417600</v>
      </c>
      <c r="U53" s="78" t="s">
        <v>50</v>
      </c>
      <c r="V53" s="82" t="s">
        <v>345</v>
      </c>
      <c r="W53" s="83" t="s">
        <v>608</v>
      </c>
    </row>
    <row r="54" spans="1:23" s="29" customFormat="1" ht="28.2" customHeight="1" x14ac:dyDescent="0.3">
      <c r="A54" s="86">
        <v>56</v>
      </c>
      <c r="B54" s="68" t="s">
        <v>47</v>
      </c>
      <c r="C54" s="72" t="s">
        <v>176</v>
      </c>
      <c r="D54" s="68" t="s">
        <v>190</v>
      </c>
      <c r="E54" s="69" t="s">
        <v>46</v>
      </c>
      <c r="F54" s="109" t="s">
        <v>352</v>
      </c>
      <c r="G54" s="79">
        <v>1</v>
      </c>
      <c r="H54" s="80">
        <v>2</v>
      </c>
      <c r="I54" s="48">
        <v>15000</v>
      </c>
      <c r="J54" s="48">
        <f t="shared" si="4"/>
        <v>15000</v>
      </c>
      <c r="K54" s="48">
        <f t="shared" si="4"/>
        <v>15000</v>
      </c>
      <c r="L54" s="48">
        <f t="shared" si="12"/>
        <v>45000</v>
      </c>
      <c r="M54" s="48">
        <f t="shared" si="13"/>
        <v>7200</v>
      </c>
      <c r="N54" s="48">
        <f t="shared" si="14"/>
        <v>52200</v>
      </c>
      <c r="O54" s="77">
        <v>120000</v>
      </c>
      <c r="P54" s="77">
        <f t="shared" si="15"/>
        <v>120000</v>
      </c>
      <c r="Q54" s="77">
        <f t="shared" si="16"/>
        <v>240000</v>
      </c>
      <c r="R54" s="77">
        <f t="shared" si="17"/>
        <v>360000</v>
      </c>
      <c r="S54" s="77">
        <f t="shared" si="18"/>
        <v>57600</v>
      </c>
      <c r="T54" s="77">
        <f t="shared" si="19"/>
        <v>417600</v>
      </c>
      <c r="U54" s="78" t="s">
        <v>50</v>
      </c>
      <c r="V54" s="82" t="s">
        <v>345</v>
      </c>
      <c r="W54" s="83" t="s">
        <v>608</v>
      </c>
    </row>
    <row r="55" spans="1:23" s="29" customFormat="1" ht="28.2" customHeight="1" x14ac:dyDescent="0.3">
      <c r="A55" s="86">
        <v>57</v>
      </c>
      <c r="B55" s="68" t="s">
        <v>47</v>
      </c>
      <c r="C55" s="72" t="s">
        <v>176</v>
      </c>
      <c r="D55" s="73" t="s">
        <v>191</v>
      </c>
      <c r="E55" s="72" t="s">
        <v>46</v>
      </c>
      <c r="F55" s="109" t="s">
        <v>353</v>
      </c>
      <c r="G55" s="79">
        <v>1</v>
      </c>
      <c r="H55" s="80">
        <v>2</v>
      </c>
      <c r="I55" s="48">
        <v>15000</v>
      </c>
      <c r="J55" s="48">
        <f t="shared" si="4"/>
        <v>15000</v>
      </c>
      <c r="K55" s="48">
        <f t="shared" si="4"/>
        <v>15000</v>
      </c>
      <c r="L55" s="48">
        <f t="shared" si="12"/>
        <v>45000</v>
      </c>
      <c r="M55" s="48">
        <f t="shared" si="13"/>
        <v>7200</v>
      </c>
      <c r="N55" s="48">
        <f t="shared" si="14"/>
        <v>52200</v>
      </c>
      <c r="O55" s="77">
        <v>120000</v>
      </c>
      <c r="P55" s="77">
        <f t="shared" si="15"/>
        <v>120000</v>
      </c>
      <c r="Q55" s="77">
        <f t="shared" si="16"/>
        <v>240000</v>
      </c>
      <c r="R55" s="77">
        <f t="shared" si="17"/>
        <v>360000</v>
      </c>
      <c r="S55" s="77">
        <f t="shared" si="18"/>
        <v>57600</v>
      </c>
      <c r="T55" s="77">
        <f t="shared" si="19"/>
        <v>417600</v>
      </c>
      <c r="U55" s="78" t="s">
        <v>50</v>
      </c>
      <c r="V55" s="82" t="s">
        <v>345</v>
      </c>
      <c r="W55" s="83" t="s">
        <v>608</v>
      </c>
    </row>
    <row r="56" spans="1:23" s="30" customFormat="1" ht="28.2" customHeight="1" x14ac:dyDescent="0.3">
      <c r="A56" s="86">
        <v>58</v>
      </c>
      <c r="B56" s="68" t="s">
        <v>47</v>
      </c>
      <c r="C56" s="72" t="s">
        <v>176</v>
      </c>
      <c r="D56" s="68" t="s">
        <v>192</v>
      </c>
      <c r="E56" s="69" t="s">
        <v>46</v>
      </c>
      <c r="F56" s="109" t="s">
        <v>354</v>
      </c>
      <c r="G56" s="79">
        <v>1</v>
      </c>
      <c r="H56" s="80">
        <v>2</v>
      </c>
      <c r="I56" s="48">
        <v>15000</v>
      </c>
      <c r="J56" s="48">
        <f t="shared" si="4"/>
        <v>15000</v>
      </c>
      <c r="K56" s="48">
        <f t="shared" si="4"/>
        <v>15000</v>
      </c>
      <c r="L56" s="48">
        <f t="shared" si="12"/>
        <v>45000</v>
      </c>
      <c r="M56" s="48">
        <f t="shared" si="13"/>
        <v>7200</v>
      </c>
      <c r="N56" s="48">
        <f t="shared" si="14"/>
        <v>52200</v>
      </c>
      <c r="O56" s="77">
        <v>120000</v>
      </c>
      <c r="P56" s="77">
        <f t="shared" si="15"/>
        <v>120000</v>
      </c>
      <c r="Q56" s="77">
        <f t="shared" si="16"/>
        <v>240000</v>
      </c>
      <c r="R56" s="77">
        <f t="shared" si="17"/>
        <v>360000</v>
      </c>
      <c r="S56" s="77">
        <f t="shared" si="18"/>
        <v>57600</v>
      </c>
      <c r="T56" s="77">
        <f t="shared" si="19"/>
        <v>417600</v>
      </c>
      <c r="U56" s="78" t="s">
        <v>50</v>
      </c>
      <c r="V56" s="84" t="s">
        <v>345</v>
      </c>
      <c r="W56" s="83" t="s">
        <v>608</v>
      </c>
    </row>
    <row r="57" spans="1:23" ht="28.2" customHeight="1" x14ac:dyDescent="0.3">
      <c r="A57" s="86">
        <v>59</v>
      </c>
      <c r="B57" s="74" t="s">
        <v>47</v>
      </c>
      <c r="C57" s="75" t="s">
        <v>176</v>
      </c>
      <c r="D57" s="74" t="s">
        <v>193</v>
      </c>
      <c r="E57" s="75" t="s">
        <v>46</v>
      </c>
      <c r="F57" s="109" t="s">
        <v>355</v>
      </c>
      <c r="G57" s="79">
        <v>1</v>
      </c>
      <c r="H57" s="80">
        <v>2</v>
      </c>
      <c r="I57" s="48">
        <v>15000</v>
      </c>
      <c r="J57" s="48">
        <f t="shared" si="4"/>
        <v>15000</v>
      </c>
      <c r="K57" s="48">
        <f t="shared" si="4"/>
        <v>15000</v>
      </c>
      <c r="L57" s="48">
        <f t="shared" si="12"/>
        <v>45000</v>
      </c>
      <c r="M57" s="48">
        <f t="shared" si="13"/>
        <v>7200</v>
      </c>
      <c r="N57" s="48">
        <f t="shared" si="14"/>
        <v>52200</v>
      </c>
      <c r="O57" s="77">
        <v>120000</v>
      </c>
      <c r="P57" s="77">
        <f t="shared" si="15"/>
        <v>120000</v>
      </c>
      <c r="Q57" s="77">
        <f t="shared" si="16"/>
        <v>240000</v>
      </c>
      <c r="R57" s="77">
        <f t="shared" si="17"/>
        <v>360000</v>
      </c>
      <c r="S57" s="77">
        <f t="shared" si="18"/>
        <v>57600</v>
      </c>
      <c r="T57" s="77">
        <f t="shared" si="19"/>
        <v>417600</v>
      </c>
      <c r="U57" s="78" t="s">
        <v>50</v>
      </c>
      <c r="V57" s="81" t="s">
        <v>345</v>
      </c>
      <c r="W57" s="83" t="s">
        <v>608</v>
      </c>
    </row>
    <row r="58" spans="1:23" ht="28.2" customHeight="1" x14ac:dyDescent="0.3">
      <c r="A58" s="86">
        <v>60</v>
      </c>
      <c r="B58" s="68" t="s">
        <v>47</v>
      </c>
      <c r="C58" s="69" t="s">
        <v>176</v>
      </c>
      <c r="D58" s="68" t="s">
        <v>194</v>
      </c>
      <c r="E58" s="69" t="s">
        <v>46</v>
      </c>
      <c r="F58" s="109" t="s">
        <v>356</v>
      </c>
      <c r="G58" s="79">
        <v>1</v>
      </c>
      <c r="H58" s="80">
        <v>2</v>
      </c>
      <c r="I58" s="48">
        <v>15000</v>
      </c>
      <c r="J58" s="48">
        <f t="shared" si="4"/>
        <v>15000</v>
      </c>
      <c r="K58" s="48">
        <f t="shared" si="4"/>
        <v>15000</v>
      </c>
      <c r="L58" s="48">
        <f t="shared" si="12"/>
        <v>45000</v>
      </c>
      <c r="M58" s="48">
        <f t="shared" si="13"/>
        <v>7200</v>
      </c>
      <c r="N58" s="48">
        <f t="shared" si="14"/>
        <v>52200</v>
      </c>
      <c r="O58" s="77">
        <v>120000</v>
      </c>
      <c r="P58" s="77">
        <f t="shared" si="15"/>
        <v>120000</v>
      </c>
      <c r="Q58" s="77">
        <f t="shared" si="16"/>
        <v>240000</v>
      </c>
      <c r="R58" s="77">
        <f t="shared" si="17"/>
        <v>360000</v>
      </c>
      <c r="S58" s="77">
        <f t="shared" si="18"/>
        <v>57600</v>
      </c>
      <c r="T58" s="77">
        <f t="shared" si="19"/>
        <v>417600</v>
      </c>
      <c r="U58" s="78" t="s">
        <v>50</v>
      </c>
      <c r="V58" s="81" t="s">
        <v>345</v>
      </c>
      <c r="W58" s="83" t="s">
        <v>608</v>
      </c>
    </row>
    <row r="59" spans="1:23" ht="28.2" customHeight="1" x14ac:dyDescent="0.3">
      <c r="A59" s="86">
        <v>61</v>
      </c>
      <c r="B59" s="68" t="s">
        <v>47</v>
      </c>
      <c r="C59" s="69" t="s">
        <v>206</v>
      </c>
      <c r="D59" s="68" t="s">
        <v>207</v>
      </c>
      <c r="E59" s="69" t="s">
        <v>46</v>
      </c>
      <c r="F59" s="109" t="s">
        <v>357</v>
      </c>
      <c r="G59" s="79">
        <v>1</v>
      </c>
      <c r="H59" s="80">
        <v>2</v>
      </c>
      <c r="I59" s="48">
        <v>20000</v>
      </c>
      <c r="J59" s="48">
        <f t="shared" si="4"/>
        <v>20000</v>
      </c>
      <c r="K59" s="48">
        <f t="shared" si="4"/>
        <v>20000</v>
      </c>
      <c r="L59" s="48">
        <f t="shared" si="12"/>
        <v>60000</v>
      </c>
      <c r="M59" s="48">
        <f t="shared" si="13"/>
        <v>9600</v>
      </c>
      <c r="N59" s="48">
        <f t="shared" si="14"/>
        <v>69600</v>
      </c>
      <c r="O59" s="77">
        <v>150000</v>
      </c>
      <c r="P59" s="77">
        <f t="shared" si="15"/>
        <v>150000</v>
      </c>
      <c r="Q59" s="77">
        <f t="shared" si="16"/>
        <v>300000</v>
      </c>
      <c r="R59" s="77">
        <f t="shared" si="17"/>
        <v>450000</v>
      </c>
      <c r="S59" s="77">
        <f t="shared" si="18"/>
        <v>72000</v>
      </c>
      <c r="T59" s="77">
        <f t="shared" si="19"/>
        <v>522000</v>
      </c>
      <c r="U59" s="78" t="s">
        <v>50</v>
      </c>
      <c r="V59" s="81" t="s">
        <v>345</v>
      </c>
      <c r="W59" s="83" t="s">
        <v>608</v>
      </c>
    </row>
    <row r="60" spans="1:23" ht="28.2" customHeight="1" x14ac:dyDescent="0.3">
      <c r="A60" s="86">
        <v>62</v>
      </c>
      <c r="B60" s="68" t="s">
        <v>47</v>
      </c>
      <c r="C60" s="69" t="s">
        <v>206</v>
      </c>
      <c r="D60" s="68" t="s">
        <v>208</v>
      </c>
      <c r="E60" s="69" t="s">
        <v>46</v>
      </c>
      <c r="F60" s="109" t="s">
        <v>358</v>
      </c>
      <c r="G60" s="79">
        <v>1</v>
      </c>
      <c r="H60" s="80">
        <v>2</v>
      </c>
      <c r="I60" s="48">
        <v>20000</v>
      </c>
      <c r="J60" s="48">
        <f t="shared" si="4"/>
        <v>20000</v>
      </c>
      <c r="K60" s="48">
        <f t="shared" si="4"/>
        <v>20000</v>
      </c>
      <c r="L60" s="48">
        <f t="shared" si="12"/>
        <v>60000</v>
      </c>
      <c r="M60" s="48">
        <f t="shared" si="13"/>
        <v>9600</v>
      </c>
      <c r="N60" s="48">
        <f t="shared" si="14"/>
        <v>69600</v>
      </c>
      <c r="O60" s="77">
        <v>150000</v>
      </c>
      <c r="P60" s="77">
        <f t="shared" si="15"/>
        <v>150000</v>
      </c>
      <c r="Q60" s="77">
        <f t="shared" si="16"/>
        <v>300000</v>
      </c>
      <c r="R60" s="77">
        <f t="shared" si="17"/>
        <v>450000</v>
      </c>
      <c r="S60" s="77">
        <f t="shared" si="18"/>
        <v>72000</v>
      </c>
      <c r="T60" s="77">
        <f t="shared" si="19"/>
        <v>522000</v>
      </c>
      <c r="U60" s="78" t="s">
        <v>50</v>
      </c>
      <c r="V60" s="81" t="s">
        <v>345</v>
      </c>
      <c r="W60" s="83" t="s">
        <v>608</v>
      </c>
    </row>
    <row r="61" spans="1:23" ht="28.2" customHeight="1" x14ac:dyDescent="0.3">
      <c r="A61" s="86">
        <v>63</v>
      </c>
      <c r="B61" s="68" t="s">
        <v>47</v>
      </c>
      <c r="C61" s="69" t="s">
        <v>206</v>
      </c>
      <c r="D61" s="68" t="s">
        <v>209</v>
      </c>
      <c r="E61" s="69" t="s">
        <v>46</v>
      </c>
      <c r="F61" s="109" t="s">
        <v>359</v>
      </c>
      <c r="G61" s="79">
        <v>1</v>
      </c>
      <c r="H61" s="80">
        <v>2</v>
      </c>
      <c r="I61" s="48">
        <v>20000</v>
      </c>
      <c r="J61" s="48">
        <f t="shared" si="4"/>
        <v>20000</v>
      </c>
      <c r="K61" s="48">
        <f t="shared" si="4"/>
        <v>20000</v>
      </c>
      <c r="L61" s="48">
        <f t="shared" si="12"/>
        <v>60000</v>
      </c>
      <c r="M61" s="48">
        <f t="shared" si="13"/>
        <v>9600</v>
      </c>
      <c r="N61" s="48">
        <f t="shared" si="14"/>
        <v>69600</v>
      </c>
      <c r="O61" s="77">
        <v>150000</v>
      </c>
      <c r="P61" s="77">
        <f t="shared" si="15"/>
        <v>150000</v>
      </c>
      <c r="Q61" s="77">
        <f t="shared" si="16"/>
        <v>300000</v>
      </c>
      <c r="R61" s="77">
        <f t="shared" si="17"/>
        <v>450000</v>
      </c>
      <c r="S61" s="77">
        <f t="shared" si="18"/>
        <v>72000</v>
      </c>
      <c r="T61" s="77">
        <f t="shared" si="19"/>
        <v>522000</v>
      </c>
      <c r="U61" s="78" t="s">
        <v>50</v>
      </c>
      <c r="V61" s="81" t="s">
        <v>345</v>
      </c>
      <c r="W61" s="83" t="s">
        <v>608</v>
      </c>
    </row>
    <row r="62" spans="1:23" ht="28.2" customHeight="1" x14ac:dyDescent="0.3">
      <c r="A62" s="86">
        <v>64</v>
      </c>
      <c r="B62" s="68" t="s">
        <v>47</v>
      </c>
      <c r="C62" s="69" t="s">
        <v>206</v>
      </c>
      <c r="D62" s="68" t="s">
        <v>210</v>
      </c>
      <c r="E62" s="69" t="s">
        <v>46</v>
      </c>
      <c r="F62" s="109" t="s">
        <v>360</v>
      </c>
      <c r="G62" s="79">
        <v>1</v>
      </c>
      <c r="H62" s="80">
        <v>2</v>
      </c>
      <c r="I62" s="48">
        <v>20000</v>
      </c>
      <c r="J62" s="48">
        <f t="shared" si="4"/>
        <v>20000</v>
      </c>
      <c r="K62" s="48">
        <f t="shared" si="4"/>
        <v>20000</v>
      </c>
      <c r="L62" s="48">
        <f t="shared" si="12"/>
        <v>60000</v>
      </c>
      <c r="M62" s="48">
        <f t="shared" si="13"/>
        <v>9600</v>
      </c>
      <c r="N62" s="48">
        <f t="shared" si="14"/>
        <v>69600</v>
      </c>
      <c r="O62" s="77">
        <v>150000</v>
      </c>
      <c r="P62" s="77">
        <f t="shared" si="15"/>
        <v>150000</v>
      </c>
      <c r="Q62" s="77">
        <f t="shared" si="16"/>
        <v>300000</v>
      </c>
      <c r="R62" s="77">
        <f t="shared" si="17"/>
        <v>450000</v>
      </c>
      <c r="S62" s="77">
        <f t="shared" si="18"/>
        <v>72000</v>
      </c>
      <c r="T62" s="77">
        <f t="shared" si="19"/>
        <v>522000</v>
      </c>
      <c r="U62" s="78" t="s">
        <v>50</v>
      </c>
      <c r="V62" s="81" t="s">
        <v>345</v>
      </c>
      <c r="W62" s="83" t="s">
        <v>608</v>
      </c>
    </row>
    <row r="63" spans="1:23" ht="28.2" customHeight="1" x14ac:dyDescent="0.3">
      <c r="A63" s="86">
        <v>65</v>
      </c>
      <c r="B63" s="68" t="s">
        <v>47</v>
      </c>
      <c r="C63" s="69" t="s">
        <v>206</v>
      </c>
      <c r="D63" s="68" t="s">
        <v>211</v>
      </c>
      <c r="E63" s="69" t="s">
        <v>46</v>
      </c>
      <c r="F63" s="109" t="s">
        <v>361</v>
      </c>
      <c r="G63" s="79">
        <v>1</v>
      </c>
      <c r="H63" s="80">
        <v>2</v>
      </c>
      <c r="I63" s="48">
        <v>20000</v>
      </c>
      <c r="J63" s="48">
        <f t="shared" si="4"/>
        <v>20000</v>
      </c>
      <c r="K63" s="48">
        <f t="shared" si="4"/>
        <v>20000</v>
      </c>
      <c r="L63" s="48">
        <f t="shared" si="12"/>
        <v>60000</v>
      </c>
      <c r="M63" s="48">
        <f t="shared" si="13"/>
        <v>9600</v>
      </c>
      <c r="N63" s="48">
        <f t="shared" si="14"/>
        <v>69600</v>
      </c>
      <c r="O63" s="77">
        <v>150000</v>
      </c>
      <c r="P63" s="77">
        <f t="shared" si="15"/>
        <v>150000</v>
      </c>
      <c r="Q63" s="77">
        <f t="shared" si="16"/>
        <v>300000</v>
      </c>
      <c r="R63" s="77">
        <f t="shared" si="17"/>
        <v>450000</v>
      </c>
      <c r="S63" s="77">
        <f t="shared" si="18"/>
        <v>72000</v>
      </c>
      <c r="T63" s="77">
        <f t="shared" si="19"/>
        <v>522000</v>
      </c>
      <c r="U63" s="78" t="s">
        <v>50</v>
      </c>
      <c r="V63" s="81" t="s">
        <v>345</v>
      </c>
      <c r="W63" s="83" t="s">
        <v>608</v>
      </c>
    </row>
    <row r="64" spans="1:23" ht="28.2" customHeight="1" x14ac:dyDescent="0.3">
      <c r="A64" s="86">
        <v>68</v>
      </c>
      <c r="B64" s="68" t="s">
        <v>47</v>
      </c>
      <c r="C64" s="69" t="s">
        <v>212</v>
      </c>
      <c r="D64" s="68" t="s">
        <v>213</v>
      </c>
      <c r="E64" s="69" t="s">
        <v>46</v>
      </c>
      <c r="F64" s="109" t="s">
        <v>362</v>
      </c>
      <c r="G64" s="79">
        <v>1</v>
      </c>
      <c r="H64" s="79">
        <v>2</v>
      </c>
      <c r="I64" s="48">
        <v>40000</v>
      </c>
      <c r="J64" s="48">
        <f t="shared" si="4"/>
        <v>40000</v>
      </c>
      <c r="K64" s="48">
        <f t="shared" si="4"/>
        <v>40000</v>
      </c>
      <c r="L64" s="48">
        <f t="shared" si="12"/>
        <v>120000</v>
      </c>
      <c r="M64" s="48">
        <f t="shared" si="13"/>
        <v>19200</v>
      </c>
      <c r="N64" s="48">
        <f t="shared" si="14"/>
        <v>139200</v>
      </c>
      <c r="O64" s="77">
        <v>150000</v>
      </c>
      <c r="P64" s="77">
        <f t="shared" si="15"/>
        <v>150000</v>
      </c>
      <c r="Q64" s="77">
        <f t="shared" si="16"/>
        <v>300000</v>
      </c>
      <c r="R64" s="77">
        <f t="shared" si="17"/>
        <v>450000</v>
      </c>
      <c r="S64" s="77">
        <f t="shared" si="18"/>
        <v>72000</v>
      </c>
      <c r="T64" s="77">
        <f t="shared" si="19"/>
        <v>522000</v>
      </c>
      <c r="U64" s="78" t="s">
        <v>50</v>
      </c>
      <c r="V64" s="81" t="s">
        <v>345</v>
      </c>
      <c r="W64" s="83" t="s">
        <v>608</v>
      </c>
    </row>
    <row r="65" spans="1:23" ht="28.2" customHeight="1" x14ac:dyDescent="0.3">
      <c r="A65" s="86">
        <v>69</v>
      </c>
      <c r="B65" s="68" t="s">
        <v>47</v>
      </c>
      <c r="C65" s="69" t="s">
        <v>212</v>
      </c>
      <c r="D65" s="68" t="s">
        <v>223</v>
      </c>
      <c r="E65" s="69" t="s">
        <v>46</v>
      </c>
      <c r="F65" s="109" t="s">
        <v>363</v>
      </c>
      <c r="G65" s="79">
        <v>1</v>
      </c>
      <c r="H65" s="79">
        <v>2</v>
      </c>
      <c r="I65" s="48">
        <v>40000</v>
      </c>
      <c r="J65" s="48">
        <f t="shared" si="4"/>
        <v>40000</v>
      </c>
      <c r="K65" s="48">
        <f t="shared" si="4"/>
        <v>40000</v>
      </c>
      <c r="L65" s="48">
        <f t="shared" si="12"/>
        <v>120000</v>
      </c>
      <c r="M65" s="48">
        <f t="shared" si="13"/>
        <v>19200</v>
      </c>
      <c r="N65" s="48">
        <f t="shared" si="14"/>
        <v>139200</v>
      </c>
      <c r="O65" s="77">
        <v>150000</v>
      </c>
      <c r="P65" s="77">
        <f t="shared" si="15"/>
        <v>150000</v>
      </c>
      <c r="Q65" s="77">
        <f t="shared" si="16"/>
        <v>300000</v>
      </c>
      <c r="R65" s="77">
        <f t="shared" si="17"/>
        <v>450000</v>
      </c>
      <c r="S65" s="77">
        <f t="shared" si="18"/>
        <v>72000</v>
      </c>
      <c r="T65" s="77">
        <f t="shared" si="19"/>
        <v>522000</v>
      </c>
      <c r="U65" s="78" t="s">
        <v>50</v>
      </c>
      <c r="V65" s="81" t="s">
        <v>345</v>
      </c>
      <c r="W65" s="83" t="s">
        <v>608</v>
      </c>
    </row>
    <row r="66" spans="1:23" ht="28.2" customHeight="1" x14ac:dyDescent="0.3">
      <c r="A66" s="86">
        <v>70</v>
      </c>
      <c r="B66" s="68" t="s">
        <v>47</v>
      </c>
      <c r="C66" s="69" t="s">
        <v>110</v>
      </c>
      <c r="D66" s="68" t="s">
        <v>111</v>
      </c>
      <c r="E66" s="69" t="s">
        <v>46</v>
      </c>
      <c r="F66" s="109" t="s">
        <v>364</v>
      </c>
      <c r="G66" s="79">
        <v>1</v>
      </c>
      <c r="H66" s="79">
        <v>2</v>
      </c>
      <c r="I66" s="48">
        <v>72500</v>
      </c>
      <c r="J66" s="48">
        <f t="shared" si="4"/>
        <v>72500</v>
      </c>
      <c r="K66" s="48">
        <f t="shared" si="4"/>
        <v>72500</v>
      </c>
      <c r="L66" s="48">
        <f t="shared" si="12"/>
        <v>217500</v>
      </c>
      <c r="M66" s="48">
        <f t="shared" si="13"/>
        <v>34800</v>
      </c>
      <c r="N66" s="48">
        <f t="shared" si="14"/>
        <v>252300</v>
      </c>
      <c r="O66" s="77">
        <v>290000</v>
      </c>
      <c r="P66" s="77">
        <f t="shared" si="15"/>
        <v>290000</v>
      </c>
      <c r="Q66" s="77">
        <f t="shared" si="16"/>
        <v>580000</v>
      </c>
      <c r="R66" s="77">
        <f t="shared" si="17"/>
        <v>870000</v>
      </c>
      <c r="S66" s="77">
        <f t="shared" si="18"/>
        <v>139200</v>
      </c>
      <c r="T66" s="77">
        <f t="shared" si="19"/>
        <v>1009200</v>
      </c>
      <c r="U66" s="78" t="s">
        <v>50</v>
      </c>
      <c r="V66" s="81" t="s">
        <v>295</v>
      </c>
      <c r="W66" s="83" t="s">
        <v>608</v>
      </c>
    </row>
    <row r="67" spans="1:23" ht="28.2" customHeight="1" x14ac:dyDescent="0.3">
      <c r="A67" s="86">
        <v>71</v>
      </c>
      <c r="B67" s="68" t="s">
        <v>47</v>
      </c>
      <c r="C67" s="69" t="s">
        <v>67</v>
      </c>
      <c r="D67" s="68" t="s">
        <v>68</v>
      </c>
      <c r="E67" s="69" t="s">
        <v>46</v>
      </c>
      <c r="F67" s="109" t="s">
        <v>365</v>
      </c>
      <c r="G67" s="79">
        <v>1</v>
      </c>
      <c r="H67" s="79">
        <v>2</v>
      </c>
      <c r="I67" s="48">
        <v>350000</v>
      </c>
      <c r="J67" s="48">
        <f t="shared" si="4"/>
        <v>350000</v>
      </c>
      <c r="K67" s="48">
        <f t="shared" si="4"/>
        <v>350000</v>
      </c>
      <c r="L67" s="48">
        <f t="shared" si="12"/>
        <v>1050000</v>
      </c>
      <c r="M67" s="48">
        <f t="shared" si="13"/>
        <v>168000</v>
      </c>
      <c r="N67" s="48">
        <f t="shared" si="14"/>
        <v>1218000</v>
      </c>
      <c r="O67" s="77">
        <v>450000</v>
      </c>
      <c r="P67" s="77">
        <f t="shared" si="15"/>
        <v>450000</v>
      </c>
      <c r="Q67" s="77">
        <f t="shared" si="16"/>
        <v>900000</v>
      </c>
      <c r="R67" s="77">
        <f t="shared" si="17"/>
        <v>1350000</v>
      </c>
      <c r="S67" s="77">
        <f t="shared" si="18"/>
        <v>216000</v>
      </c>
      <c r="T67" s="77">
        <f t="shared" si="19"/>
        <v>1566000</v>
      </c>
      <c r="U67" s="78" t="s">
        <v>50</v>
      </c>
      <c r="V67" s="81" t="s">
        <v>300</v>
      </c>
      <c r="W67" s="83" t="s">
        <v>608</v>
      </c>
    </row>
    <row r="68" spans="1:23" s="2" customFormat="1" ht="28.2" customHeight="1" x14ac:dyDescent="0.3">
      <c r="A68" s="86">
        <v>72</v>
      </c>
      <c r="B68" s="68" t="s">
        <v>47</v>
      </c>
      <c r="C68" s="69" t="s">
        <v>112</v>
      </c>
      <c r="D68" s="68" t="s">
        <v>113</v>
      </c>
      <c r="E68" s="69" t="s">
        <v>46</v>
      </c>
      <c r="F68" s="109" t="s">
        <v>366</v>
      </c>
      <c r="G68" s="79">
        <v>1</v>
      </c>
      <c r="H68" s="79">
        <v>2</v>
      </c>
      <c r="I68" s="48">
        <v>80000</v>
      </c>
      <c r="J68" s="48">
        <f t="shared" si="4"/>
        <v>80000</v>
      </c>
      <c r="K68" s="48">
        <f t="shared" si="4"/>
        <v>80000</v>
      </c>
      <c r="L68" s="48">
        <f t="shared" si="12"/>
        <v>240000</v>
      </c>
      <c r="M68" s="48">
        <f t="shared" si="13"/>
        <v>38400</v>
      </c>
      <c r="N68" s="48">
        <f t="shared" si="14"/>
        <v>278400</v>
      </c>
      <c r="O68" s="77">
        <v>250000</v>
      </c>
      <c r="P68" s="77">
        <f t="shared" si="15"/>
        <v>250000</v>
      </c>
      <c r="Q68" s="77">
        <f t="shared" si="16"/>
        <v>500000</v>
      </c>
      <c r="R68" s="77">
        <f t="shared" si="17"/>
        <v>750000</v>
      </c>
      <c r="S68" s="77">
        <f t="shared" si="18"/>
        <v>120000</v>
      </c>
      <c r="T68" s="77">
        <f t="shared" si="19"/>
        <v>870000</v>
      </c>
      <c r="U68" s="78" t="s">
        <v>50</v>
      </c>
      <c r="V68" s="81" t="s">
        <v>295</v>
      </c>
      <c r="W68" s="83" t="s">
        <v>608</v>
      </c>
    </row>
    <row r="69" spans="1:23" s="2" customFormat="1" ht="28.2" customHeight="1" x14ac:dyDescent="0.3">
      <c r="A69" s="86">
        <v>73</v>
      </c>
      <c r="B69" s="68" t="s">
        <v>47</v>
      </c>
      <c r="C69" s="69" t="s">
        <v>112</v>
      </c>
      <c r="D69" s="68" t="s">
        <v>114</v>
      </c>
      <c r="E69" s="69" t="s">
        <v>46</v>
      </c>
      <c r="F69" s="109" t="s">
        <v>367</v>
      </c>
      <c r="G69" s="79">
        <v>1</v>
      </c>
      <c r="H69" s="79">
        <v>2</v>
      </c>
      <c r="I69" s="48">
        <v>80000</v>
      </c>
      <c r="J69" s="48">
        <f t="shared" si="4"/>
        <v>80000</v>
      </c>
      <c r="K69" s="48">
        <f t="shared" si="4"/>
        <v>80000</v>
      </c>
      <c r="L69" s="48">
        <f t="shared" si="12"/>
        <v>240000</v>
      </c>
      <c r="M69" s="48">
        <f t="shared" si="13"/>
        <v>38400</v>
      </c>
      <c r="N69" s="48">
        <f t="shared" si="14"/>
        <v>278400</v>
      </c>
      <c r="O69" s="77">
        <v>250000</v>
      </c>
      <c r="P69" s="77">
        <f t="shared" si="15"/>
        <v>250000</v>
      </c>
      <c r="Q69" s="77">
        <f t="shared" si="16"/>
        <v>500000</v>
      </c>
      <c r="R69" s="77">
        <f t="shared" si="17"/>
        <v>750000</v>
      </c>
      <c r="S69" s="77">
        <f t="shared" si="18"/>
        <v>120000</v>
      </c>
      <c r="T69" s="77">
        <f t="shared" si="19"/>
        <v>870000</v>
      </c>
      <c r="U69" s="78" t="s">
        <v>50</v>
      </c>
      <c r="V69" s="81" t="s">
        <v>295</v>
      </c>
      <c r="W69" s="83" t="s">
        <v>608</v>
      </c>
    </row>
    <row r="70" spans="1:23" s="2" customFormat="1" ht="28.2" customHeight="1" x14ac:dyDescent="0.3">
      <c r="A70" s="86">
        <v>74</v>
      </c>
      <c r="B70" s="68" t="s">
        <v>47</v>
      </c>
      <c r="C70" s="69" t="s">
        <v>115</v>
      </c>
      <c r="D70" s="68" t="s">
        <v>116</v>
      </c>
      <c r="E70" s="69" t="s">
        <v>46</v>
      </c>
      <c r="F70" s="109" t="s">
        <v>368</v>
      </c>
      <c r="G70" s="79">
        <v>1</v>
      </c>
      <c r="H70" s="79">
        <v>2</v>
      </c>
      <c r="I70" s="48">
        <v>65000</v>
      </c>
      <c r="J70" s="48">
        <f t="shared" si="4"/>
        <v>65000</v>
      </c>
      <c r="K70" s="48">
        <f t="shared" si="4"/>
        <v>65000</v>
      </c>
      <c r="L70" s="48">
        <f t="shared" si="12"/>
        <v>195000</v>
      </c>
      <c r="M70" s="48">
        <f t="shared" si="13"/>
        <v>31200</v>
      </c>
      <c r="N70" s="48">
        <f t="shared" si="14"/>
        <v>226200</v>
      </c>
      <c r="O70" s="77">
        <v>250000</v>
      </c>
      <c r="P70" s="77">
        <f t="shared" si="15"/>
        <v>250000</v>
      </c>
      <c r="Q70" s="77">
        <f t="shared" si="16"/>
        <v>500000</v>
      </c>
      <c r="R70" s="77">
        <f t="shared" si="17"/>
        <v>750000</v>
      </c>
      <c r="S70" s="77">
        <f t="shared" si="18"/>
        <v>120000</v>
      </c>
      <c r="T70" s="77">
        <f t="shared" si="19"/>
        <v>870000</v>
      </c>
      <c r="U70" s="78" t="s">
        <v>50</v>
      </c>
      <c r="V70" s="81" t="s">
        <v>295</v>
      </c>
      <c r="W70" s="83" t="s">
        <v>608</v>
      </c>
    </row>
    <row r="71" spans="1:23" s="2" customFormat="1" ht="28.2" customHeight="1" x14ac:dyDescent="0.3">
      <c r="A71" s="86">
        <v>75</v>
      </c>
      <c r="B71" s="68" t="s">
        <v>47</v>
      </c>
      <c r="C71" s="69" t="s">
        <v>224</v>
      </c>
      <c r="D71" s="68" t="s">
        <v>225</v>
      </c>
      <c r="E71" s="69" t="s">
        <v>46</v>
      </c>
      <c r="F71" s="109" t="s">
        <v>369</v>
      </c>
      <c r="G71" s="79">
        <v>2</v>
      </c>
      <c r="H71" s="79">
        <v>4</v>
      </c>
      <c r="I71" s="48">
        <v>90000</v>
      </c>
      <c r="J71" s="48">
        <f t="shared" si="4"/>
        <v>90000</v>
      </c>
      <c r="K71" s="48">
        <f t="shared" si="4"/>
        <v>90000</v>
      </c>
      <c r="L71" s="48">
        <f t="shared" si="12"/>
        <v>270000</v>
      </c>
      <c r="M71" s="48">
        <f t="shared" si="13"/>
        <v>43200</v>
      </c>
      <c r="N71" s="48">
        <f t="shared" si="14"/>
        <v>313200</v>
      </c>
      <c r="O71" s="77">
        <v>220000</v>
      </c>
      <c r="P71" s="77">
        <f t="shared" si="15"/>
        <v>440000</v>
      </c>
      <c r="Q71" s="77">
        <f t="shared" si="16"/>
        <v>880000</v>
      </c>
      <c r="R71" s="77">
        <f t="shared" si="17"/>
        <v>1320000</v>
      </c>
      <c r="S71" s="77">
        <f t="shared" si="18"/>
        <v>211200</v>
      </c>
      <c r="T71" s="77">
        <f t="shared" si="19"/>
        <v>1531200</v>
      </c>
      <c r="U71" s="78" t="s">
        <v>50</v>
      </c>
      <c r="V71" s="81" t="s">
        <v>345</v>
      </c>
      <c r="W71" s="83" t="s">
        <v>608</v>
      </c>
    </row>
    <row r="72" spans="1:23" ht="28.2" customHeight="1" x14ac:dyDescent="0.3">
      <c r="A72" s="86">
        <v>76</v>
      </c>
      <c r="B72" s="68" t="s">
        <v>47</v>
      </c>
      <c r="C72" s="69" t="s">
        <v>224</v>
      </c>
      <c r="D72" s="68" t="s">
        <v>226</v>
      </c>
      <c r="E72" s="69" t="s">
        <v>46</v>
      </c>
      <c r="F72" s="109" t="s">
        <v>370</v>
      </c>
      <c r="G72" s="79">
        <v>1</v>
      </c>
      <c r="H72" s="79">
        <v>2</v>
      </c>
      <c r="I72" s="48">
        <v>90000</v>
      </c>
      <c r="J72" s="48">
        <f t="shared" si="4"/>
        <v>90000</v>
      </c>
      <c r="K72" s="48">
        <f t="shared" si="4"/>
        <v>90000</v>
      </c>
      <c r="L72" s="48">
        <f t="shared" si="12"/>
        <v>270000</v>
      </c>
      <c r="M72" s="48">
        <f t="shared" si="13"/>
        <v>43200</v>
      </c>
      <c r="N72" s="48">
        <f t="shared" si="14"/>
        <v>313200</v>
      </c>
      <c r="O72" s="77">
        <v>220000</v>
      </c>
      <c r="P72" s="77">
        <f t="shared" si="15"/>
        <v>220000</v>
      </c>
      <c r="Q72" s="77">
        <f t="shared" si="16"/>
        <v>440000</v>
      </c>
      <c r="R72" s="77">
        <f t="shared" si="17"/>
        <v>660000</v>
      </c>
      <c r="S72" s="77">
        <f t="shared" si="18"/>
        <v>105600</v>
      </c>
      <c r="T72" s="77">
        <f t="shared" si="19"/>
        <v>765600</v>
      </c>
      <c r="U72" s="78" t="s">
        <v>50</v>
      </c>
      <c r="V72" s="81" t="s">
        <v>345</v>
      </c>
      <c r="W72" s="83" t="s">
        <v>608</v>
      </c>
    </row>
    <row r="73" spans="1:23" s="2" customFormat="1" ht="28.2" customHeight="1" x14ac:dyDescent="0.3">
      <c r="A73" s="86">
        <v>77</v>
      </c>
      <c r="B73" s="68" t="s">
        <v>47</v>
      </c>
      <c r="C73" s="69" t="s">
        <v>224</v>
      </c>
      <c r="D73" s="68" t="s">
        <v>227</v>
      </c>
      <c r="E73" s="69" t="s">
        <v>46</v>
      </c>
      <c r="F73" s="109" t="s">
        <v>371</v>
      </c>
      <c r="G73" s="79">
        <v>1</v>
      </c>
      <c r="H73" s="79">
        <v>2</v>
      </c>
      <c r="I73" s="48">
        <v>90000</v>
      </c>
      <c r="J73" s="48">
        <f t="shared" si="4"/>
        <v>90000</v>
      </c>
      <c r="K73" s="48">
        <f t="shared" si="4"/>
        <v>90000</v>
      </c>
      <c r="L73" s="48">
        <f t="shared" si="12"/>
        <v>270000</v>
      </c>
      <c r="M73" s="48">
        <f t="shared" si="13"/>
        <v>43200</v>
      </c>
      <c r="N73" s="48">
        <f t="shared" si="14"/>
        <v>313200</v>
      </c>
      <c r="O73" s="77">
        <v>220000</v>
      </c>
      <c r="P73" s="77">
        <f t="shared" si="15"/>
        <v>220000</v>
      </c>
      <c r="Q73" s="77">
        <f t="shared" si="16"/>
        <v>440000</v>
      </c>
      <c r="R73" s="77">
        <f t="shared" si="17"/>
        <v>660000</v>
      </c>
      <c r="S73" s="77">
        <f t="shared" si="18"/>
        <v>105600</v>
      </c>
      <c r="T73" s="77">
        <f t="shared" si="19"/>
        <v>765600</v>
      </c>
      <c r="U73" s="78" t="s">
        <v>50</v>
      </c>
      <c r="V73" s="81" t="s">
        <v>345</v>
      </c>
      <c r="W73" s="83" t="s">
        <v>608</v>
      </c>
    </row>
    <row r="74" spans="1:23" ht="28.2" customHeight="1" x14ac:dyDescent="0.3">
      <c r="A74" s="86">
        <v>78</v>
      </c>
      <c r="B74" s="68" t="s">
        <v>47</v>
      </c>
      <c r="C74" s="69" t="s">
        <v>224</v>
      </c>
      <c r="D74" s="68" t="s">
        <v>228</v>
      </c>
      <c r="E74" s="69" t="s">
        <v>46</v>
      </c>
      <c r="F74" s="109" t="s">
        <v>372</v>
      </c>
      <c r="G74" s="79">
        <v>2</v>
      </c>
      <c r="H74" s="79">
        <v>4</v>
      </c>
      <c r="I74" s="48">
        <v>90000</v>
      </c>
      <c r="J74" s="48">
        <f t="shared" si="4"/>
        <v>90000</v>
      </c>
      <c r="K74" s="48">
        <f t="shared" si="4"/>
        <v>90000</v>
      </c>
      <c r="L74" s="48">
        <f t="shared" si="12"/>
        <v>270000</v>
      </c>
      <c r="M74" s="48">
        <f t="shared" si="13"/>
        <v>43200</v>
      </c>
      <c r="N74" s="48">
        <f t="shared" si="14"/>
        <v>313200</v>
      </c>
      <c r="O74" s="77">
        <v>220000</v>
      </c>
      <c r="P74" s="77">
        <f t="shared" si="15"/>
        <v>440000</v>
      </c>
      <c r="Q74" s="77">
        <f t="shared" si="16"/>
        <v>880000</v>
      </c>
      <c r="R74" s="77">
        <f t="shared" si="17"/>
        <v>1320000</v>
      </c>
      <c r="S74" s="77">
        <f t="shared" si="18"/>
        <v>211200</v>
      </c>
      <c r="T74" s="77">
        <f t="shared" si="19"/>
        <v>1531200</v>
      </c>
      <c r="U74" s="78" t="s">
        <v>50</v>
      </c>
      <c r="V74" s="81" t="s">
        <v>345</v>
      </c>
      <c r="W74" s="83" t="s">
        <v>608</v>
      </c>
    </row>
    <row r="75" spans="1:23" ht="28.2" customHeight="1" x14ac:dyDescent="0.3">
      <c r="A75" s="86">
        <v>79</v>
      </c>
      <c r="B75" s="68" t="s">
        <v>47</v>
      </c>
      <c r="C75" s="69" t="s">
        <v>117</v>
      </c>
      <c r="D75" s="68" t="s">
        <v>118</v>
      </c>
      <c r="E75" s="69" t="s">
        <v>46</v>
      </c>
      <c r="F75" s="109" t="s">
        <v>373</v>
      </c>
      <c r="G75" s="79">
        <v>2</v>
      </c>
      <c r="H75" s="79">
        <v>4</v>
      </c>
      <c r="I75" s="48">
        <v>122850</v>
      </c>
      <c r="J75" s="48">
        <f t="shared" si="4"/>
        <v>122850</v>
      </c>
      <c r="K75" s="48">
        <f t="shared" si="4"/>
        <v>122850</v>
      </c>
      <c r="L75" s="48">
        <f t="shared" si="12"/>
        <v>368550</v>
      </c>
      <c r="M75" s="48">
        <f t="shared" si="13"/>
        <v>58968</v>
      </c>
      <c r="N75" s="48">
        <f t="shared" si="14"/>
        <v>427518</v>
      </c>
      <c r="O75" s="77">
        <v>300000</v>
      </c>
      <c r="P75" s="77">
        <f t="shared" si="15"/>
        <v>600000</v>
      </c>
      <c r="Q75" s="77">
        <f t="shared" si="16"/>
        <v>1200000</v>
      </c>
      <c r="R75" s="77">
        <f t="shared" si="17"/>
        <v>1800000</v>
      </c>
      <c r="S75" s="77">
        <f t="shared" si="18"/>
        <v>288000</v>
      </c>
      <c r="T75" s="77">
        <f t="shared" si="19"/>
        <v>2088000</v>
      </c>
      <c r="U75" s="78" t="s">
        <v>50</v>
      </c>
      <c r="V75" s="81" t="s">
        <v>295</v>
      </c>
      <c r="W75" s="83" t="s">
        <v>608</v>
      </c>
    </row>
    <row r="76" spans="1:23" ht="28.2" customHeight="1" x14ac:dyDescent="0.3">
      <c r="A76" s="86">
        <v>80</v>
      </c>
      <c r="B76" s="68" t="s">
        <v>47</v>
      </c>
      <c r="C76" s="69" t="s">
        <v>117</v>
      </c>
      <c r="D76" s="68" t="s">
        <v>119</v>
      </c>
      <c r="E76" s="69" t="s">
        <v>46</v>
      </c>
      <c r="F76" s="109" t="s">
        <v>374</v>
      </c>
      <c r="G76" s="79">
        <v>2</v>
      </c>
      <c r="H76" s="79">
        <v>4</v>
      </c>
      <c r="I76" s="48">
        <v>122850</v>
      </c>
      <c r="J76" s="48">
        <f t="shared" si="4"/>
        <v>122850</v>
      </c>
      <c r="K76" s="48">
        <f t="shared" si="4"/>
        <v>122850</v>
      </c>
      <c r="L76" s="48">
        <f t="shared" si="12"/>
        <v>368550</v>
      </c>
      <c r="M76" s="48">
        <f t="shared" si="13"/>
        <v>58968</v>
      </c>
      <c r="N76" s="48">
        <f t="shared" si="14"/>
        <v>427518</v>
      </c>
      <c r="O76" s="77">
        <v>300000</v>
      </c>
      <c r="P76" s="77">
        <f t="shared" si="15"/>
        <v>600000</v>
      </c>
      <c r="Q76" s="77">
        <f t="shared" si="16"/>
        <v>1200000</v>
      </c>
      <c r="R76" s="77">
        <f t="shared" si="17"/>
        <v>1800000</v>
      </c>
      <c r="S76" s="77">
        <f t="shared" si="18"/>
        <v>288000</v>
      </c>
      <c r="T76" s="77">
        <f t="shared" si="19"/>
        <v>2088000</v>
      </c>
      <c r="U76" s="78" t="s">
        <v>50</v>
      </c>
      <c r="V76" s="81" t="s">
        <v>295</v>
      </c>
      <c r="W76" s="83" t="s">
        <v>608</v>
      </c>
    </row>
    <row r="77" spans="1:23" ht="28.2" customHeight="1" x14ac:dyDescent="0.3">
      <c r="A77" s="86">
        <v>81</v>
      </c>
      <c r="B77" s="68" t="s">
        <v>47</v>
      </c>
      <c r="C77" s="69" t="s">
        <v>117</v>
      </c>
      <c r="D77" s="68" t="s">
        <v>120</v>
      </c>
      <c r="E77" s="69" t="s">
        <v>46</v>
      </c>
      <c r="F77" s="109" t="s">
        <v>375</v>
      </c>
      <c r="G77" s="79">
        <v>2</v>
      </c>
      <c r="H77" s="79">
        <v>4</v>
      </c>
      <c r="I77" s="48">
        <v>122850</v>
      </c>
      <c r="J77" s="48">
        <f t="shared" si="4"/>
        <v>122850</v>
      </c>
      <c r="K77" s="48">
        <f t="shared" si="4"/>
        <v>122850</v>
      </c>
      <c r="L77" s="48">
        <f t="shared" si="12"/>
        <v>368550</v>
      </c>
      <c r="M77" s="48">
        <f t="shared" si="13"/>
        <v>58968</v>
      </c>
      <c r="N77" s="48">
        <f t="shared" si="14"/>
        <v>427518</v>
      </c>
      <c r="O77" s="77">
        <v>300000</v>
      </c>
      <c r="P77" s="77">
        <f t="shared" si="15"/>
        <v>600000</v>
      </c>
      <c r="Q77" s="77">
        <f t="shared" si="16"/>
        <v>1200000</v>
      </c>
      <c r="R77" s="77">
        <f t="shared" si="17"/>
        <v>1800000</v>
      </c>
      <c r="S77" s="77">
        <f t="shared" si="18"/>
        <v>288000</v>
      </c>
      <c r="T77" s="77">
        <f t="shared" si="19"/>
        <v>2088000</v>
      </c>
      <c r="U77" s="78" t="s">
        <v>50</v>
      </c>
      <c r="V77" s="81" t="s">
        <v>295</v>
      </c>
      <c r="W77" s="83" t="s">
        <v>608</v>
      </c>
    </row>
    <row r="78" spans="1:23" ht="28.2" customHeight="1" x14ac:dyDescent="0.3">
      <c r="A78" s="86">
        <v>82</v>
      </c>
      <c r="B78" s="68" t="s">
        <v>47</v>
      </c>
      <c r="C78" s="69" t="s">
        <v>236</v>
      </c>
      <c r="D78" s="68" t="s">
        <v>237</v>
      </c>
      <c r="E78" s="69" t="s">
        <v>46</v>
      </c>
      <c r="F78" s="109" t="s">
        <v>376</v>
      </c>
      <c r="G78" s="79">
        <v>1</v>
      </c>
      <c r="H78" s="79">
        <v>2</v>
      </c>
      <c r="I78" s="48">
        <v>100000</v>
      </c>
      <c r="J78" s="48">
        <f t="shared" si="4"/>
        <v>100000</v>
      </c>
      <c r="K78" s="48">
        <f t="shared" si="4"/>
        <v>100000</v>
      </c>
      <c r="L78" s="48">
        <f t="shared" si="12"/>
        <v>300000</v>
      </c>
      <c r="M78" s="48">
        <f t="shared" si="13"/>
        <v>48000</v>
      </c>
      <c r="N78" s="48">
        <f t="shared" si="14"/>
        <v>348000</v>
      </c>
      <c r="O78" s="77">
        <v>220000</v>
      </c>
      <c r="P78" s="77">
        <f t="shared" ref="P78:P109" si="20">G78*O78</f>
        <v>220000</v>
      </c>
      <c r="Q78" s="77">
        <f t="shared" ref="Q78:Q109" si="21">H78*O78</f>
        <v>440000</v>
      </c>
      <c r="R78" s="77">
        <f t="shared" ref="R78:R109" si="22">SUM(P78:Q78)</f>
        <v>660000</v>
      </c>
      <c r="S78" s="77">
        <f t="shared" ref="S78:S109" si="23">R78*$S$9</f>
        <v>105600</v>
      </c>
      <c r="T78" s="77">
        <f t="shared" ref="T78:T109" si="24">SUM(R78:S78)</f>
        <v>765600</v>
      </c>
      <c r="U78" s="78" t="s">
        <v>50</v>
      </c>
      <c r="V78" s="81" t="s">
        <v>377</v>
      </c>
      <c r="W78" s="83" t="s">
        <v>608</v>
      </c>
    </row>
    <row r="79" spans="1:23" ht="28.2" customHeight="1" x14ac:dyDescent="0.3">
      <c r="A79" s="86">
        <v>83</v>
      </c>
      <c r="B79" s="68" t="s">
        <v>47</v>
      </c>
      <c r="C79" s="69" t="s">
        <v>236</v>
      </c>
      <c r="D79" s="68" t="s">
        <v>238</v>
      </c>
      <c r="E79" s="69" t="s">
        <v>46</v>
      </c>
      <c r="F79" s="109" t="s">
        <v>378</v>
      </c>
      <c r="G79" s="79">
        <v>1</v>
      </c>
      <c r="H79" s="79">
        <v>2</v>
      </c>
      <c r="I79" s="48">
        <v>100000</v>
      </c>
      <c r="J79" s="48">
        <f t="shared" ref="J79:K142" si="25">I79</f>
        <v>100000</v>
      </c>
      <c r="K79" s="48">
        <f t="shared" si="25"/>
        <v>100000</v>
      </c>
      <c r="L79" s="48">
        <f t="shared" si="12"/>
        <v>300000</v>
      </c>
      <c r="M79" s="48">
        <f t="shared" si="13"/>
        <v>48000</v>
      </c>
      <c r="N79" s="48">
        <f t="shared" si="14"/>
        <v>348000</v>
      </c>
      <c r="O79" s="77">
        <v>220000</v>
      </c>
      <c r="P79" s="77">
        <f t="shared" si="20"/>
        <v>220000</v>
      </c>
      <c r="Q79" s="77">
        <f t="shared" si="21"/>
        <v>440000</v>
      </c>
      <c r="R79" s="77">
        <f t="shared" si="22"/>
        <v>660000</v>
      </c>
      <c r="S79" s="77">
        <f t="shared" si="23"/>
        <v>105600</v>
      </c>
      <c r="T79" s="77">
        <f t="shared" si="24"/>
        <v>765600</v>
      </c>
      <c r="U79" s="78" t="s">
        <v>50</v>
      </c>
      <c r="V79" s="81" t="s">
        <v>377</v>
      </c>
      <c r="W79" s="83" t="s">
        <v>608</v>
      </c>
    </row>
    <row r="80" spans="1:23" ht="28.2" customHeight="1" x14ac:dyDescent="0.3">
      <c r="A80" s="86">
        <v>87</v>
      </c>
      <c r="B80" s="68" t="s">
        <v>184</v>
      </c>
      <c r="C80" s="69" t="s">
        <v>176</v>
      </c>
      <c r="D80" s="68" t="s">
        <v>196</v>
      </c>
      <c r="E80" s="69" t="s">
        <v>195</v>
      </c>
      <c r="F80" s="109" t="s">
        <v>379</v>
      </c>
      <c r="G80" s="79">
        <v>1</v>
      </c>
      <c r="H80" s="79">
        <v>2</v>
      </c>
      <c r="I80" s="48">
        <v>15000</v>
      </c>
      <c r="J80" s="48">
        <f t="shared" si="25"/>
        <v>15000</v>
      </c>
      <c r="K80" s="48">
        <f t="shared" si="25"/>
        <v>15000</v>
      </c>
      <c r="L80" s="48">
        <f t="shared" si="12"/>
        <v>45000</v>
      </c>
      <c r="M80" s="48">
        <f t="shared" si="13"/>
        <v>7200</v>
      </c>
      <c r="N80" s="48">
        <f t="shared" si="14"/>
        <v>52200</v>
      </c>
      <c r="O80" s="77">
        <v>120000</v>
      </c>
      <c r="P80" s="77">
        <f t="shared" si="20"/>
        <v>120000</v>
      </c>
      <c r="Q80" s="77">
        <f t="shared" si="21"/>
        <v>240000</v>
      </c>
      <c r="R80" s="77">
        <f t="shared" si="22"/>
        <v>360000</v>
      </c>
      <c r="S80" s="77">
        <f t="shared" si="23"/>
        <v>57600</v>
      </c>
      <c r="T80" s="77">
        <f t="shared" si="24"/>
        <v>417600</v>
      </c>
      <c r="U80" s="78" t="s">
        <v>50</v>
      </c>
      <c r="V80" s="81" t="s">
        <v>345</v>
      </c>
      <c r="W80" s="83" t="s">
        <v>608</v>
      </c>
    </row>
    <row r="81" spans="1:23" ht="28.2" customHeight="1" x14ac:dyDescent="0.3">
      <c r="A81" s="86">
        <v>88</v>
      </c>
      <c r="B81" s="68" t="s">
        <v>184</v>
      </c>
      <c r="C81" s="69" t="s">
        <v>197</v>
      </c>
      <c r="D81" s="68" t="s">
        <v>198</v>
      </c>
      <c r="E81" s="69" t="s">
        <v>195</v>
      </c>
      <c r="F81" s="109" t="s">
        <v>380</v>
      </c>
      <c r="G81" s="79">
        <v>1</v>
      </c>
      <c r="H81" s="79">
        <v>2</v>
      </c>
      <c r="I81" s="48">
        <v>100000</v>
      </c>
      <c r="J81" s="48">
        <f t="shared" si="25"/>
        <v>100000</v>
      </c>
      <c r="K81" s="48">
        <f t="shared" si="25"/>
        <v>100000</v>
      </c>
      <c r="L81" s="48">
        <f t="shared" si="12"/>
        <v>300000</v>
      </c>
      <c r="M81" s="48">
        <f t="shared" si="13"/>
        <v>48000</v>
      </c>
      <c r="N81" s="48">
        <f t="shared" si="14"/>
        <v>348000</v>
      </c>
      <c r="O81" s="77">
        <v>175000</v>
      </c>
      <c r="P81" s="77">
        <f t="shared" si="20"/>
        <v>175000</v>
      </c>
      <c r="Q81" s="77">
        <f t="shared" si="21"/>
        <v>350000</v>
      </c>
      <c r="R81" s="77">
        <f t="shared" si="22"/>
        <v>525000</v>
      </c>
      <c r="S81" s="77">
        <f t="shared" si="23"/>
        <v>84000</v>
      </c>
      <c r="T81" s="77">
        <f t="shared" si="24"/>
        <v>609000</v>
      </c>
      <c r="U81" s="78" t="s">
        <v>50</v>
      </c>
      <c r="V81" s="81" t="s">
        <v>345</v>
      </c>
      <c r="W81" s="83" t="s">
        <v>608</v>
      </c>
    </row>
    <row r="82" spans="1:23" ht="28.2" customHeight="1" x14ac:dyDescent="0.3">
      <c r="A82" s="86">
        <v>94</v>
      </c>
      <c r="B82" s="68" t="s">
        <v>184</v>
      </c>
      <c r="C82" s="69" t="s">
        <v>214</v>
      </c>
      <c r="D82" s="68" t="s">
        <v>215</v>
      </c>
      <c r="E82" s="69" t="s">
        <v>195</v>
      </c>
      <c r="F82" s="109" t="s">
        <v>382</v>
      </c>
      <c r="G82" s="79">
        <v>1</v>
      </c>
      <c r="H82" s="79">
        <v>2</v>
      </c>
      <c r="I82" s="48">
        <v>200000</v>
      </c>
      <c r="J82" s="48">
        <f t="shared" si="25"/>
        <v>200000</v>
      </c>
      <c r="K82" s="48">
        <f t="shared" si="25"/>
        <v>200000</v>
      </c>
      <c r="L82" s="48">
        <f t="shared" si="12"/>
        <v>600000</v>
      </c>
      <c r="M82" s="48">
        <f t="shared" si="13"/>
        <v>96000</v>
      </c>
      <c r="N82" s="48">
        <f t="shared" si="14"/>
        <v>696000</v>
      </c>
      <c r="O82" s="77">
        <v>420000</v>
      </c>
      <c r="P82" s="77">
        <f t="shared" si="20"/>
        <v>420000</v>
      </c>
      <c r="Q82" s="77">
        <f t="shared" si="21"/>
        <v>840000</v>
      </c>
      <c r="R82" s="77">
        <f t="shared" si="22"/>
        <v>1260000</v>
      </c>
      <c r="S82" s="77">
        <f t="shared" si="23"/>
        <v>201600</v>
      </c>
      <c r="T82" s="77">
        <f t="shared" si="24"/>
        <v>1461600</v>
      </c>
      <c r="U82" s="78" t="s">
        <v>50</v>
      </c>
      <c r="V82" s="81" t="s">
        <v>383</v>
      </c>
      <c r="W82" s="83" t="s">
        <v>608</v>
      </c>
    </row>
    <row r="83" spans="1:23" ht="28.2" customHeight="1" x14ac:dyDescent="0.3">
      <c r="A83" s="92">
        <v>98</v>
      </c>
      <c r="B83" s="68" t="s">
        <v>260</v>
      </c>
      <c r="C83" s="69" t="s">
        <v>384</v>
      </c>
      <c r="D83" s="68" t="s">
        <v>385</v>
      </c>
      <c r="E83" s="69" t="s">
        <v>259</v>
      </c>
      <c r="F83" s="109" t="s">
        <v>386</v>
      </c>
      <c r="G83" s="79">
        <v>1</v>
      </c>
      <c r="H83" s="79">
        <v>2</v>
      </c>
      <c r="I83" s="48"/>
      <c r="J83" s="48">
        <f t="shared" si="25"/>
        <v>0</v>
      </c>
      <c r="K83" s="48">
        <f t="shared" si="25"/>
        <v>0</v>
      </c>
      <c r="L83" s="48"/>
      <c r="M83" s="48"/>
      <c r="N83" s="48"/>
      <c r="O83" s="77">
        <v>380000</v>
      </c>
      <c r="P83" s="77">
        <f t="shared" si="20"/>
        <v>380000</v>
      </c>
      <c r="Q83" s="77">
        <f t="shared" si="21"/>
        <v>760000</v>
      </c>
      <c r="R83" s="77">
        <f t="shared" si="22"/>
        <v>1140000</v>
      </c>
      <c r="S83" s="77">
        <f t="shared" si="23"/>
        <v>182400</v>
      </c>
      <c r="T83" s="77">
        <f t="shared" si="24"/>
        <v>1322400</v>
      </c>
      <c r="U83" s="78" t="s">
        <v>50</v>
      </c>
      <c r="V83" s="81" t="s">
        <v>387</v>
      </c>
      <c r="W83" s="91" t="s">
        <v>611</v>
      </c>
    </row>
    <row r="84" spans="1:23" ht="28.2" customHeight="1" x14ac:dyDescent="0.3">
      <c r="A84" s="92">
        <v>99</v>
      </c>
      <c r="B84" s="68" t="s">
        <v>388</v>
      </c>
      <c r="C84" s="69" t="s">
        <v>389</v>
      </c>
      <c r="D84" s="68" t="s">
        <v>390</v>
      </c>
      <c r="E84" s="69" t="s">
        <v>391</v>
      </c>
      <c r="F84" s="109" t="s">
        <v>392</v>
      </c>
      <c r="G84" s="79">
        <v>1</v>
      </c>
      <c r="H84" s="79">
        <v>2</v>
      </c>
      <c r="I84" s="48"/>
      <c r="J84" s="48">
        <f t="shared" si="25"/>
        <v>0</v>
      </c>
      <c r="K84" s="48">
        <f t="shared" si="25"/>
        <v>0</v>
      </c>
      <c r="L84" s="48"/>
      <c r="M84" s="48"/>
      <c r="N84" s="48"/>
      <c r="O84" s="77">
        <v>350000</v>
      </c>
      <c r="P84" s="77">
        <f t="shared" si="20"/>
        <v>350000</v>
      </c>
      <c r="Q84" s="77">
        <f t="shared" si="21"/>
        <v>700000</v>
      </c>
      <c r="R84" s="77">
        <f t="shared" si="22"/>
        <v>1050000</v>
      </c>
      <c r="S84" s="77">
        <f t="shared" si="23"/>
        <v>168000</v>
      </c>
      <c r="T84" s="77">
        <f t="shared" si="24"/>
        <v>1218000</v>
      </c>
      <c r="U84" s="78" t="s">
        <v>62</v>
      </c>
      <c r="V84" s="85"/>
      <c r="W84" s="91" t="s">
        <v>611</v>
      </c>
    </row>
    <row r="85" spans="1:23" ht="28.2" customHeight="1" x14ac:dyDescent="0.3">
      <c r="A85" s="92">
        <v>107</v>
      </c>
      <c r="B85" s="68" t="s">
        <v>47</v>
      </c>
      <c r="C85" s="69" t="s">
        <v>393</v>
      </c>
      <c r="D85" s="68" t="s">
        <v>394</v>
      </c>
      <c r="E85" s="69" t="s">
        <v>80</v>
      </c>
      <c r="F85" s="109" t="s">
        <v>395</v>
      </c>
      <c r="G85" s="79">
        <v>1</v>
      </c>
      <c r="H85" s="79">
        <v>2</v>
      </c>
      <c r="I85" s="48"/>
      <c r="J85" s="48">
        <f t="shared" si="25"/>
        <v>0</v>
      </c>
      <c r="K85" s="48">
        <f t="shared" si="25"/>
        <v>0</v>
      </c>
      <c r="L85" s="48"/>
      <c r="M85" s="48"/>
      <c r="N85" s="48"/>
      <c r="O85" s="77">
        <v>220000</v>
      </c>
      <c r="P85" s="77">
        <f t="shared" si="20"/>
        <v>220000</v>
      </c>
      <c r="Q85" s="77">
        <f t="shared" si="21"/>
        <v>440000</v>
      </c>
      <c r="R85" s="77">
        <f t="shared" si="22"/>
        <v>660000</v>
      </c>
      <c r="S85" s="77">
        <f t="shared" si="23"/>
        <v>105600</v>
      </c>
      <c r="T85" s="77">
        <f t="shared" si="24"/>
        <v>765600</v>
      </c>
      <c r="U85" s="78" t="s">
        <v>62</v>
      </c>
      <c r="V85" s="85"/>
      <c r="W85" s="91" t="s">
        <v>611</v>
      </c>
    </row>
    <row r="86" spans="1:23" ht="28.2" customHeight="1" x14ac:dyDescent="0.3">
      <c r="A86" s="92">
        <v>111</v>
      </c>
      <c r="B86" s="68" t="s">
        <v>47</v>
      </c>
      <c r="C86" s="69" t="s">
        <v>396</v>
      </c>
      <c r="D86" s="68" t="s">
        <v>397</v>
      </c>
      <c r="E86" s="69" t="s">
        <v>142</v>
      </c>
      <c r="F86" s="109" t="s">
        <v>398</v>
      </c>
      <c r="G86" s="79">
        <v>1</v>
      </c>
      <c r="H86" s="79">
        <v>2</v>
      </c>
      <c r="I86" s="48"/>
      <c r="J86" s="48">
        <f t="shared" si="25"/>
        <v>0</v>
      </c>
      <c r="K86" s="48">
        <f t="shared" si="25"/>
        <v>0</v>
      </c>
      <c r="L86" s="48"/>
      <c r="M86" s="48"/>
      <c r="N86" s="48"/>
      <c r="O86" s="77">
        <v>210000</v>
      </c>
      <c r="P86" s="77">
        <f t="shared" si="20"/>
        <v>210000</v>
      </c>
      <c r="Q86" s="77">
        <f t="shared" si="21"/>
        <v>420000</v>
      </c>
      <c r="R86" s="77">
        <f t="shared" si="22"/>
        <v>630000</v>
      </c>
      <c r="S86" s="77">
        <f t="shared" si="23"/>
        <v>100800</v>
      </c>
      <c r="T86" s="77">
        <f t="shared" si="24"/>
        <v>730800</v>
      </c>
      <c r="U86" s="78" t="s">
        <v>62</v>
      </c>
      <c r="V86" s="85"/>
      <c r="W86" s="91" t="s">
        <v>611</v>
      </c>
    </row>
    <row r="87" spans="1:23" ht="28.2" customHeight="1" x14ac:dyDescent="0.3">
      <c r="A87" s="86">
        <v>112</v>
      </c>
      <c r="B87" s="68" t="s">
        <v>47</v>
      </c>
      <c r="C87" s="69" t="s">
        <v>143</v>
      </c>
      <c r="D87" s="68" t="s">
        <v>144</v>
      </c>
      <c r="E87" s="69" t="s">
        <v>142</v>
      </c>
      <c r="F87" s="109" t="s">
        <v>399</v>
      </c>
      <c r="G87" s="79">
        <v>1</v>
      </c>
      <c r="H87" s="79">
        <v>2</v>
      </c>
      <c r="I87" s="48">
        <v>150000</v>
      </c>
      <c r="J87" s="48">
        <f t="shared" si="25"/>
        <v>150000</v>
      </c>
      <c r="K87" s="48">
        <f t="shared" si="25"/>
        <v>150000</v>
      </c>
      <c r="L87" s="48">
        <f>SUM(I87:K87)</f>
        <v>450000</v>
      </c>
      <c r="M87" s="48">
        <f>L87*0.16</f>
        <v>72000</v>
      </c>
      <c r="N87" s="48">
        <f>SUM(L87:M87)</f>
        <v>522000</v>
      </c>
      <c r="O87" s="77">
        <v>320000</v>
      </c>
      <c r="P87" s="77">
        <f t="shared" si="20"/>
        <v>320000</v>
      </c>
      <c r="Q87" s="77">
        <f t="shared" si="21"/>
        <v>640000</v>
      </c>
      <c r="R87" s="77">
        <f t="shared" si="22"/>
        <v>960000</v>
      </c>
      <c r="S87" s="77">
        <f t="shared" si="23"/>
        <v>153600</v>
      </c>
      <c r="T87" s="77">
        <f t="shared" si="24"/>
        <v>1113600</v>
      </c>
      <c r="U87" s="78" t="s">
        <v>50</v>
      </c>
      <c r="V87" s="85"/>
      <c r="W87" s="83" t="s">
        <v>608</v>
      </c>
    </row>
    <row r="88" spans="1:23" ht="28.2" customHeight="1" x14ac:dyDescent="0.3">
      <c r="A88" s="92">
        <v>116</v>
      </c>
      <c r="B88" s="68" t="s">
        <v>76</v>
      </c>
      <c r="C88" s="69" t="s">
        <v>396</v>
      </c>
      <c r="D88" s="68" t="s">
        <v>400</v>
      </c>
      <c r="E88" s="69" t="s">
        <v>106</v>
      </c>
      <c r="F88" s="109" t="s">
        <v>401</v>
      </c>
      <c r="G88" s="79">
        <v>1</v>
      </c>
      <c r="H88" s="79">
        <v>2</v>
      </c>
      <c r="I88" s="48"/>
      <c r="J88" s="48">
        <f t="shared" si="25"/>
        <v>0</v>
      </c>
      <c r="K88" s="48">
        <f t="shared" si="25"/>
        <v>0</v>
      </c>
      <c r="L88" s="48"/>
      <c r="M88" s="48"/>
      <c r="N88" s="48"/>
      <c r="O88" s="77">
        <v>350000</v>
      </c>
      <c r="P88" s="77">
        <f t="shared" si="20"/>
        <v>350000</v>
      </c>
      <c r="Q88" s="77">
        <f t="shared" si="21"/>
        <v>700000</v>
      </c>
      <c r="R88" s="77">
        <f t="shared" si="22"/>
        <v>1050000</v>
      </c>
      <c r="S88" s="77">
        <f t="shared" si="23"/>
        <v>168000</v>
      </c>
      <c r="T88" s="77">
        <f t="shared" si="24"/>
        <v>1218000</v>
      </c>
      <c r="U88" s="78" t="s">
        <v>62</v>
      </c>
      <c r="V88" s="85"/>
      <c r="W88" s="91" t="s">
        <v>611</v>
      </c>
    </row>
    <row r="89" spans="1:23" ht="28.2" customHeight="1" x14ac:dyDescent="0.3">
      <c r="A89" s="92">
        <v>119</v>
      </c>
      <c r="B89" s="68" t="s">
        <v>402</v>
      </c>
      <c r="C89" s="69" t="s">
        <v>396</v>
      </c>
      <c r="D89" s="68" t="s">
        <v>403</v>
      </c>
      <c r="E89" s="69" t="s">
        <v>404</v>
      </c>
      <c r="F89" s="109" t="s">
        <v>405</v>
      </c>
      <c r="G89" s="79">
        <v>1</v>
      </c>
      <c r="H89" s="79">
        <v>2</v>
      </c>
      <c r="I89" s="48"/>
      <c r="J89" s="48">
        <f t="shared" si="25"/>
        <v>0</v>
      </c>
      <c r="K89" s="48">
        <f t="shared" si="25"/>
        <v>0</v>
      </c>
      <c r="L89" s="48"/>
      <c r="M89" s="48"/>
      <c r="N89" s="48"/>
      <c r="O89" s="77">
        <v>350000</v>
      </c>
      <c r="P89" s="77">
        <f t="shared" si="20"/>
        <v>350000</v>
      </c>
      <c r="Q89" s="77">
        <f t="shared" si="21"/>
        <v>700000</v>
      </c>
      <c r="R89" s="77">
        <f t="shared" si="22"/>
        <v>1050000</v>
      </c>
      <c r="S89" s="77">
        <f t="shared" si="23"/>
        <v>168000</v>
      </c>
      <c r="T89" s="77">
        <f t="shared" si="24"/>
        <v>1218000</v>
      </c>
      <c r="U89" s="78" t="s">
        <v>62</v>
      </c>
      <c r="V89" s="85"/>
      <c r="W89" s="91" t="s">
        <v>611</v>
      </c>
    </row>
    <row r="90" spans="1:23" ht="28.2" customHeight="1" x14ac:dyDescent="0.3">
      <c r="A90" s="92">
        <v>134</v>
      </c>
      <c r="B90" s="68" t="s">
        <v>103</v>
      </c>
      <c r="C90" s="69" t="s">
        <v>396</v>
      </c>
      <c r="D90" s="68" t="s">
        <v>406</v>
      </c>
      <c r="E90" s="69" t="s">
        <v>407</v>
      </c>
      <c r="F90" s="109" t="s">
        <v>408</v>
      </c>
      <c r="G90" s="79">
        <v>1</v>
      </c>
      <c r="H90" s="79">
        <v>2</v>
      </c>
      <c r="I90" s="48" t="s">
        <v>381</v>
      </c>
      <c r="J90" s="48" t="str">
        <f t="shared" si="25"/>
        <v>NO</v>
      </c>
      <c r="K90" s="48" t="str">
        <f t="shared" si="25"/>
        <v>NO</v>
      </c>
      <c r="L90" s="48"/>
      <c r="M90" s="48"/>
      <c r="N90" s="48"/>
      <c r="O90" s="77">
        <v>140000</v>
      </c>
      <c r="P90" s="77">
        <f t="shared" si="20"/>
        <v>140000</v>
      </c>
      <c r="Q90" s="77">
        <f t="shared" si="21"/>
        <v>280000</v>
      </c>
      <c r="R90" s="77">
        <f t="shared" si="22"/>
        <v>420000</v>
      </c>
      <c r="S90" s="77">
        <f t="shared" si="23"/>
        <v>67200</v>
      </c>
      <c r="T90" s="77">
        <f t="shared" si="24"/>
        <v>487200</v>
      </c>
      <c r="U90" s="78" t="s">
        <v>62</v>
      </c>
      <c r="V90" s="85"/>
      <c r="W90" s="91" t="s">
        <v>611</v>
      </c>
    </row>
    <row r="91" spans="1:23" ht="28.2" customHeight="1" x14ac:dyDescent="0.3">
      <c r="A91" s="92">
        <v>140</v>
      </c>
      <c r="B91" s="68" t="s">
        <v>409</v>
      </c>
      <c r="C91" s="69" t="s">
        <v>396</v>
      </c>
      <c r="D91" s="68" t="s">
        <v>410</v>
      </c>
      <c r="E91" s="69" t="s">
        <v>411</v>
      </c>
      <c r="F91" s="109" t="s">
        <v>412</v>
      </c>
      <c r="G91" s="79">
        <v>1</v>
      </c>
      <c r="H91" s="79">
        <v>2</v>
      </c>
      <c r="I91" s="48"/>
      <c r="J91" s="48">
        <f t="shared" si="25"/>
        <v>0</v>
      </c>
      <c r="K91" s="48">
        <f t="shared" si="25"/>
        <v>0</v>
      </c>
      <c r="L91" s="48"/>
      <c r="M91" s="48"/>
      <c r="N91" s="48"/>
      <c r="O91" s="77">
        <v>230000</v>
      </c>
      <c r="P91" s="77">
        <f t="shared" si="20"/>
        <v>230000</v>
      </c>
      <c r="Q91" s="77">
        <f t="shared" si="21"/>
        <v>460000</v>
      </c>
      <c r="R91" s="77">
        <f t="shared" si="22"/>
        <v>690000</v>
      </c>
      <c r="S91" s="77">
        <f t="shared" si="23"/>
        <v>110400</v>
      </c>
      <c r="T91" s="77">
        <f t="shared" si="24"/>
        <v>800400</v>
      </c>
      <c r="U91" s="78" t="s">
        <v>62</v>
      </c>
      <c r="V91" s="85"/>
      <c r="W91" s="91" t="s">
        <v>611</v>
      </c>
    </row>
    <row r="92" spans="1:23" ht="28.2" customHeight="1" x14ac:dyDescent="0.3">
      <c r="A92" s="92">
        <v>144</v>
      </c>
      <c r="B92" s="68" t="s">
        <v>124</v>
      </c>
      <c r="C92" s="69" t="s">
        <v>413</v>
      </c>
      <c r="D92" s="68" t="s">
        <v>414</v>
      </c>
      <c r="E92" s="69" t="s">
        <v>123</v>
      </c>
      <c r="F92" s="109" t="s">
        <v>415</v>
      </c>
      <c r="G92" s="79">
        <v>1</v>
      </c>
      <c r="H92" s="79">
        <v>2</v>
      </c>
      <c r="I92" s="48"/>
      <c r="J92" s="48">
        <f t="shared" si="25"/>
        <v>0</v>
      </c>
      <c r="K92" s="48">
        <f t="shared" si="25"/>
        <v>0</v>
      </c>
      <c r="L92" s="48"/>
      <c r="M92" s="48"/>
      <c r="N92" s="48"/>
      <c r="O92" s="77">
        <v>350000</v>
      </c>
      <c r="P92" s="77">
        <f t="shared" si="20"/>
        <v>350000</v>
      </c>
      <c r="Q92" s="77">
        <f t="shared" si="21"/>
        <v>700000</v>
      </c>
      <c r="R92" s="77">
        <f t="shared" si="22"/>
        <v>1050000</v>
      </c>
      <c r="S92" s="77">
        <f t="shared" si="23"/>
        <v>168000</v>
      </c>
      <c r="T92" s="77">
        <f t="shared" si="24"/>
        <v>1218000</v>
      </c>
      <c r="U92" s="78" t="s">
        <v>62</v>
      </c>
      <c r="V92" s="85"/>
      <c r="W92" s="91" t="s">
        <v>611</v>
      </c>
    </row>
    <row r="93" spans="1:23" ht="28.2" customHeight="1" x14ac:dyDescent="0.3">
      <c r="A93" s="92">
        <v>145</v>
      </c>
      <c r="B93" s="68" t="s">
        <v>124</v>
      </c>
      <c r="C93" s="69" t="s">
        <v>94</v>
      </c>
      <c r="D93" s="68" t="s">
        <v>416</v>
      </c>
      <c r="E93" s="69" t="s">
        <v>123</v>
      </c>
      <c r="F93" s="109" t="s">
        <v>417</v>
      </c>
      <c r="G93" s="79">
        <v>1</v>
      </c>
      <c r="H93" s="79">
        <v>2</v>
      </c>
      <c r="I93" s="48"/>
      <c r="J93" s="48">
        <f t="shared" si="25"/>
        <v>0</v>
      </c>
      <c r="K93" s="48">
        <f t="shared" si="25"/>
        <v>0</v>
      </c>
      <c r="L93" s="48"/>
      <c r="M93" s="48"/>
      <c r="N93" s="48"/>
      <c r="O93" s="77">
        <v>220000</v>
      </c>
      <c r="P93" s="77">
        <f t="shared" si="20"/>
        <v>220000</v>
      </c>
      <c r="Q93" s="77">
        <f t="shared" si="21"/>
        <v>440000</v>
      </c>
      <c r="R93" s="77">
        <f t="shared" si="22"/>
        <v>660000</v>
      </c>
      <c r="S93" s="77">
        <f t="shared" si="23"/>
        <v>105600</v>
      </c>
      <c r="T93" s="77">
        <f t="shared" si="24"/>
        <v>765600</v>
      </c>
      <c r="U93" s="78" t="s">
        <v>62</v>
      </c>
      <c r="V93" s="85"/>
      <c r="W93" s="91" t="s">
        <v>611</v>
      </c>
    </row>
    <row r="94" spans="1:23" ht="28.2" customHeight="1" x14ac:dyDescent="0.3">
      <c r="A94" s="92">
        <v>149</v>
      </c>
      <c r="B94" s="68" t="s">
        <v>418</v>
      </c>
      <c r="C94" s="69" t="s">
        <v>94</v>
      </c>
      <c r="D94" s="68" t="s">
        <v>419</v>
      </c>
      <c r="E94" s="69" t="s">
        <v>420</v>
      </c>
      <c r="F94" s="109" t="s">
        <v>421</v>
      </c>
      <c r="G94" s="79">
        <v>1</v>
      </c>
      <c r="H94" s="79">
        <v>2</v>
      </c>
      <c r="I94" s="48"/>
      <c r="J94" s="48">
        <f t="shared" si="25"/>
        <v>0</v>
      </c>
      <c r="K94" s="48">
        <f t="shared" si="25"/>
        <v>0</v>
      </c>
      <c r="L94" s="48"/>
      <c r="M94" s="48"/>
      <c r="N94" s="48"/>
      <c r="O94" s="77">
        <v>250000</v>
      </c>
      <c r="P94" s="77">
        <f t="shared" si="20"/>
        <v>250000</v>
      </c>
      <c r="Q94" s="77">
        <f t="shared" si="21"/>
        <v>500000</v>
      </c>
      <c r="R94" s="77">
        <f t="shared" si="22"/>
        <v>750000</v>
      </c>
      <c r="S94" s="77">
        <f t="shared" si="23"/>
        <v>120000</v>
      </c>
      <c r="T94" s="77">
        <f t="shared" si="24"/>
        <v>870000</v>
      </c>
      <c r="U94" s="78" t="s">
        <v>62</v>
      </c>
      <c r="V94" s="85"/>
      <c r="W94" s="91" t="s">
        <v>611</v>
      </c>
    </row>
    <row r="95" spans="1:23" ht="28.2" customHeight="1" x14ac:dyDescent="0.3">
      <c r="A95" s="92">
        <v>152</v>
      </c>
      <c r="B95" s="68" t="s">
        <v>241</v>
      </c>
      <c r="C95" s="69" t="s">
        <v>145</v>
      </c>
      <c r="D95" s="68" t="s">
        <v>422</v>
      </c>
      <c r="E95" s="69" t="s">
        <v>240</v>
      </c>
      <c r="F95" s="109" t="s">
        <v>423</v>
      </c>
      <c r="G95" s="79">
        <v>1</v>
      </c>
      <c r="H95" s="79">
        <v>2</v>
      </c>
      <c r="I95" s="48"/>
      <c r="J95" s="48">
        <f t="shared" si="25"/>
        <v>0</v>
      </c>
      <c r="K95" s="48">
        <f t="shared" si="25"/>
        <v>0</v>
      </c>
      <c r="L95" s="48"/>
      <c r="M95" s="48"/>
      <c r="N95" s="48"/>
      <c r="O95" s="77">
        <v>300000</v>
      </c>
      <c r="P95" s="77">
        <f t="shared" si="20"/>
        <v>300000</v>
      </c>
      <c r="Q95" s="77">
        <f t="shared" si="21"/>
        <v>600000</v>
      </c>
      <c r="R95" s="77">
        <f t="shared" si="22"/>
        <v>900000</v>
      </c>
      <c r="S95" s="77">
        <f t="shared" si="23"/>
        <v>144000</v>
      </c>
      <c r="T95" s="77">
        <f t="shared" si="24"/>
        <v>1044000</v>
      </c>
      <c r="U95" s="78" t="s">
        <v>62</v>
      </c>
      <c r="V95" s="85"/>
      <c r="W95" s="91" t="s">
        <v>611</v>
      </c>
    </row>
    <row r="96" spans="1:23" ht="28.2" customHeight="1" x14ac:dyDescent="0.3">
      <c r="A96" s="86">
        <v>154</v>
      </c>
      <c r="B96" s="68" t="s">
        <v>241</v>
      </c>
      <c r="C96" s="69" t="s">
        <v>242</v>
      </c>
      <c r="D96" s="68" t="s">
        <v>243</v>
      </c>
      <c r="E96" s="69" t="s">
        <v>240</v>
      </c>
      <c r="F96" s="109" t="s">
        <v>424</v>
      </c>
      <c r="G96" s="79">
        <v>1</v>
      </c>
      <c r="H96" s="79">
        <v>2</v>
      </c>
      <c r="I96" s="48">
        <v>80000</v>
      </c>
      <c r="J96" s="48">
        <f t="shared" si="25"/>
        <v>80000</v>
      </c>
      <c r="K96" s="48">
        <f t="shared" si="25"/>
        <v>80000</v>
      </c>
      <c r="L96" s="48">
        <f t="shared" ref="L96:L98" si="26">SUM(I96:K96)</f>
        <v>240000</v>
      </c>
      <c r="M96" s="48">
        <f t="shared" ref="M96:M98" si="27">L96*0.16</f>
        <v>38400</v>
      </c>
      <c r="N96" s="48">
        <f t="shared" ref="N96:N98" si="28">SUM(L96:M96)</f>
        <v>278400</v>
      </c>
      <c r="O96" s="77">
        <v>160000</v>
      </c>
      <c r="P96" s="77">
        <f t="shared" si="20"/>
        <v>160000</v>
      </c>
      <c r="Q96" s="77">
        <f t="shared" si="21"/>
        <v>320000</v>
      </c>
      <c r="R96" s="77">
        <f t="shared" si="22"/>
        <v>480000</v>
      </c>
      <c r="S96" s="77">
        <f t="shared" si="23"/>
        <v>76800</v>
      </c>
      <c r="T96" s="77">
        <f t="shared" si="24"/>
        <v>556800</v>
      </c>
      <c r="U96" s="78" t="s">
        <v>50</v>
      </c>
      <c r="V96" s="81" t="s">
        <v>377</v>
      </c>
      <c r="W96" s="83" t="s">
        <v>608</v>
      </c>
    </row>
    <row r="97" spans="1:23" ht="28.2" customHeight="1" x14ac:dyDescent="0.3">
      <c r="A97" s="86">
        <v>156</v>
      </c>
      <c r="B97" s="68" t="s">
        <v>47</v>
      </c>
      <c r="C97" s="69" t="s">
        <v>94</v>
      </c>
      <c r="D97" s="68" t="s">
        <v>95</v>
      </c>
      <c r="E97" s="69" t="s">
        <v>80</v>
      </c>
      <c r="F97" s="109" t="s">
        <v>426</v>
      </c>
      <c r="G97" s="79">
        <v>1</v>
      </c>
      <c r="H97" s="79">
        <v>2</v>
      </c>
      <c r="I97" s="48">
        <v>100000</v>
      </c>
      <c r="J97" s="48">
        <f t="shared" si="25"/>
        <v>100000</v>
      </c>
      <c r="K97" s="48">
        <f t="shared" si="25"/>
        <v>100000</v>
      </c>
      <c r="L97" s="48">
        <f t="shared" si="26"/>
        <v>300000</v>
      </c>
      <c r="M97" s="48">
        <f t="shared" si="27"/>
        <v>48000</v>
      </c>
      <c r="N97" s="48">
        <f t="shared" si="28"/>
        <v>348000</v>
      </c>
      <c r="O97" s="77">
        <v>220000</v>
      </c>
      <c r="P97" s="77">
        <f t="shared" si="20"/>
        <v>220000</v>
      </c>
      <c r="Q97" s="77">
        <f t="shared" si="21"/>
        <v>440000</v>
      </c>
      <c r="R97" s="77">
        <f t="shared" si="22"/>
        <v>660000</v>
      </c>
      <c r="S97" s="77">
        <f t="shared" si="23"/>
        <v>105600</v>
      </c>
      <c r="T97" s="77">
        <f t="shared" si="24"/>
        <v>765600</v>
      </c>
      <c r="U97" s="78" t="s">
        <v>62</v>
      </c>
      <c r="V97" s="85"/>
      <c r="W97" s="83" t="s">
        <v>608</v>
      </c>
    </row>
    <row r="98" spans="1:23" ht="28.2" customHeight="1" x14ac:dyDescent="0.3">
      <c r="A98" s="86">
        <v>159</v>
      </c>
      <c r="B98" s="68" t="s">
        <v>98</v>
      </c>
      <c r="C98" s="69" t="s">
        <v>99</v>
      </c>
      <c r="D98" s="68" t="s">
        <v>100</v>
      </c>
      <c r="E98" s="69" t="s">
        <v>97</v>
      </c>
      <c r="F98" s="109" t="s">
        <v>427</v>
      </c>
      <c r="G98" s="79">
        <v>1</v>
      </c>
      <c r="H98" s="79">
        <v>2</v>
      </c>
      <c r="I98" s="48">
        <v>80000</v>
      </c>
      <c r="J98" s="48">
        <f t="shared" si="25"/>
        <v>80000</v>
      </c>
      <c r="K98" s="48">
        <f t="shared" si="25"/>
        <v>80000</v>
      </c>
      <c r="L98" s="48">
        <f t="shared" si="26"/>
        <v>240000</v>
      </c>
      <c r="M98" s="48">
        <f t="shared" si="27"/>
        <v>38400</v>
      </c>
      <c r="N98" s="48">
        <f t="shared" si="28"/>
        <v>278400</v>
      </c>
      <c r="O98" s="77">
        <v>160000</v>
      </c>
      <c r="P98" s="77">
        <f t="shared" si="20"/>
        <v>160000</v>
      </c>
      <c r="Q98" s="77">
        <f t="shared" si="21"/>
        <v>320000</v>
      </c>
      <c r="R98" s="77">
        <f t="shared" si="22"/>
        <v>480000</v>
      </c>
      <c r="S98" s="77">
        <f t="shared" si="23"/>
        <v>76800</v>
      </c>
      <c r="T98" s="77">
        <f t="shared" si="24"/>
        <v>556800</v>
      </c>
      <c r="U98" s="78" t="s">
        <v>50</v>
      </c>
      <c r="V98" s="81" t="s">
        <v>377</v>
      </c>
      <c r="W98" s="83" t="s">
        <v>608</v>
      </c>
    </row>
    <row r="99" spans="1:23" ht="28.2" customHeight="1" x14ac:dyDescent="0.3">
      <c r="A99" s="92">
        <v>162</v>
      </c>
      <c r="B99" s="68" t="s">
        <v>428</v>
      </c>
      <c r="C99" s="69" t="s">
        <v>94</v>
      </c>
      <c r="D99" s="68" t="s">
        <v>429</v>
      </c>
      <c r="E99" s="69" t="s">
        <v>430</v>
      </c>
      <c r="F99" s="109" t="s">
        <v>431</v>
      </c>
      <c r="G99" s="79">
        <v>1</v>
      </c>
      <c r="H99" s="79">
        <v>2</v>
      </c>
      <c r="I99" s="48"/>
      <c r="J99" s="48">
        <f t="shared" si="25"/>
        <v>0</v>
      </c>
      <c r="K99" s="48">
        <f t="shared" si="25"/>
        <v>0</v>
      </c>
      <c r="L99" s="48"/>
      <c r="M99" s="48"/>
      <c r="N99" s="48"/>
      <c r="O99" s="77">
        <v>300000</v>
      </c>
      <c r="P99" s="77">
        <f t="shared" si="20"/>
        <v>300000</v>
      </c>
      <c r="Q99" s="77">
        <f t="shared" si="21"/>
        <v>600000</v>
      </c>
      <c r="R99" s="77">
        <f t="shared" si="22"/>
        <v>900000</v>
      </c>
      <c r="S99" s="77">
        <f t="shared" si="23"/>
        <v>144000</v>
      </c>
      <c r="T99" s="77">
        <f t="shared" si="24"/>
        <v>1044000</v>
      </c>
      <c r="U99" s="78" t="s">
        <v>62</v>
      </c>
      <c r="V99" s="85"/>
      <c r="W99" s="91" t="s">
        <v>611</v>
      </c>
    </row>
    <row r="100" spans="1:23" ht="28.2" customHeight="1" x14ac:dyDescent="0.3">
      <c r="A100" s="92">
        <v>163</v>
      </c>
      <c r="B100" s="68" t="s">
        <v>47</v>
      </c>
      <c r="C100" s="69" t="s">
        <v>94</v>
      </c>
      <c r="D100" s="68" t="s">
        <v>432</v>
      </c>
      <c r="E100" s="69" t="s">
        <v>433</v>
      </c>
      <c r="F100" s="109" t="s">
        <v>434</v>
      </c>
      <c r="G100" s="79">
        <v>1</v>
      </c>
      <c r="H100" s="79">
        <v>2</v>
      </c>
      <c r="I100" s="48"/>
      <c r="J100" s="48">
        <f t="shared" si="25"/>
        <v>0</v>
      </c>
      <c r="K100" s="48">
        <f t="shared" si="25"/>
        <v>0</v>
      </c>
      <c r="L100" s="48"/>
      <c r="M100" s="48"/>
      <c r="N100" s="48"/>
      <c r="O100" s="77">
        <v>220000</v>
      </c>
      <c r="P100" s="77">
        <f t="shared" si="20"/>
        <v>220000</v>
      </c>
      <c r="Q100" s="77">
        <f t="shared" si="21"/>
        <v>440000</v>
      </c>
      <c r="R100" s="77">
        <f t="shared" si="22"/>
        <v>660000</v>
      </c>
      <c r="S100" s="77">
        <f t="shared" si="23"/>
        <v>105600</v>
      </c>
      <c r="T100" s="77">
        <f t="shared" si="24"/>
        <v>765600</v>
      </c>
      <c r="U100" s="78" t="s">
        <v>62</v>
      </c>
      <c r="V100" s="85"/>
      <c r="W100" s="91" t="s">
        <v>611</v>
      </c>
    </row>
    <row r="101" spans="1:23" ht="28.2" customHeight="1" x14ac:dyDescent="0.3">
      <c r="A101" s="92">
        <v>164</v>
      </c>
      <c r="B101" s="68" t="s">
        <v>76</v>
      </c>
      <c r="C101" s="69" t="s">
        <v>94</v>
      </c>
      <c r="D101" s="68" t="s">
        <v>435</v>
      </c>
      <c r="E101" s="69" t="s">
        <v>106</v>
      </c>
      <c r="F101" s="109" t="s">
        <v>436</v>
      </c>
      <c r="G101" s="79">
        <v>1</v>
      </c>
      <c r="H101" s="79">
        <v>2</v>
      </c>
      <c r="I101" s="48"/>
      <c r="J101" s="48">
        <f t="shared" si="25"/>
        <v>0</v>
      </c>
      <c r="K101" s="48">
        <f t="shared" si="25"/>
        <v>0</v>
      </c>
      <c r="L101" s="48"/>
      <c r="M101" s="48"/>
      <c r="N101" s="48"/>
      <c r="O101" s="77">
        <v>220000</v>
      </c>
      <c r="P101" s="77">
        <f t="shared" si="20"/>
        <v>220000</v>
      </c>
      <c r="Q101" s="77">
        <f t="shared" si="21"/>
        <v>440000</v>
      </c>
      <c r="R101" s="77">
        <f t="shared" si="22"/>
        <v>660000</v>
      </c>
      <c r="S101" s="77">
        <f t="shared" si="23"/>
        <v>105600</v>
      </c>
      <c r="T101" s="77">
        <f t="shared" si="24"/>
        <v>765600</v>
      </c>
      <c r="U101" s="78" t="s">
        <v>62</v>
      </c>
      <c r="V101" s="85"/>
      <c r="W101" s="91" t="s">
        <v>611</v>
      </c>
    </row>
    <row r="102" spans="1:23" ht="28.2" customHeight="1" x14ac:dyDescent="0.3">
      <c r="A102" s="92">
        <v>165</v>
      </c>
      <c r="B102" s="68" t="s">
        <v>184</v>
      </c>
      <c r="C102" s="69" t="s">
        <v>94</v>
      </c>
      <c r="D102" s="68" t="s">
        <v>437</v>
      </c>
      <c r="E102" s="69" t="s">
        <v>183</v>
      </c>
      <c r="F102" s="109" t="s">
        <v>438</v>
      </c>
      <c r="G102" s="79">
        <v>1</v>
      </c>
      <c r="H102" s="79">
        <v>2</v>
      </c>
      <c r="I102" s="48"/>
      <c r="J102" s="48">
        <f t="shared" si="25"/>
        <v>0</v>
      </c>
      <c r="K102" s="48">
        <f t="shared" si="25"/>
        <v>0</v>
      </c>
      <c r="L102" s="48"/>
      <c r="M102" s="48"/>
      <c r="N102" s="48"/>
      <c r="O102" s="77">
        <v>220000</v>
      </c>
      <c r="P102" s="77">
        <f t="shared" si="20"/>
        <v>220000</v>
      </c>
      <c r="Q102" s="77">
        <f t="shared" si="21"/>
        <v>440000</v>
      </c>
      <c r="R102" s="77">
        <f t="shared" si="22"/>
        <v>660000</v>
      </c>
      <c r="S102" s="77">
        <f t="shared" si="23"/>
        <v>105600</v>
      </c>
      <c r="T102" s="77">
        <f t="shared" si="24"/>
        <v>765600</v>
      </c>
      <c r="U102" s="78" t="s">
        <v>62</v>
      </c>
      <c r="V102" s="85"/>
      <c r="W102" s="91" t="s">
        <v>611</v>
      </c>
    </row>
    <row r="103" spans="1:23" ht="28.2" customHeight="1" x14ac:dyDescent="0.3">
      <c r="A103" s="92">
        <v>166</v>
      </c>
      <c r="B103" s="68" t="s">
        <v>172</v>
      </c>
      <c r="C103" s="69" t="s">
        <v>94</v>
      </c>
      <c r="D103" s="68" t="s">
        <v>439</v>
      </c>
      <c r="E103" s="69" t="s">
        <v>171</v>
      </c>
      <c r="F103" s="109" t="s">
        <v>440</v>
      </c>
      <c r="G103" s="79">
        <v>1</v>
      </c>
      <c r="H103" s="79">
        <v>2</v>
      </c>
      <c r="I103" s="48"/>
      <c r="J103" s="48">
        <f t="shared" si="25"/>
        <v>0</v>
      </c>
      <c r="K103" s="48">
        <f t="shared" si="25"/>
        <v>0</v>
      </c>
      <c r="L103" s="48"/>
      <c r="M103" s="48"/>
      <c r="N103" s="48"/>
      <c r="O103" s="77">
        <v>300000</v>
      </c>
      <c r="P103" s="77">
        <f t="shared" si="20"/>
        <v>300000</v>
      </c>
      <c r="Q103" s="77">
        <f t="shared" si="21"/>
        <v>600000</v>
      </c>
      <c r="R103" s="77">
        <f t="shared" si="22"/>
        <v>900000</v>
      </c>
      <c r="S103" s="77">
        <f t="shared" si="23"/>
        <v>144000</v>
      </c>
      <c r="T103" s="77">
        <f t="shared" si="24"/>
        <v>1044000</v>
      </c>
      <c r="U103" s="78" t="s">
        <v>62</v>
      </c>
      <c r="V103" s="85"/>
      <c r="W103" s="91" t="s">
        <v>611</v>
      </c>
    </row>
    <row r="104" spans="1:23" ht="28.2" customHeight="1" x14ac:dyDescent="0.3">
      <c r="A104" s="92">
        <v>167</v>
      </c>
      <c r="B104" s="68" t="s">
        <v>441</v>
      </c>
      <c r="C104" s="69" t="s">
        <v>94</v>
      </c>
      <c r="D104" s="68" t="s">
        <v>442</v>
      </c>
      <c r="E104" s="69" t="s">
        <v>443</v>
      </c>
      <c r="F104" s="109" t="s">
        <v>444</v>
      </c>
      <c r="G104" s="79">
        <v>1</v>
      </c>
      <c r="H104" s="79">
        <v>2</v>
      </c>
      <c r="I104" s="48"/>
      <c r="J104" s="48">
        <f t="shared" si="25"/>
        <v>0</v>
      </c>
      <c r="K104" s="48">
        <f t="shared" si="25"/>
        <v>0</v>
      </c>
      <c r="L104" s="48"/>
      <c r="M104" s="48"/>
      <c r="N104" s="48"/>
      <c r="O104" s="77">
        <v>300000</v>
      </c>
      <c r="P104" s="77">
        <f t="shared" si="20"/>
        <v>300000</v>
      </c>
      <c r="Q104" s="77">
        <f t="shared" si="21"/>
        <v>600000</v>
      </c>
      <c r="R104" s="77">
        <f t="shared" si="22"/>
        <v>900000</v>
      </c>
      <c r="S104" s="77">
        <f t="shared" si="23"/>
        <v>144000</v>
      </c>
      <c r="T104" s="77">
        <f t="shared" si="24"/>
        <v>1044000</v>
      </c>
      <c r="U104" s="78" t="s">
        <v>62</v>
      </c>
      <c r="V104" s="85"/>
      <c r="W104" s="91" t="s">
        <v>611</v>
      </c>
    </row>
    <row r="105" spans="1:23" ht="28.2" customHeight="1" x14ac:dyDescent="0.3">
      <c r="A105" s="92">
        <v>168</v>
      </c>
      <c r="B105" s="68" t="s">
        <v>409</v>
      </c>
      <c r="C105" s="69" t="s">
        <v>94</v>
      </c>
      <c r="D105" s="68" t="s">
        <v>445</v>
      </c>
      <c r="E105" s="69" t="s">
        <v>411</v>
      </c>
      <c r="F105" s="109" t="s">
        <v>446</v>
      </c>
      <c r="G105" s="79">
        <v>1</v>
      </c>
      <c r="H105" s="79">
        <v>2</v>
      </c>
      <c r="I105" s="48"/>
      <c r="J105" s="48">
        <f t="shared" si="25"/>
        <v>0</v>
      </c>
      <c r="K105" s="48">
        <f t="shared" si="25"/>
        <v>0</v>
      </c>
      <c r="L105" s="48"/>
      <c r="M105" s="48"/>
      <c r="N105" s="48"/>
      <c r="O105" s="77">
        <v>250000</v>
      </c>
      <c r="P105" s="77">
        <f t="shared" si="20"/>
        <v>250000</v>
      </c>
      <c r="Q105" s="77">
        <f t="shared" si="21"/>
        <v>500000</v>
      </c>
      <c r="R105" s="77">
        <f t="shared" si="22"/>
        <v>750000</v>
      </c>
      <c r="S105" s="77">
        <f t="shared" si="23"/>
        <v>120000</v>
      </c>
      <c r="T105" s="77">
        <f t="shared" si="24"/>
        <v>870000</v>
      </c>
      <c r="U105" s="78" t="s">
        <v>62</v>
      </c>
      <c r="V105" s="85"/>
      <c r="W105" s="91" t="s">
        <v>611</v>
      </c>
    </row>
    <row r="106" spans="1:23" ht="28.2" customHeight="1" x14ac:dyDescent="0.3">
      <c r="A106" s="92">
        <v>169</v>
      </c>
      <c r="B106" s="68" t="s">
        <v>409</v>
      </c>
      <c r="C106" s="69" t="s">
        <v>254</v>
      </c>
      <c r="D106" s="68" t="s">
        <v>447</v>
      </c>
      <c r="E106" s="69" t="s">
        <v>411</v>
      </c>
      <c r="F106" s="109" t="s">
        <v>448</v>
      </c>
      <c r="G106" s="79">
        <v>1</v>
      </c>
      <c r="H106" s="79">
        <v>2</v>
      </c>
      <c r="I106" s="48"/>
      <c r="J106" s="48">
        <f t="shared" si="25"/>
        <v>0</v>
      </c>
      <c r="K106" s="48">
        <f t="shared" si="25"/>
        <v>0</v>
      </c>
      <c r="L106" s="48"/>
      <c r="M106" s="48"/>
      <c r="N106" s="48"/>
      <c r="O106" s="77">
        <v>240000</v>
      </c>
      <c r="P106" s="77">
        <f t="shared" si="20"/>
        <v>240000</v>
      </c>
      <c r="Q106" s="77">
        <f t="shared" si="21"/>
        <v>480000</v>
      </c>
      <c r="R106" s="77">
        <f t="shared" si="22"/>
        <v>720000</v>
      </c>
      <c r="S106" s="77">
        <f t="shared" si="23"/>
        <v>115200</v>
      </c>
      <c r="T106" s="77">
        <f t="shared" si="24"/>
        <v>835200</v>
      </c>
      <c r="U106" s="78" t="s">
        <v>50</v>
      </c>
      <c r="V106" s="81" t="s">
        <v>387</v>
      </c>
      <c r="W106" s="91" t="s">
        <v>611</v>
      </c>
    </row>
    <row r="107" spans="1:23" ht="28.2" customHeight="1" x14ac:dyDescent="0.3">
      <c r="A107" s="92">
        <v>171</v>
      </c>
      <c r="B107" s="68" t="s">
        <v>163</v>
      </c>
      <c r="C107" s="69" t="s">
        <v>94</v>
      </c>
      <c r="D107" s="68" t="s">
        <v>449</v>
      </c>
      <c r="E107" s="69" t="s">
        <v>162</v>
      </c>
      <c r="F107" s="109" t="s">
        <v>450</v>
      </c>
      <c r="G107" s="79">
        <v>1</v>
      </c>
      <c r="H107" s="79">
        <v>2</v>
      </c>
      <c r="I107" s="48"/>
      <c r="J107" s="48">
        <f t="shared" si="25"/>
        <v>0</v>
      </c>
      <c r="K107" s="48">
        <f t="shared" si="25"/>
        <v>0</v>
      </c>
      <c r="L107" s="48"/>
      <c r="M107" s="48"/>
      <c r="N107" s="48"/>
      <c r="O107" s="77">
        <v>230000</v>
      </c>
      <c r="P107" s="77">
        <f t="shared" si="20"/>
        <v>230000</v>
      </c>
      <c r="Q107" s="77">
        <f t="shared" si="21"/>
        <v>460000</v>
      </c>
      <c r="R107" s="77">
        <f t="shared" si="22"/>
        <v>690000</v>
      </c>
      <c r="S107" s="77">
        <f t="shared" si="23"/>
        <v>110400</v>
      </c>
      <c r="T107" s="77">
        <f t="shared" si="24"/>
        <v>800400</v>
      </c>
      <c r="U107" s="78" t="s">
        <v>62</v>
      </c>
      <c r="V107" s="85"/>
      <c r="W107" s="91" t="s">
        <v>611</v>
      </c>
    </row>
    <row r="108" spans="1:23" ht="28.2" customHeight="1" x14ac:dyDescent="0.3">
      <c r="A108" s="92">
        <v>172</v>
      </c>
      <c r="B108" s="68" t="s">
        <v>260</v>
      </c>
      <c r="C108" s="69" t="s">
        <v>94</v>
      </c>
      <c r="D108" s="68" t="s">
        <v>451</v>
      </c>
      <c r="E108" s="69" t="s">
        <v>452</v>
      </c>
      <c r="F108" s="109" t="s">
        <v>453</v>
      </c>
      <c r="G108" s="79">
        <v>1</v>
      </c>
      <c r="H108" s="79">
        <v>2</v>
      </c>
      <c r="I108" s="48"/>
      <c r="J108" s="48">
        <f t="shared" si="25"/>
        <v>0</v>
      </c>
      <c r="K108" s="48">
        <f t="shared" si="25"/>
        <v>0</v>
      </c>
      <c r="L108" s="48"/>
      <c r="M108" s="48"/>
      <c r="N108" s="48"/>
      <c r="O108" s="77">
        <v>300000</v>
      </c>
      <c r="P108" s="77">
        <f t="shared" si="20"/>
        <v>300000</v>
      </c>
      <c r="Q108" s="77">
        <f t="shared" si="21"/>
        <v>600000</v>
      </c>
      <c r="R108" s="77">
        <f t="shared" si="22"/>
        <v>900000</v>
      </c>
      <c r="S108" s="77">
        <f t="shared" si="23"/>
        <v>144000</v>
      </c>
      <c r="T108" s="77">
        <f t="shared" si="24"/>
        <v>1044000</v>
      </c>
      <c r="U108" s="78" t="s">
        <v>62</v>
      </c>
      <c r="V108" s="85"/>
      <c r="W108" s="91" t="s">
        <v>611</v>
      </c>
    </row>
    <row r="109" spans="1:23" ht="28.2" customHeight="1" x14ac:dyDescent="0.3">
      <c r="A109" s="92">
        <v>175</v>
      </c>
      <c r="B109" s="68" t="s">
        <v>260</v>
      </c>
      <c r="C109" s="69" t="s">
        <v>94</v>
      </c>
      <c r="D109" s="68" t="s">
        <v>454</v>
      </c>
      <c r="E109" s="69" t="s">
        <v>455</v>
      </c>
      <c r="F109" s="109" t="s">
        <v>456</v>
      </c>
      <c r="G109" s="79">
        <v>1</v>
      </c>
      <c r="H109" s="79">
        <v>2</v>
      </c>
      <c r="I109" s="48"/>
      <c r="J109" s="48">
        <f t="shared" si="25"/>
        <v>0</v>
      </c>
      <c r="K109" s="48">
        <f t="shared" si="25"/>
        <v>0</v>
      </c>
      <c r="L109" s="48"/>
      <c r="M109" s="48"/>
      <c r="N109" s="48"/>
      <c r="O109" s="77">
        <v>300000</v>
      </c>
      <c r="P109" s="77">
        <f t="shared" si="20"/>
        <v>300000</v>
      </c>
      <c r="Q109" s="77">
        <f t="shared" si="21"/>
        <v>600000</v>
      </c>
      <c r="R109" s="77">
        <f t="shared" si="22"/>
        <v>900000</v>
      </c>
      <c r="S109" s="77">
        <f t="shared" si="23"/>
        <v>144000</v>
      </c>
      <c r="T109" s="77">
        <f t="shared" si="24"/>
        <v>1044000</v>
      </c>
      <c r="U109" s="78" t="s">
        <v>62</v>
      </c>
      <c r="V109" s="85"/>
      <c r="W109" s="91" t="s">
        <v>611</v>
      </c>
    </row>
    <row r="110" spans="1:23" ht="28.2" customHeight="1" x14ac:dyDescent="0.3">
      <c r="A110" s="92">
        <v>179</v>
      </c>
      <c r="B110" s="68" t="s">
        <v>76</v>
      </c>
      <c r="C110" s="69" t="s">
        <v>94</v>
      </c>
      <c r="D110" s="68" t="s">
        <v>457</v>
      </c>
      <c r="E110" s="69" t="s">
        <v>75</v>
      </c>
      <c r="F110" s="109" t="s">
        <v>458</v>
      </c>
      <c r="G110" s="79">
        <v>1</v>
      </c>
      <c r="H110" s="79">
        <v>2</v>
      </c>
      <c r="I110" s="48"/>
      <c r="J110" s="48">
        <f t="shared" si="25"/>
        <v>0</v>
      </c>
      <c r="K110" s="48">
        <f t="shared" si="25"/>
        <v>0</v>
      </c>
      <c r="L110" s="48"/>
      <c r="M110" s="48"/>
      <c r="N110" s="48"/>
      <c r="O110" s="77">
        <v>230000</v>
      </c>
      <c r="P110" s="77">
        <f t="shared" ref="P110:P141" si="29">G110*O110</f>
        <v>230000</v>
      </c>
      <c r="Q110" s="77">
        <f t="shared" ref="Q110:Q141" si="30">H110*O110</f>
        <v>460000</v>
      </c>
      <c r="R110" s="77">
        <f t="shared" ref="R110:R141" si="31">SUM(P110:Q110)</f>
        <v>690000</v>
      </c>
      <c r="S110" s="77">
        <f t="shared" ref="S110:S141" si="32">R110*$S$9</f>
        <v>110400</v>
      </c>
      <c r="T110" s="77">
        <f t="shared" ref="T110:T141" si="33">SUM(R110:S110)</f>
        <v>800400</v>
      </c>
      <c r="U110" s="78" t="s">
        <v>62</v>
      </c>
      <c r="V110" s="85"/>
      <c r="W110" s="91" t="s">
        <v>611</v>
      </c>
    </row>
    <row r="111" spans="1:23" ht="28.2" customHeight="1" x14ac:dyDescent="0.3">
      <c r="A111" s="92">
        <v>183</v>
      </c>
      <c r="B111" s="68" t="s">
        <v>241</v>
      </c>
      <c r="C111" s="69" t="s">
        <v>459</v>
      </c>
      <c r="D111" s="68" t="s">
        <v>460</v>
      </c>
      <c r="E111" s="69" t="s">
        <v>240</v>
      </c>
      <c r="F111" s="109" t="s">
        <v>461</v>
      </c>
      <c r="G111" s="79">
        <v>1</v>
      </c>
      <c r="H111" s="79">
        <v>2</v>
      </c>
      <c r="I111" s="48"/>
      <c r="J111" s="48">
        <f t="shared" si="25"/>
        <v>0</v>
      </c>
      <c r="K111" s="48">
        <f t="shared" si="25"/>
        <v>0</v>
      </c>
      <c r="L111" s="48"/>
      <c r="M111" s="48"/>
      <c r="N111" s="48"/>
      <c r="O111" s="77">
        <v>300000</v>
      </c>
      <c r="P111" s="77">
        <f t="shared" si="29"/>
        <v>300000</v>
      </c>
      <c r="Q111" s="77">
        <f t="shared" si="30"/>
        <v>600000</v>
      </c>
      <c r="R111" s="77">
        <f t="shared" si="31"/>
        <v>900000</v>
      </c>
      <c r="S111" s="77">
        <f t="shared" si="32"/>
        <v>144000</v>
      </c>
      <c r="T111" s="77">
        <f t="shared" si="33"/>
        <v>1044000</v>
      </c>
      <c r="U111" s="78" t="s">
        <v>62</v>
      </c>
      <c r="V111" s="85"/>
      <c r="W111" s="91" t="s">
        <v>611</v>
      </c>
    </row>
    <row r="112" spans="1:23" ht="28.2" customHeight="1" x14ac:dyDescent="0.3">
      <c r="A112" s="92">
        <v>184</v>
      </c>
      <c r="B112" s="68" t="s">
        <v>241</v>
      </c>
      <c r="C112" s="69" t="s">
        <v>459</v>
      </c>
      <c r="D112" s="68" t="s">
        <v>462</v>
      </c>
      <c r="E112" s="69" t="s">
        <v>240</v>
      </c>
      <c r="F112" s="109" t="s">
        <v>463</v>
      </c>
      <c r="G112" s="79">
        <v>1</v>
      </c>
      <c r="H112" s="79">
        <v>2</v>
      </c>
      <c r="I112" s="48"/>
      <c r="J112" s="48">
        <f t="shared" si="25"/>
        <v>0</v>
      </c>
      <c r="K112" s="48">
        <f t="shared" si="25"/>
        <v>0</v>
      </c>
      <c r="L112" s="48"/>
      <c r="M112" s="48"/>
      <c r="N112" s="48"/>
      <c r="O112" s="77">
        <v>300000</v>
      </c>
      <c r="P112" s="77">
        <f t="shared" si="29"/>
        <v>300000</v>
      </c>
      <c r="Q112" s="77">
        <f t="shared" si="30"/>
        <v>600000</v>
      </c>
      <c r="R112" s="77">
        <f t="shared" si="31"/>
        <v>900000</v>
      </c>
      <c r="S112" s="77">
        <f t="shared" si="32"/>
        <v>144000</v>
      </c>
      <c r="T112" s="77">
        <f t="shared" si="33"/>
        <v>1044000</v>
      </c>
      <c r="U112" s="78" t="s">
        <v>62</v>
      </c>
      <c r="V112" s="85"/>
      <c r="W112" s="91" t="s">
        <v>611</v>
      </c>
    </row>
    <row r="113" spans="1:23" ht="28.2" customHeight="1" x14ac:dyDescent="0.3">
      <c r="A113" s="86">
        <v>185</v>
      </c>
      <c r="B113" s="68" t="s">
        <v>47</v>
      </c>
      <c r="C113" s="69" t="s">
        <v>117</v>
      </c>
      <c r="D113" s="68" t="s">
        <v>121</v>
      </c>
      <c r="E113" s="69" t="s">
        <v>80</v>
      </c>
      <c r="F113" s="109" t="s">
        <v>464</v>
      </c>
      <c r="G113" s="79">
        <v>2</v>
      </c>
      <c r="H113" s="79">
        <v>4</v>
      </c>
      <c r="I113" s="48">
        <v>122850</v>
      </c>
      <c r="J113" s="48">
        <f t="shared" si="25"/>
        <v>122850</v>
      </c>
      <c r="K113" s="48">
        <f t="shared" si="25"/>
        <v>122850</v>
      </c>
      <c r="L113" s="48">
        <f t="shared" ref="L113:L114" si="34">SUM(I113:K113)</f>
        <v>368550</v>
      </c>
      <c r="M113" s="48">
        <f t="shared" ref="M113:M114" si="35">L113*0.16</f>
        <v>58968</v>
      </c>
      <c r="N113" s="48">
        <f t="shared" ref="N113:N114" si="36">SUM(L113:M113)</f>
        <v>427518</v>
      </c>
      <c r="O113" s="77">
        <v>300000</v>
      </c>
      <c r="P113" s="77">
        <f t="shared" si="29"/>
        <v>600000</v>
      </c>
      <c r="Q113" s="77">
        <f t="shared" si="30"/>
        <v>1200000</v>
      </c>
      <c r="R113" s="77">
        <f t="shared" si="31"/>
        <v>1800000</v>
      </c>
      <c r="S113" s="77">
        <f t="shared" si="32"/>
        <v>288000</v>
      </c>
      <c r="T113" s="77">
        <f t="shared" si="33"/>
        <v>2088000</v>
      </c>
      <c r="U113" s="78" t="s">
        <v>50</v>
      </c>
      <c r="V113" s="81" t="s">
        <v>295</v>
      </c>
      <c r="W113" s="83" t="s">
        <v>608</v>
      </c>
    </row>
    <row r="114" spans="1:23" ht="28.2" customHeight="1" x14ac:dyDescent="0.3">
      <c r="A114" s="86">
        <v>196</v>
      </c>
      <c r="B114" s="68" t="s">
        <v>98</v>
      </c>
      <c r="C114" s="69" t="s">
        <v>199</v>
      </c>
      <c r="D114" s="68" t="s">
        <v>200</v>
      </c>
      <c r="E114" s="69" t="s">
        <v>97</v>
      </c>
      <c r="F114" s="109" t="s">
        <v>465</v>
      </c>
      <c r="G114" s="79">
        <v>1</v>
      </c>
      <c r="H114" s="79">
        <v>2</v>
      </c>
      <c r="I114" s="48">
        <v>150000</v>
      </c>
      <c r="J114" s="48">
        <f t="shared" si="25"/>
        <v>150000</v>
      </c>
      <c r="K114" s="48">
        <f t="shared" si="25"/>
        <v>150000</v>
      </c>
      <c r="L114" s="48">
        <f t="shared" si="34"/>
        <v>450000</v>
      </c>
      <c r="M114" s="48">
        <f t="shared" si="35"/>
        <v>72000</v>
      </c>
      <c r="N114" s="48">
        <f t="shared" si="36"/>
        <v>522000</v>
      </c>
      <c r="O114" s="77">
        <v>350000</v>
      </c>
      <c r="P114" s="77">
        <f t="shared" si="29"/>
        <v>350000</v>
      </c>
      <c r="Q114" s="77">
        <f t="shared" si="30"/>
        <v>700000</v>
      </c>
      <c r="R114" s="77">
        <f t="shared" si="31"/>
        <v>1050000</v>
      </c>
      <c r="S114" s="77">
        <f t="shared" si="32"/>
        <v>168000</v>
      </c>
      <c r="T114" s="77">
        <f t="shared" si="33"/>
        <v>1218000</v>
      </c>
      <c r="U114" s="78" t="s">
        <v>62</v>
      </c>
      <c r="V114" s="85"/>
      <c r="W114" s="83" t="s">
        <v>608</v>
      </c>
    </row>
    <row r="115" spans="1:23" ht="28.2" customHeight="1" x14ac:dyDescent="0.3">
      <c r="A115" s="92">
        <v>198</v>
      </c>
      <c r="B115" s="68" t="s">
        <v>103</v>
      </c>
      <c r="C115" s="69" t="s">
        <v>148</v>
      </c>
      <c r="D115" s="68" t="s">
        <v>466</v>
      </c>
      <c r="E115" s="69" t="s">
        <v>102</v>
      </c>
      <c r="F115" s="109" t="s">
        <v>467</v>
      </c>
      <c r="G115" s="79">
        <v>1</v>
      </c>
      <c r="H115" s="79">
        <v>2</v>
      </c>
      <c r="I115" s="48"/>
      <c r="J115" s="48">
        <f t="shared" si="25"/>
        <v>0</v>
      </c>
      <c r="K115" s="48">
        <f t="shared" si="25"/>
        <v>0</v>
      </c>
      <c r="L115" s="48"/>
      <c r="M115" s="48"/>
      <c r="N115" s="48"/>
      <c r="O115" s="77">
        <v>220000</v>
      </c>
      <c r="P115" s="77">
        <f t="shared" si="29"/>
        <v>220000</v>
      </c>
      <c r="Q115" s="77">
        <f t="shared" si="30"/>
        <v>440000</v>
      </c>
      <c r="R115" s="77">
        <f t="shared" si="31"/>
        <v>660000</v>
      </c>
      <c r="S115" s="77">
        <f t="shared" si="32"/>
        <v>105600</v>
      </c>
      <c r="T115" s="77">
        <f t="shared" si="33"/>
        <v>765600</v>
      </c>
      <c r="U115" s="78" t="s">
        <v>62</v>
      </c>
      <c r="V115" s="85"/>
      <c r="W115" s="91" t="s">
        <v>611</v>
      </c>
    </row>
    <row r="116" spans="1:23" ht="28.2" customHeight="1" x14ac:dyDescent="0.3">
      <c r="A116" s="92">
        <v>200</v>
      </c>
      <c r="B116" s="68" t="s">
        <v>249</v>
      </c>
      <c r="C116" s="69" t="s">
        <v>148</v>
      </c>
      <c r="D116" s="68" t="s">
        <v>468</v>
      </c>
      <c r="E116" s="69" t="s">
        <v>469</v>
      </c>
      <c r="F116" s="109" t="s">
        <v>470</v>
      </c>
      <c r="G116" s="79">
        <v>1</v>
      </c>
      <c r="H116" s="79">
        <v>2</v>
      </c>
      <c r="I116" s="48"/>
      <c r="J116" s="48">
        <f t="shared" si="25"/>
        <v>0</v>
      </c>
      <c r="K116" s="48">
        <f t="shared" si="25"/>
        <v>0</v>
      </c>
      <c r="L116" s="48"/>
      <c r="M116" s="48"/>
      <c r="N116" s="48"/>
      <c r="O116" s="77">
        <v>300000</v>
      </c>
      <c r="P116" s="77">
        <f t="shared" si="29"/>
        <v>300000</v>
      </c>
      <c r="Q116" s="77">
        <f t="shared" si="30"/>
        <v>600000</v>
      </c>
      <c r="R116" s="77">
        <f t="shared" si="31"/>
        <v>900000</v>
      </c>
      <c r="S116" s="77">
        <f t="shared" si="32"/>
        <v>144000</v>
      </c>
      <c r="T116" s="77">
        <f t="shared" si="33"/>
        <v>1044000</v>
      </c>
      <c r="U116" s="78" t="s">
        <v>62</v>
      </c>
      <c r="V116" s="85"/>
      <c r="W116" s="91" t="s">
        <v>611</v>
      </c>
    </row>
    <row r="117" spans="1:23" ht="28.2" customHeight="1" x14ac:dyDescent="0.3">
      <c r="A117" s="92">
        <v>203</v>
      </c>
      <c r="B117" s="68" t="s">
        <v>409</v>
      </c>
      <c r="C117" s="69" t="s">
        <v>471</v>
      </c>
      <c r="D117" s="68" t="s">
        <v>472</v>
      </c>
      <c r="E117" s="69" t="s">
        <v>411</v>
      </c>
      <c r="F117" s="109" t="s">
        <v>473</v>
      </c>
      <c r="G117" s="79">
        <v>1</v>
      </c>
      <c r="H117" s="79">
        <v>2</v>
      </c>
      <c r="I117" s="48"/>
      <c r="J117" s="48">
        <f t="shared" si="25"/>
        <v>0</v>
      </c>
      <c r="K117" s="48">
        <f t="shared" si="25"/>
        <v>0</v>
      </c>
      <c r="L117" s="48"/>
      <c r="M117" s="48"/>
      <c r="N117" s="48"/>
      <c r="O117" s="77">
        <v>350000</v>
      </c>
      <c r="P117" s="77">
        <f t="shared" si="29"/>
        <v>350000</v>
      </c>
      <c r="Q117" s="77">
        <f t="shared" si="30"/>
        <v>700000</v>
      </c>
      <c r="R117" s="77">
        <f t="shared" si="31"/>
        <v>1050000</v>
      </c>
      <c r="S117" s="77">
        <f t="shared" si="32"/>
        <v>168000</v>
      </c>
      <c r="T117" s="77">
        <f t="shared" si="33"/>
        <v>1218000</v>
      </c>
      <c r="U117" s="78" t="s">
        <v>50</v>
      </c>
      <c r="V117" s="81" t="s">
        <v>387</v>
      </c>
      <c r="W117" s="91" t="s">
        <v>611</v>
      </c>
    </row>
    <row r="118" spans="1:23" ht="28.2" customHeight="1" x14ac:dyDescent="0.3">
      <c r="A118" s="92">
        <v>204</v>
      </c>
      <c r="B118" s="68" t="s">
        <v>409</v>
      </c>
      <c r="C118" s="69" t="s">
        <v>474</v>
      </c>
      <c r="D118" s="68" t="s">
        <v>475</v>
      </c>
      <c r="E118" s="69" t="s">
        <v>411</v>
      </c>
      <c r="F118" s="109" t="s">
        <v>476</v>
      </c>
      <c r="G118" s="79">
        <v>1</v>
      </c>
      <c r="H118" s="79">
        <v>2</v>
      </c>
      <c r="I118" s="48"/>
      <c r="J118" s="48">
        <f t="shared" si="25"/>
        <v>0</v>
      </c>
      <c r="K118" s="48">
        <f t="shared" si="25"/>
        <v>0</v>
      </c>
      <c r="L118" s="48"/>
      <c r="M118" s="48"/>
      <c r="N118" s="48"/>
      <c r="O118" s="77">
        <v>600000</v>
      </c>
      <c r="P118" s="77">
        <f t="shared" si="29"/>
        <v>600000</v>
      </c>
      <c r="Q118" s="77">
        <f t="shared" si="30"/>
        <v>1200000</v>
      </c>
      <c r="R118" s="77">
        <f t="shared" si="31"/>
        <v>1800000</v>
      </c>
      <c r="S118" s="77">
        <f t="shared" si="32"/>
        <v>288000</v>
      </c>
      <c r="T118" s="77">
        <f t="shared" si="33"/>
        <v>2088000</v>
      </c>
      <c r="U118" s="78" t="s">
        <v>50</v>
      </c>
      <c r="V118" s="81" t="s">
        <v>336</v>
      </c>
      <c r="W118" s="91" t="s">
        <v>611</v>
      </c>
    </row>
    <row r="119" spans="1:23" ht="28.2" customHeight="1" x14ac:dyDescent="0.3">
      <c r="A119" s="86">
        <v>208</v>
      </c>
      <c r="B119" s="68" t="s">
        <v>124</v>
      </c>
      <c r="C119" s="69" t="s">
        <v>125</v>
      </c>
      <c r="D119" s="68" t="s">
        <v>126</v>
      </c>
      <c r="E119" s="69" t="s">
        <v>123</v>
      </c>
      <c r="F119" s="109" t="s">
        <v>477</v>
      </c>
      <c r="G119" s="79">
        <v>1</v>
      </c>
      <c r="H119" s="79">
        <v>2</v>
      </c>
      <c r="I119" s="48">
        <v>230000</v>
      </c>
      <c r="J119" s="48">
        <f t="shared" si="25"/>
        <v>230000</v>
      </c>
      <c r="K119" s="48">
        <f t="shared" si="25"/>
        <v>230000</v>
      </c>
      <c r="L119" s="48">
        <f>SUM(I119:K119)</f>
        <v>690000</v>
      </c>
      <c r="M119" s="48">
        <f>L119*0.16</f>
        <v>110400</v>
      </c>
      <c r="N119" s="48">
        <f>SUM(L119:M119)</f>
        <v>800400</v>
      </c>
      <c r="O119" s="77">
        <v>195000</v>
      </c>
      <c r="P119" s="77">
        <f t="shared" si="29"/>
        <v>195000</v>
      </c>
      <c r="Q119" s="77">
        <f t="shared" si="30"/>
        <v>390000</v>
      </c>
      <c r="R119" s="77">
        <f t="shared" si="31"/>
        <v>585000</v>
      </c>
      <c r="S119" s="77">
        <f t="shared" si="32"/>
        <v>93600</v>
      </c>
      <c r="T119" s="77">
        <f t="shared" si="33"/>
        <v>678600</v>
      </c>
      <c r="U119" s="78" t="s">
        <v>50</v>
      </c>
      <c r="V119" s="81" t="s">
        <v>292</v>
      </c>
      <c r="W119" s="83" t="s">
        <v>608</v>
      </c>
    </row>
    <row r="120" spans="1:23" ht="28.2" customHeight="1" x14ac:dyDescent="0.3">
      <c r="A120" s="92">
        <v>212</v>
      </c>
      <c r="B120" s="68" t="s">
        <v>47</v>
      </c>
      <c r="C120" s="69" t="s">
        <v>478</v>
      </c>
      <c r="D120" s="68" t="s">
        <v>479</v>
      </c>
      <c r="E120" s="69" t="s">
        <v>46</v>
      </c>
      <c r="F120" s="109" t="s">
        <v>480</v>
      </c>
      <c r="G120" s="79">
        <v>1</v>
      </c>
      <c r="H120" s="79">
        <v>2</v>
      </c>
      <c r="I120" s="48">
        <v>55000</v>
      </c>
      <c r="J120" s="48">
        <f t="shared" si="25"/>
        <v>55000</v>
      </c>
      <c r="K120" s="48">
        <f t="shared" si="25"/>
        <v>55000</v>
      </c>
      <c r="L120" s="48"/>
      <c r="M120" s="48"/>
      <c r="N120" s="48"/>
      <c r="O120" s="77">
        <v>220000</v>
      </c>
      <c r="P120" s="77">
        <f t="shared" si="29"/>
        <v>220000</v>
      </c>
      <c r="Q120" s="77">
        <f t="shared" si="30"/>
        <v>440000</v>
      </c>
      <c r="R120" s="77">
        <f t="shared" si="31"/>
        <v>660000</v>
      </c>
      <c r="S120" s="77">
        <f t="shared" si="32"/>
        <v>105600</v>
      </c>
      <c r="T120" s="77">
        <f t="shared" si="33"/>
        <v>765600</v>
      </c>
      <c r="U120" s="78" t="s">
        <v>50</v>
      </c>
      <c r="V120" s="81" t="s">
        <v>295</v>
      </c>
      <c r="W120" s="91" t="s">
        <v>611</v>
      </c>
    </row>
    <row r="121" spans="1:23" ht="28.2" customHeight="1" x14ac:dyDescent="0.3">
      <c r="A121" s="92">
        <v>213</v>
      </c>
      <c r="B121" s="68" t="s">
        <v>47</v>
      </c>
      <c r="C121" s="69" t="s">
        <v>481</v>
      </c>
      <c r="D121" s="68" t="s">
        <v>482</v>
      </c>
      <c r="E121" s="69" t="s">
        <v>46</v>
      </c>
      <c r="F121" s="109" t="s">
        <v>483</v>
      </c>
      <c r="G121" s="79">
        <v>1</v>
      </c>
      <c r="H121" s="79">
        <v>2</v>
      </c>
      <c r="I121" s="48">
        <v>47500</v>
      </c>
      <c r="J121" s="48">
        <f t="shared" si="25"/>
        <v>47500</v>
      </c>
      <c r="K121" s="48">
        <f t="shared" si="25"/>
        <v>47500</v>
      </c>
      <c r="L121" s="48">
        <f>SUM(I121:K121)</f>
        <v>142500</v>
      </c>
      <c r="M121" s="48">
        <f>L121*0.16</f>
        <v>22800</v>
      </c>
      <c r="N121" s="48">
        <f>SUM(L121:M121)</f>
        <v>165300</v>
      </c>
      <c r="O121" s="77">
        <v>150000</v>
      </c>
      <c r="P121" s="77">
        <f t="shared" si="29"/>
        <v>150000</v>
      </c>
      <c r="Q121" s="77">
        <f t="shared" si="30"/>
        <v>300000</v>
      </c>
      <c r="R121" s="77">
        <f t="shared" si="31"/>
        <v>450000</v>
      </c>
      <c r="S121" s="77">
        <f t="shared" si="32"/>
        <v>72000</v>
      </c>
      <c r="T121" s="77">
        <f t="shared" si="33"/>
        <v>522000</v>
      </c>
      <c r="U121" s="78" t="s">
        <v>50</v>
      </c>
      <c r="V121" s="81" t="s">
        <v>295</v>
      </c>
      <c r="W121" s="91" t="s">
        <v>611</v>
      </c>
    </row>
    <row r="122" spans="1:23" ht="28.2" customHeight="1" x14ac:dyDescent="0.3">
      <c r="A122" s="86">
        <v>214</v>
      </c>
      <c r="B122" s="68" t="s">
        <v>47</v>
      </c>
      <c r="C122" s="69" t="s">
        <v>70</v>
      </c>
      <c r="D122" s="68" t="s">
        <v>253</v>
      </c>
      <c r="E122" s="69" t="s">
        <v>46</v>
      </c>
      <c r="F122" s="109" t="s">
        <v>484</v>
      </c>
      <c r="G122" s="79">
        <v>1</v>
      </c>
      <c r="H122" s="79">
        <v>2</v>
      </c>
      <c r="I122" s="48">
        <v>50000</v>
      </c>
      <c r="J122" s="48">
        <f t="shared" si="25"/>
        <v>50000</v>
      </c>
      <c r="K122" s="48">
        <f t="shared" si="25"/>
        <v>50000</v>
      </c>
      <c r="L122" s="48">
        <f t="shared" ref="L122:L126" si="37">SUM(I122:K122)</f>
        <v>150000</v>
      </c>
      <c r="M122" s="48">
        <f t="shared" ref="M122:M126" si="38">L122*0.16</f>
        <v>24000</v>
      </c>
      <c r="N122" s="48">
        <f t="shared" ref="N122:N126" si="39">SUM(L122:M122)</f>
        <v>174000</v>
      </c>
      <c r="O122" s="77">
        <v>150000</v>
      </c>
      <c r="P122" s="77">
        <f t="shared" si="29"/>
        <v>150000</v>
      </c>
      <c r="Q122" s="77">
        <f t="shared" si="30"/>
        <v>300000</v>
      </c>
      <c r="R122" s="77">
        <f t="shared" si="31"/>
        <v>450000</v>
      </c>
      <c r="S122" s="77">
        <f t="shared" si="32"/>
        <v>72000</v>
      </c>
      <c r="T122" s="77">
        <f t="shared" si="33"/>
        <v>522000</v>
      </c>
      <c r="U122" s="78" t="s">
        <v>50</v>
      </c>
      <c r="V122" s="81" t="s">
        <v>316</v>
      </c>
      <c r="W122" s="83" t="s">
        <v>608</v>
      </c>
    </row>
    <row r="123" spans="1:23" ht="28.2" customHeight="1" x14ac:dyDescent="0.3">
      <c r="A123" s="86">
        <v>215</v>
      </c>
      <c r="B123" s="68" t="s">
        <v>47</v>
      </c>
      <c r="C123" s="69" t="s">
        <v>159</v>
      </c>
      <c r="D123" s="68" t="s">
        <v>160</v>
      </c>
      <c r="E123" s="69" t="s">
        <v>46</v>
      </c>
      <c r="F123" s="109" t="s">
        <v>485</v>
      </c>
      <c r="G123" s="79">
        <v>1</v>
      </c>
      <c r="H123" s="79">
        <v>2</v>
      </c>
      <c r="I123" s="48">
        <v>70000</v>
      </c>
      <c r="J123" s="48">
        <f t="shared" si="25"/>
        <v>70000</v>
      </c>
      <c r="K123" s="48">
        <f t="shared" si="25"/>
        <v>70000</v>
      </c>
      <c r="L123" s="48">
        <f t="shared" si="37"/>
        <v>210000</v>
      </c>
      <c r="M123" s="48">
        <f t="shared" si="38"/>
        <v>33600</v>
      </c>
      <c r="N123" s="48">
        <f t="shared" si="39"/>
        <v>243600</v>
      </c>
      <c r="O123" s="77">
        <v>130000</v>
      </c>
      <c r="P123" s="77">
        <f t="shared" si="29"/>
        <v>130000</v>
      </c>
      <c r="Q123" s="77">
        <f t="shared" si="30"/>
        <v>260000</v>
      </c>
      <c r="R123" s="77">
        <f t="shared" si="31"/>
        <v>390000</v>
      </c>
      <c r="S123" s="77">
        <f t="shared" si="32"/>
        <v>62400</v>
      </c>
      <c r="T123" s="77">
        <f t="shared" si="33"/>
        <v>452400</v>
      </c>
      <c r="U123" s="78" t="s">
        <v>50</v>
      </c>
      <c r="V123" s="81" t="s">
        <v>311</v>
      </c>
      <c r="W123" s="83" t="s">
        <v>608</v>
      </c>
    </row>
    <row r="124" spans="1:23" ht="28.2" customHeight="1" x14ac:dyDescent="0.3">
      <c r="A124" s="86">
        <v>218</v>
      </c>
      <c r="B124" s="68" t="s">
        <v>47</v>
      </c>
      <c r="C124" s="69" t="s">
        <v>145</v>
      </c>
      <c r="D124" s="68" t="s">
        <v>146</v>
      </c>
      <c r="E124" s="69" t="s">
        <v>142</v>
      </c>
      <c r="F124" s="109" t="s">
        <v>486</v>
      </c>
      <c r="G124" s="79">
        <v>1</v>
      </c>
      <c r="H124" s="79">
        <v>2</v>
      </c>
      <c r="I124" s="48">
        <v>100000</v>
      </c>
      <c r="J124" s="48">
        <f t="shared" si="25"/>
        <v>100000</v>
      </c>
      <c r="K124" s="48">
        <f t="shared" si="25"/>
        <v>100000</v>
      </c>
      <c r="L124" s="48">
        <f t="shared" si="37"/>
        <v>300000</v>
      </c>
      <c r="M124" s="48">
        <f t="shared" si="38"/>
        <v>48000</v>
      </c>
      <c r="N124" s="48">
        <f t="shared" si="39"/>
        <v>348000</v>
      </c>
      <c r="O124" s="77">
        <v>220000</v>
      </c>
      <c r="P124" s="77">
        <f t="shared" si="29"/>
        <v>220000</v>
      </c>
      <c r="Q124" s="77">
        <f t="shared" si="30"/>
        <v>440000</v>
      </c>
      <c r="R124" s="77">
        <f t="shared" si="31"/>
        <v>660000</v>
      </c>
      <c r="S124" s="77">
        <f t="shared" si="32"/>
        <v>105600</v>
      </c>
      <c r="T124" s="77">
        <f t="shared" si="33"/>
        <v>765600</v>
      </c>
      <c r="U124" s="78" t="s">
        <v>62</v>
      </c>
      <c r="V124" s="85"/>
      <c r="W124" s="83" t="s">
        <v>608</v>
      </c>
    </row>
    <row r="125" spans="1:23" ht="28.2" customHeight="1" x14ac:dyDescent="0.3">
      <c r="A125" s="86">
        <v>221</v>
      </c>
      <c r="B125" s="68" t="s">
        <v>103</v>
      </c>
      <c r="C125" s="69" t="s">
        <v>104</v>
      </c>
      <c r="D125" s="68" t="s">
        <v>105</v>
      </c>
      <c r="E125" s="69" t="s">
        <v>102</v>
      </c>
      <c r="F125" s="109" t="s">
        <v>487</v>
      </c>
      <c r="G125" s="79">
        <v>1</v>
      </c>
      <c r="H125" s="79">
        <v>2</v>
      </c>
      <c r="I125" s="48">
        <v>100000</v>
      </c>
      <c r="J125" s="48">
        <f t="shared" si="25"/>
        <v>100000</v>
      </c>
      <c r="K125" s="48">
        <f t="shared" si="25"/>
        <v>100000</v>
      </c>
      <c r="L125" s="48">
        <f t="shared" si="37"/>
        <v>300000</v>
      </c>
      <c r="M125" s="48">
        <f t="shared" si="38"/>
        <v>48000</v>
      </c>
      <c r="N125" s="48">
        <f t="shared" si="39"/>
        <v>348000</v>
      </c>
      <c r="O125" s="77">
        <v>220000</v>
      </c>
      <c r="P125" s="77">
        <f t="shared" si="29"/>
        <v>220000</v>
      </c>
      <c r="Q125" s="77">
        <f t="shared" si="30"/>
        <v>440000</v>
      </c>
      <c r="R125" s="77">
        <f t="shared" si="31"/>
        <v>660000</v>
      </c>
      <c r="S125" s="77">
        <f t="shared" si="32"/>
        <v>105600</v>
      </c>
      <c r="T125" s="77">
        <f t="shared" si="33"/>
        <v>765600</v>
      </c>
      <c r="U125" s="78" t="s">
        <v>62</v>
      </c>
      <c r="V125" s="85"/>
      <c r="W125" s="83" t="s">
        <v>608</v>
      </c>
    </row>
    <row r="126" spans="1:23" ht="28.2" customHeight="1" x14ac:dyDescent="0.3">
      <c r="A126" s="86">
        <v>222</v>
      </c>
      <c r="B126" s="68" t="s">
        <v>103</v>
      </c>
      <c r="C126" s="69" t="s">
        <v>127</v>
      </c>
      <c r="D126" s="68" t="s">
        <v>128</v>
      </c>
      <c r="E126" s="69" t="s">
        <v>102</v>
      </c>
      <c r="F126" s="109" t="s">
        <v>488</v>
      </c>
      <c r="G126" s="79">
        <v>1</v>
      </c>
      <c r="H126" s="79">
        <v>2</v>
      </c>
      <c r="I126" s="48">
        <v>150000</v>
      </c>
      <c r="J126" s="48">
        <f t="shared" si="25"/>
        <v>150000</v>
      </c>
      <c r="K126" s="48">
        <f t="shared" si="25"/>
        <v>150000</v>
      </c>
      <c r="L126" s="48">
        <f t="shared" si="37"/>
        <v>450000</v>
      </c>
      <c r="M126" s="48">
        <f t="shared" si="38"/>
        <v>72000</v>
      </c>
      <c r="N126" s="48">
        <f t="shared" si="39"/>
        <v>522000</v>
      </c>
      <c r="O126" s="77">
        <v>365000</v>
      </c>
      <c r="P126" s="77">
        <f t="shared" si="29"/>
        <v>365000</v>
      </c>
      <c r="Q126" s="77">
        <f t="shared" si="30"/>
        <v>730000</v>
      </c>
      <c r="R126" s="77">
        <f t="shared" si="31"/>
        <v>1095000</v>
      </c>
      <c r="S126" s="77">
        <f t="shared" si="32"/>
        <v>175200</v>
      </c>
      <c r="T126" s="77">
        <f t="shared" si="33"/>
        <v>1270200</v>
      </c>
      <c r="U126" s="78" t="s">
        <v>50</v>
      </c>
      <c r="V126" s="81" t="s">
        <v>489</v>
      </c>
      <c r="W126" s="83" t="s">
        <v>608</v>
      </c>
    </row>
    <row r="127" spans="1:23" ht="28.2" customHeight="1" x14ac:dyDescent="0.3">
      <c r="A127" s="92">
        <v>223</v>
      </c>
      <c r="B127" s="68" t="s">
        <v>167</v>
      </c>
      <c r="C127" s="69" t="s">
        <v>490</v>
      </c>
      <c r="D127" s="68" t="s">
        <v>491</v>
      </c>
      <c r="E127" s="69" t="s">
        <v>492</v>
      </c>
      <c r="F127" s="109" t="s">
        <v>493</v>
      </c>
      <c r="G127" s="79">
        <v>1</v>
      </c>
      <c r="H127" s="79">
        <v>2</v>
      </c>
      <c r="I127" s="48"/>
      <c r="J127" s="48">
        <f t="shared" si="25"/>
        <v>0</v>
      </c>
      <c r="K127" s="48">
        <f t="shared" si="25"/>
        <v>0</v>
      </c>
      <c r="L127" s="48"/>
      <c r="M127" s="48"/>
      <c r="N127" s="48"/>
      <c r="O127" s="77">
        <v>220000</v>
      </c>
      <c r="P127" s="77">
        <f t="shared" si="29"/>
        <v>220000</v>
      </c>
      <c r="Q127" s="77">
        <f t="shared" si="30"/>
        <v>440000</v>
      </c>
      <c r="R127" s="77">
        <f t="shared" si="31"/>
        <v>660000</v>
      </c>
      <c r="S127" s="77">
        <f t="shared" si="32"/>
        <v>105600</v>
      </c>
      <c r="T127" s="77">
        <f t="shared" si="33"/>
        <v>765600</v>
      </c>
      <c r="U127" s="78" t="s">
        <v>62</v>
      </c>
      <c r="V127" s="85"/>
      <c r="W127" s="91" t="s">
        <v>611</v>
      </c>
    </row>
    <row r="128" spans="1:23" ht="28.2" customHeight="1" x14ac:dyDescent="0.3">
      <c r="A128" s="92">
        <v>225</v>
      </c>
      <c r="B128" s="68" t="s">
        <v>494</v>
      </c>
      <c r="C128" s="69" t="s">
        <v>94</v>
      </c>
      <c r="D128" s="68" t="s">
        <v>495</v>
      </c>
      <c r="E128" s="69" t="s">
        <v>496</v>
      </c>
      <c r="F128" s="109" t="s">
        <v>497</v>
      </c>
      <c r="G128" s="79">
        <v>1</v>
      </c>
      <c r="H128" s="79">
        <v>2</v>
      </c>
      <c r="I128" s="48"/>
      <c r="J128" s="48">
        <f t="shared" si="25"/>
        <v>0</v>
      </c>
      <c r="K128" s="48">
        <f t="shared" si="25"/>
        <v>0</v>
      </c>
      <c r="L128" s="48"/>
      <c r="M128" s="48"/>
      <c r="N128" s="48"/>
      <c r="O128" s="77">
        <v>300000</v>
      </c>
      <c r="P128" s="77">
        <f t="shared" si="29"/>
        <v>300000</v>
      </c>
      <c r="Q128" s="77">
        <f t="shared" si="30"/>
        <v>600000</v>
      </c>
      <c r="R128" s="77">
        <f t="shared" si="31"/>
        <v>900000</v>
      </c>
      <c r="S128" s="77">
        <f t="shared" si="32"/>
        <v>144000</v>
      </c>
      <c r="T128" s="77">
        <f t="shared" si="33"/>
        <v>1044000</v>
      </c>
      <c r="U128" s="78" t="s">
        <v>62</v>
      </c>
      <c r="V128" s="85"/>
      <c r="W128" s="91" t="s">
        <v>611</v>
      </c>
    </row>
    <row r="129" spans="1:23" ht="28.2" customHeight="1" x14ac:dyDescent="0.3">
      <c r="A129" s="92">
        <v>226</v>
      </c>
      <c r="B129" s="68" t="s">
        <v>249</v>
      </c>
      <c r="C129" s="69" t="s">
        <v>164</v>
      </c>
      <c r="D129" s="68" t="s">
        <v>498</v>
      </c>
      <c r="E129" s="69" t="s">
        <v>469</v>
      </c>
      <c r="F129" s="109" t="s">
        <v>499</v>
      </c>
      <c r="G129" s="79">
        <v>1</v>
      </c>
      <c r="H129" s="79">
        <v>2</v>
      </c>
      <c r="I129" s="48"/>
      <c r="J129" s="48">
        <f t="shared" si="25"/>
        <v>0</v>
      </c>
      <c r="K129" s="48">
        <f t="shared" si="25"/>
        <v>0</v>
      </c>
      <c r="L129" s="48"/>
      <c r="M129" s="48"/>
      <c r="N129" s="48"/>
      <c r="O129" s="77">
        <v>300000</v>
      </c>
      <c r="P129" s="77">
        <f t="shared" si="29"/>
        <v>300000</v>
      </c>
      <c r="Q129" s="77">
        <f t="shared" si="30"/>
        <v>600000</v>
      </c>
      <c r="R129" s="77">
        <f t="shared" si="31"/>
        <v>900000</v>
      </c>
      <c r="S129" s="77">
        <f t="shared" si="32"/>
        <v>144000</v>
      </c>
      <c r="T129" s="77">
        <f t="shared" si="33"/>
        <v>1044000</v>
      </c>
      <c r="U129" s="78" t="s">
        <v>62</v>
      </c>
      <c r="V129" s="85"/>
      <c r="W129" s="91" t="s">
        <v>611</v>
      </c>
    </row>
    <row r="130" spans="1:23" ht="28.2" customHeight="1" x14ac:dyDescent="0.3">
      <c r="A130" s="86">
        <v>227</v>
      </c>
      <c r="B130" s="68" t="s">
        <v>184</v>
      </c>
      <c r="C130" s="69" t="s">
        <v>164</v>
      </c>
      <c r="D130" s="68" t="s">
        <v>185</v>
      </c>
      <c r="E130" s="69" t="s">
        <v>183</v>
      </c>
      <c r="F130" s="109" t="s">
        <v>500</v>
      </c>
      <c r="G130" s="79">
        <v>1</v>
      </c>
      <c r="H130" s="79">
        <v>2</v>
      </c>
      <c r="I130" s="48">
        <v>100000</v>
      </c>
      <c r="J130" s="48">
        <f t="shared" si="25"/>
        <v>100000</v>
      </c>
      <c r="K130" s="48">
        <f t="shared" si="25"/>
        <v>100000</v>
      </c>
      <c r="L130" s="48">
        <f t="shared" ref="L130:L131" si="40">SUM(I130:K130)</f>
        <v>300000</v>
      </c>
      <c r="M130" s="48">
        <f t="shared" ref="M130:M131" si="41">L130*0.16</f>
        <v>48000</v>
      </c>
      <c r="N130" s="48">
        <f t="shared" ref="N130:N131" si="42">SUM(L130:M130)</f>
        <v>348000</v>
      </c>
      <c r="O130" s="77">
        <v>220000</v>
      </c>
      <c r="P130" s="77">
        <f t="shared" si="29"/>
        <v>220000</v>
      </c>
      <c r="Q130" s="77">
        <f t="shared" si="30"/>
        <v>440000</v>
      </c>
      <c r="R130" s="77">
        <f t="shared" si="31"/>
        <v>660000</v>
      </c>
      <c r="S130" s="77">
        <f t="shared" si="32"/>
        <v>105600</v>
      </c>
      <c r="T130" s="77">
        <f t="shared" si="33"/>
        <v>765600</v>
      </c>
      <c r="U130" s="78" t="s">
        <v>62</v>
      </c>
      <c r="V130" s="85"/>
      <c r="W130" s="83" t="s">
        <v>608</v>
      </c>
    </row>
    <row r="131" spans="1:23" ht="28.2" customHeight="1" x14ac:dyDescent="0.3">
      <c r="A131" s="86">
        <v>228</v>
      </c>
      <c r="B131" s="68" t="s">
        <v>184</v>
      </c>
      <c r="C131" s="69" t="s">
        <v>186</v>
      </c>
      <c r="D131" s="68" t="s">
        <v>187</v>
      </c>
      <c r="E131" s="69" t="s">
        <v>183</v>
      </c>
      <c r="F131" s="109" t="s">
        <v>501</v>
      </c>
      <c r="G131" s="79">
        <v>1</v>
      </c>
      <c r="H131" s="79">
        <v>2</v>
      </c>
      <c r="I131" s="48">
        <v>100000</v>
      </c>
      <c r="J131" s="48">
        <f t="shared" si="25"/>
        <v>100000</v>
      </c>
      <c r="K131" s="48">
        <f t="shared" si="25"/>
        <v>100000</v>
      </c>
      <c r="L131" s="48">
        <f t="shared" si="40"/>
        <v>300000</v>
      </c>
      <c r="M131" s="48">
        <f t="shared" si="41"/>
        <v>48000</v>
      </c>
      <c r="N131" s="48">
        <f t="shared" si="42"/>
        <v>348000</v>
      </c>
      <c r="O131" s="77">
        <v>220000</v>
      </c>
      <c r="P131" s="77">
        <f t="shared" si="29"/>
        <v>220000</v>
      </c>
      <c r="Q131" s="77">
        <f t="shared" si="30"/>
        <v>440000</v>
      </c>
      <c r="R131" s="77">
        <f t="shared" si="31"/>
        <v>660000</v>
      </c>
      <c r="S131" s="77">
        <f t="shared" si="32"/>
        <v>105600</v>
      </c>
      <c r="T131" s="77">
        <f t="shared" si="33"/>
        <v>765600</v>
      </c>
      <c r="U131" s="78" t="s">
        <v>62</v>
      </c>
      <c r="V131" s="85"/>
      <c r="W131" s="83" t="s">
        <v>608</v>
      </c>
    </row>
    <row r="132" spans="1:23" ht="28.2" customHeight="1" x14ac:dyDescent="0.3">
      <c r="A132" s="92">
        <v>230</v>
      </c>
      <c r="B132" s="68" t="s">
        <v>502</v>
      </c>
      <c r="C132" s="69" t="s">
        <v>94</v>
      </c>
      <c r="D132" s="68" t="s">
        <v>503</v>
      </c>
      <c r="E132" s="69" t="s">
        <v>504</v>
      </c>
      <c r="F132" s="109" t="s">
        <v>505</v>
      </c>
      <c r="G132" s="79">
        <v>1</v>
      </c>
      <c r="H132" s="79">
        <v>2</v>
      </c>
      <c r="I132" s="48"/>
      <c r="J132" s="48">
        <f t="shared" si="25"/>
        <v>0</v>
      </c>
      <c r="K132" s="48">
        <f t="shared" si="25"/>
        <v>0</v>
      </c>
      <c r="L132" s="48"/>
      <c r="M132" s="48"/>
      <c r="N132" s="48"/>
      <c r="O132" s="77">
        <v>220000</v>
      </c>
      <c r="P132" s="77">
        <f t="shared" si="29"/>
        <v>220000</v>
      </c>
      <c r="Q132" s="77">
        <f t="shared" si="30"/>
        <v>440000</v>
      </c>
      <c r="R132" s="77">
        <f t="shared" si="31"/>
        <v>660000</v>
      </c>
      <c r="S132" s="77">
        <f t="shared" si="32"/>
        <v>105600</v>
      </c>
      <c r="T132" s="77">
        <f t="shared" si="33"/>
        <v>765600</v>
      </c>
      <c r="U132" s="78" t="s">
        <v>62</v>
      </c>
      <c r="V132" s="85"/>
      <c r="W132" s="91" t="s">
        <v>611</v>
      </c>
    </row>
    <row r="133" spans="1:23" ht="28.2" customHeight="1" x14ac:dyDescent="0.3">
      <c r="A133" s="86">
        <v>231</v>
      </c>
      <c r="B133" s="68" t="s">
        <v>163</v>
      </c>
      <c r="C133" s="69" t="s">
        <v>164</v>
      </c>
      <c r="D133" s="68" t="s">
        <v>165</v>
      </c>
      <c r="E133" s="69" t="s">
        <v>162</v>
      </c>
      <c r="F133" s="109" t="s">
        <v>506</v>
      </c>
      <c r="G133" s="79">
        <v>1</v>
      </c>
      <c r="H133" s="79">
        <v>2</v>
      </c>
      <c r="I133" s="48">
        <v>100000</v>
      </c>
      <c r="J133" s="48">
        <f t="shared" si="25"/>
        <v>100000</v>
      </c>
      <c r="K133" s="48">
        <f t="shared" si="25"/>
        <v>100000</v>
      </c>
      <c r="L133" s="48">
        <f t="shared" ref="L133:L134" si="43">SUM(I133:K133)</f>
        <v>300000</v>
      </c>
      <c r="M133" s="48">
        <f t="shared" ref="M133:M134" si="44">L133*0.16</f>
        <v>48000</v>
      </c>
      <c r="N133" s="48">
        <f t="shared" ref="N133:N134" si="45">SUM(L133:M133)</f>
        <v>348000</v>
      </c>
      <c r="O133" s="77">
        <v>220000</v>
      </c>
      <c r="P133" s="77">
        <f t="shared" si="29"/>
        <v>220000</v>
      </c>
      <c r="Q133" s="77">
        <f t="shared" si="30"/>
        <v>440000</v>
      </c>
      <c r="R133" s="77">
        <f t="shared" si="31"/>
        <v>660000</v>
      </c>
      <c r="S133" s="77">
        <f t="shared" si="32"/>
        <v>105600</v>
      </c>
      <c r="T133" s="77">
        <f t="shared" si="33"/>
        <v>765600</v>
      </c>
      <c r="U133" s="78" t="s">
        <v>62</v>
      </c>
      <c r="V133" s="85"/>
      <c r="W133" s="83" t="s">
        <v>608</v>
      </c>
    </row>
    <row r="134" spans="1:23" ht="28.2" customHeight="1" x14ac:dyDescent="0.3">
      <c r="A134" s="86">
        <v>232</v>
      </c>
      <c r="B134" s="68" t="s">
        <v>167</v>
      </c>
      <c r="C134" s="69" t="s">
        <v>168</v>
      </c>
      <c r="D134" s="68" t="s">
        <v>169</v>
      </c>
      <c r="E134" s="69" t="s">
        <v>166</v>
      </c>
      <c r="F134" s="109" t="s">
        <v>507</v>
      </c>
      <c r="G134" s="79">
        <v>1</v>
      </c>
      <c r="H134" s="79">
        <v>2</v>
      </c>
      <c r="I134" s="48">
        <v>100000</v>
      </c>
      <c r="J134" s="48">
        <f t="shared" si="25"/>
        <v>100000</v>
      </c>
      <c r="K134" s="48">
        <f t="shared" si="25"/>
        <v>100000</v>
      </c>
      <c r="L134" s="48">
        <f t="shared" si="43"/>
        <v>300000</v>
      </c>
      <c r="M134" s="48">
        <f t="shared" si="44"/>
        <v>48000</v>
      </c>
      <c r="N134" s="48">
        <f t="shared" si="45"/>
        <v>348000</v>
      </c>
      <c r="O134" s="77">
        <v>220000</v>
      </c>
      <c r="P134" s="77">
        <f t="shared" si="29"/>
        <v>220000</v>
      </c>
      <c r="Q134" s="77">
        <f t="shared" si="30"/>
        <v>440000</v>
      </c>
      <c r="R134" s="77">
        <f t="shared" si="31"/>
        <v>660000</v>
      </c>
      <c r="S134" s="77">
        <f t="shared" si="32"/>
        <v>105600</v>
      </c>
      <c r="T134" s="77">
        <f t="shared" si="33"/>
        <v>765600</v>
      </c>
      <c r="U134" s="78" t="s">
        <v>62</v>
      </c>
      <c r="V134" s="85"/>
      <c r="W134" s="83" t="s">
        <v>608</v>
      </c>
    </row>
    <row r="135" spans="1:23" ht="28.2" customHeight="1" x14ac:dyDescent="0.3">
      <c r="A135" s="92">
        <v>265</v>
      </c>
      <c r="B135" s="68" t="s">
        <v>184</v>
      </c>
      <c r="C135" s="69" t="s">
        <v>508</v>
      </c>
      <c r="D135" s="68" t="s">
        <v>509</v>
      </c>
      <c r="E135" s="69" t="s">
        <v>510</v>
      </c>
      <c r="F135" s="109" t="s">
        <v>511</v>
      </c>
      <c r="G135" s="79">
        <v>1</v>
      </c>
      <c r="H135" s="79">
        <v>2</v>
      </c>
      <c r="I135" s="48"/>
      <c r="J135" s="48">
        <f t="shared" si="25"/>
        <v>0</v>
      </c>
      <c r="K135" s="48">
        <f t="shared" si="25"/>
        <v>0</v>
      </c>
      <c r="L135" s="48"/>
      <c r="M135" s="48"/>
      <c r="N135" s="48"/>
      <c r="O135" s="77">
        <v>220000</v>
      </c>
      <c r="P135" s="77">
        <f t="shared" si="29"/>
        <v>220000</v>
      </c>
      <c r="Q135" s="77">
        <f t="shared" si="30"/>
        <v>440000</v>
      </c>
      <c r="R135" s="77">
        <f t="shared" si="31"/>
        <v>660000</v>
      </c>
      <c r="S135" s="77">
        <f t="shared" si="32"/>
        <v>105600</v>
      </c>
      <c r="T135" s="77">
        <f t="shared" si="33"/>
        <v>765600</v>
      </c>
      <c r="U135" s="78" t="s">
        <v>62</v>
      </c>
      <c r="V135" s="85"/>
      <c r="W135" s="91" t="s">
        <v>611</v>
      </c>
    </row>
    <row r="136" spans="1:23" ht="28.2" customHeight="1" x14ac:dyDescent="0.3">
      <c r="A136" s="86">
        <v>268</v>
      </c>
      <c r="B136" s="68" t="s">
        <v>172</v>
      </c>
      <c r="C136" s="69" t="s">
        <v>201</v>
      </c>
      <c r="D136" s="68" t="s">
        <v>202</v>
      </c>
      <c r="E136" s="69" t="s">
        <v>171</v>
      </c>
      <c r="F136" s="109" t="s">
        <v>512</v>
      </c>
      <c r="G136" s="79">
        <v>1</v>
      </c>
      <c r="H136" s="79">
        <v>2</v>
      </c>
      <c r="I136" s="48">
        <v>200000</v>
      </c>
      <c r="J136" s="48">
        <f t="shared" si="25"/>
        <v>200000</v>
      </c>
      <c r="K136" s="48">
        <f t="shared" si="25"/>
        <v>200000</v>
      </c>
      <c r="L136" s="48">
        <f t="shared" ref="L136:L138" si="46">SUM(I136:K136)</f>
        <v>600000</v>
      </c>
      <c r="M136" s="48">
        <f t="shared" ref="M136:M138" si="47">L136*0.16</f>
        <v>96000</v>
      </c>
      <c r="N136" s="48">
        <f t="shared" ref="N136:N138" si="48">SUM(L136:M136)</f>
        <v>696000</v>
      </c>
      <c r="O136" s="77">
        <v>425000</v>
      </c>
      <c r="P136" s="77">
        <f t="shared" si="29"/>
        <v>425000</v>
      </c>
      <c r="Q136" s="77">
        <f t="shared" si="30"/>
        <v>850000</v>
      </c>
      <c r="R136" s="77">
        <f t="shared" si="31"/>
        <v>1275000</v>
      </c>
      <c r="S136" s="77">
        <f t="shared" si="32"/>
        <v>204000</v>
      </c>
      <c r="T136" s="77">
        <f t="shared" si="33"/>
        <v>1479000</v>
      </c>
      <c r="U136" s="78" t="s">
        <v>50</v>
      </c>
      <c r="V136" s="81" t="s">
        <v>377</v>
      </c>
      <c r="W136" s="83" t="s">
        <v>608</v>
      </c>
    </row>
    <row r="137" spans="1:23" ht="28.2" customHeight="1" x14ac:dyDescent="0.3">
      <c r="A137" s="86">
        <v>273</v>
      </c>
      <c r="B137" s="68" t="s">
        <v>172</v>
      </c>
      <c r="C137" s="69" t="s">
        <v>203</v>
      </c>
      <c r="D137" s="68" t="s">
        <v>204</v>
      </c>
      <c r="E137" s="69" t="s">
        <v>171</v>
      </c>
      <c r="F137" s="109" t="s">
        <v>513</v>
      </c>
      <c r="G137" s="79">
        <v>1</v>
      </c>
      <c r="H137" s="79">
        <v>2</v>
      </c>
      <c r="I137" s="48">
        <v>200000</v>
      </c>
      <c r="J137" s="48">
        <f t="shared" si="25"/>
        <v>200000</v>
      </c>
      <c r="K137" s="48">
        <f t="shared" si="25"/>
        <v>200000</v>
      </c>
      <c r="L137" s="48">
        <f t="shared" si="46"/>
        <v>600000</v>
      </c>
      <c r="M137" s="48">
        <f t="shared" si="47"/>
        <v>96000</v>
      </c>
      <c r="N137" s="48">
        <f t="shared" si="48"/>
        <v>696000</v>
      </c>
      <c r="O137" s="77">
        <v>400000</v>
      </c>
      <c r="P137" s="77">
        <f t="shared" si="29"/>
        <v>400000</v>
      </c>
      <c r="Q137" s="77">
        <f t="shared" si="30"/>
        <v>800000</v>
      </c>
      <c r="R137" s="77">
        <f t="shared" si="31"/>
        <v>1200000</v>
      </c>
      <c r="S137" s="77">
        <f t="shared" si="32"/>
        <v>192000</v>
      </c>
      <c r="T137" s="77">
        <f t="shared" si="33"/>
        <v>1392000</v>
      </c>
      <c r="U137" s="78" t="s">
        <v>50</v>
      </c>
      <c r="V137" s="81" t="s">
        <v>300</v>
      </c>
      <c r="W137" s="83" t="s">
        <v>608</v>
      </c>
    </row>
    <row r="138" spans="1:23" ht="28.2" customHeight="1" x14ac:dyDescent="0.3">
      <c r="A138" s="86">
        <v>283</v>
      </c>
      <c r="B138" s="68" t="s">
        <v>47</v>
      </c>
      <c r="C138" s="69" t="s">
        <v>254</v>
      </c>
      <c r="D138" s="68" t="s">
        <v>255</v>
      </c>
      <c r="E138" s="69" t="s">
        <v>46</v>
      </c>
      <c r="F138" s="109" t="s">
        <v>514</v>
      </c>
      <c r="G138" s="79">
        <v>1</v>
      </c>
      <c r="H138" s="79">
        <v>2</v>
      </c>
      <c r="I138" s="48">
        <v>80000</v>
      </c>
      <c r="J138" s="48">
        <f t="shared" si="25"/>
        <v>80000</v>
      </c>
      <c r="K138" s="48">
        <f t="shared" si="25"/>
        <v>80000</v>
      </c>
      <c r="L138" s="48">
        <f t="shared" si="46"/>
        <v>240000</v>
      </c>
      <c r="M138" s="48">
        <f t="shared" si="47"/>
        <v>38400</v>
      </c>
      <c r="N138" s="48">
        <f t="shared" si="48"/>
        <v>278400</v>
      </c>
      <c r="O138" s="77">
        <v>170000</v>
      </c>
      <c r="P138" s="77">
        <f t="shared" si="29"/>
        <v>170000</v>
      </c>
      <c r="Q138" s="77">
        <f t="shared" si="30"/>
        <v>340000</v>
      </c>
      <c r="R138" s="77">
        <f t="shared" si="31"/>
        <v>510000</v>
      </c>
      <c r="S138" s="77">
        <f t="shared" si="32"/>
        <v>81600</v>
      </c>
      <c r="T138" s="77">
        <f t="shared" si="33"/>
        <v>591600</v>
      </c>
      <c r="U138" s="78" t="s">
        <v>50</v>
      </c>
      <c r="V138" s="81" t="s">
        <v>387</v>
      </c>
      <c r="W138" s="83" t="s">
        <v>608</v>
      </c>
    </row>
    <row r="139" spans="1:23" ht="28.2" customHeight="1" x14ac:dyDescent="0.3">
      <c r="A139" s="92">
        <v>286</v>
      </c>
      <c r="B139" s="68" t="s">
        <v>76</v>
      </c>
      <c r="C139" s="69" t="s">
        <v>515</v>
      </c>
      <c r="D139" s="68" t="s">
        <v>516</v>
      </c>
      <c r="E139" s="69" t="s">
        <v>75</v>
      </c>
      <c r="F139" s="109" t="s">
        <v>517</v>
      </c>
      <c r="G139" s="79">
        <v>1</v>
      </c>
      <c r="H139" s="79">
        <v>2</v>
      </c>
      <c r="I139" s="48">
        <v>100000</v>
      </c>
      <c r="J139" s="48">
        <f t="shared" si="25"/>
        <v>100000</v>
      </c>
      <c r="K139" s="48">
        <f t="shared" si="25"/>
        <v>100000</v>
      </c>
      <c r="L139" s="48"/>
      <c r="M139" s="48"/>
      <c r="N139" s="48"/>
      <c r="O139" s="77">
        <v>275000</v>
      </c>
      <c r="P139" s="77">
        <f t="shared" si="29"/>
        <v>275000</v>
      </c>
      <c r="Q139" s="77">
        <f t="shared" si="30"/>
        <v>550000</v>
      </c>
      <c r="R139" s="77">
        <f t="shared" si="31"/>
        <v>825000</v>
      </c>
      <c r="S139" s="77">
        <f t="shared" si="32"/>
        <v>132000</v>
      </c>
      <c r="T139" s="77">
        <f t="shared" si="33"/>
        <v>957000</v>
      </c>
      <c r="U139" s="78" t="s">
        <v>50</v>
      </c>
      <c r="V139" s="81" t="s">
        <v>518</v>
      </c>
      <c r="W139" s="91" t="s">
        <v>611</v>
      </c>
    </row>
    <row r="140" spans="1:23" ht="28.2" customHeight="1" x14ac:dyDescent="0.3">
      <c r="A140" s="92">
        <v>287</v>
      </c>
      <c r="B140" s="68" t="s">
        <v>76</v>
      </c>
      <c r="C140" s="69" t="s">
        <v>519</v>
      </c>
      <c r="D140" s="68" t="s">
        <v>520</v>
      </c>
      <c r="E140" s="69" t="s">
        <v>75</v>
      </c>
      <c r="F140" s="109" t="s">
        <v>521</v>
      </c>
      <c r="G140" s="79">
        <v>1</v>
      </c>
      <c r="H140" s="79">
        <v>2</v>
      </c>
      <c r="I140" s="48"/>
      <c r="J140" s="48">
        <f t="shared" si="25"/>
        <v>0</v>
      </c>
      <c r="K140" s="48">
        <f t="shared" si="25"/>
        <v>0</v>
      </c>
      <c r="L140" s="48"/>
      <c r="M140" s="48"/>
      <c r="N140" s="48"/>
      <c r="O140" s="77">
        <v>350000</v>
      </c>
      <c r="P140" s="77">
        <f t="shared" si="29"/>
        <v>350000</v>
      </c>
      <c r="Q140" s="77">
        <f t="shared" si="30"/>
        <v>700000</v>
      </c>
      <c r="R140" s="77">
        <f t="shared" si="31"/>
        <v>1050000</v>
      </c>
      <c r="S140" s="77">
        <f t="shared" si="32"/>
        <v>168000</v>
      </c>
      <c r="T140" s="77">
        <f t="shared" si="33"/>
        <v>1218000</v>
      </c>
      <c r="U140" s="78" t="s">
        <v>50</v>
      </c>
      <c r="V140" s="81" t="s">
        <v>387</v>
      </c>
      <c r="W140" s="91" t="s">
        <v>611</v>
      </c>
    </row>
    <row r="141" spans="1:23" ht="28.2" customHeight="1" x14ac:dyDescent="0.3">
      <c r="A141" s="86">
        <v>291</v>
      </c>
      <c r="B141" s="68" t="s">
        <v>47</v>
      </c>
      <c r="C141" s="69" t="s">
        <v>254</v>
      </c>
      <c r="D141" s="68" t="s">
        <v>256</v>
      </c>
      <c r="E141" s="69" t="s">
        <v>46</v>
      </c>
      <c r="F141" s="109" t="s">
        <v>522</v>
      </c>
      <c r="G141" s="79">
        <v>1</v>
      </c>
      <c r="H141" s="79">
        <v>2</v>
      </c>
      <c r="I141" s="48">
        <v>80000</v>
      </c>
      <c r="J141" s="48">
        <f t="shared" si="25"/>
        <v>80000</v>
      </c>
      <c r="K141" s="48">
        <f t="shared" si="25"/>
        <v>80000</v>
      </c>
      <c r="L141" s="48">
        <f t="shared" ref="L141:L142" si="49">SUM(I141:K141)</f>
        <v>240000</v>
      </c>
      <c r="M141" s="48">
        <f t="shared" ref="M141:M142" si="50">L141*0.16</f>
        <v>38400</v>
      </c>
      <c r="N141" s="48">
        <f t="shared" ref="N141:N142" si="51">SUM(L141:M141)</f>
        <v>278400</v>
      </c>
      <c r="O141" s="77">
        <v>140000</v>
      </c>
      <c r="P141" s="77">
        <f t="shared" si="29"/>
        <v>140000</v>
      </c>
      <c r="Q141" s="77">
        <f t="shared" si="30"/>
        <v>280000</v>
      </c>
      <c r="R141" s="77">
        <f t="shared" si="31"/>
        <v>420000</v>
      </c>
      <c r="S141" s="77">
        <f t="shared" si="32"/>
        <v>67200</v>
      </c>
      <c r="T141" s="77">
        <f t="shared" si="33"/>
        <v>487200</v>
      </c>
      <c r="U141" s="78" t="s">
        <v>50</v>
      </c>
      <c r="V141" s="81" t="s">
        <v>387</v>
      </c>
      <c r="W141" s="83" t="s">
        <v>608</v>
      </c>
    </row>
    <row r="142" spans="1:23" ht="28.2" customHeight="1" x14ac:dyDescent="0.3">
      <c r="A142" s="86">
        <v>292</v>
      </c>
      <c r="B142" s="68" t="s">
        <v>47</v>
      </c>
      <c r="C142" s="69" t="s">
        <v>257</v>
      </c>
      <c r="D142" s="68" t="s">
        <v>258</v>
      </c>
      <c r="E142" s="69" t="s">
        <v>46</v>
      </c>
      <c r="F142" s="109" t="s">
        <v>523</v>
      </c>
      <c r="G142" s="79">
        <v>1</v>
      </c>
      <c r="H142" s="79">
        <v>2</v>
      </c>
      <c r="I142" s="48">
        <v>50000</v>
      </c>
      <c r="J142" s="48">
        <f t="shared" si="25"/>
        <v>50000</v>
      </c>
      <c r="K142" s="48">
        <f t="shared" si="25"/>
        <v>50000</v>
      </c>
      <c r="L142" s="48">
        <f t="shared" si="49"/>
        <v>150000</v>
      </c>
      <c r="M142" s="48">
        <f t="shared" si="50"/>
        <v>24000</v>
      </c>
      <c r="N142" s="48">
        <f t="shared" si="51"/>
        <v>174000</v>
      </c>
      <c r="O142" s="77">
        <v>120000</v>
      </c>
      <c r="P142" s="77">
        <f t="shared" ref="P142:P173" si="52">G142*O142</f>
        <v>120000</v>
      </c>
      <c r="Q142" s="77">
        <f t="shared" ref="Q142:Q176" si="53">H142*O142</f>
        <v>240000</v>
      </c>
      <c r="R142" s="77">
        <f t="shared" ref="R142:R173" si="54">SUM(P142:Q142)</f>
        <v>360000</v>
      </c>
      <c r="S142" s="77">
        <f t="shared" ref="S142:S173" si="55">R142*$S$9</f>
        <v>57600</v>
      </c>
      <c r="T142" s="77">
        <f t="shared" ref="T142:T173" si="56">SUM(R142:S142)</f>
        <v>417600</v>
      </c>
      <c r="U142" s="78" t="s">
        <v>50</v>
      </c>
      <c r="V142" s="81" t="s">
        <v>524</v>
      </c>
      <c r="W142" s="83" t="s">
        <v>608</v>
      </c>
    </row>
    <row r="143" spans="1:23" ht="28.2" customHeight="1" x14ac:dyDescent="0.3">
      <c r="A143" s="92">
        <v>294</v>
      </c>
      <c r="B143" s="68" t="s">
        <v>409</v>
      </c>
      <c r="C143" s="69" t="s">
        <v>525</v>
      </c>
      <c r="D143" s="68" t="s">
        <v>526</v>
      </c>
      <c r="E143" s="69" t="s">
        <v>411</v>
      </c>
      <c r="F143" s="109" t="s">
        <v>527</v>
      </c>
      <c r="G143" s="79">
        <v>1</v>
      </c>
      <c r="H143" s="79">
        <v>2</v>
      </c>
      <c r="I143" s="48" t="s">
        <v>381</v>
      </c>
      <c r="J143" s="48" t="str">
        <f t="shared" ref="J143:K176" si="57">I143</f>
        <v>NO</v>
      </c>
      <c r="K143" s="48" t="str">
        <f t="shared" si="57"/>
        <v>NO</v>
      </c>
      <c r="L143" s="48"/>
      <c r="M143" s="48"/>
      <c r="N143" s="48"/>
      <c r="O143" s="77">
        <v>990000</v>
      </c>
      <c r="P143" s="77">
        <f t="shared" si="52"/>
        <v>990000</v>
      </c>
      <c r="Q143" s="77">
        <f t="shared" si="53"/>
        <v>1980000</v>
      </c>
      <c r="R143" s="77">
        <f t="shared" si="54"/>
        <v>2970000</v>
      </c>
      <c r="S143" s="77">
        <f t="shared" si="55"/>
        <v>475200</v>
      </c>
      <c r="T143" s="77">
        <f t="shared" si="56"/>
        <v>3445200</v>
      </c>
      <c r="U143" s="78" t="s">
        <v>50</v>
      </c>
      <c r="V143" s="81" t="s">
        <v>300</v>
      </c>
      <c r="W143" s="91" t="s">
        <v>611</v>
      </c>
    </row>
    <row r="144" spans="1:23" ht="28.2" customHeight="1" x14ac:dyDescent="0.3">
      <c r="A144" s="86">
        <v>298</v>
      </c>
      <c r="B144" s="68" t="s">
        <v>217</v>
      </c>
      <c r="C144" s="69" t="s">
        <v>218</v>
      </c>
      <c r="D144" s="68" t="s">
        <v>219</v>
      </c>
      <c r="E144" s="69" t="s">
        <v>216</v>
      </c>
      <c r="F144" s="109" t="s">
        <v>528</v>
      </c>
      <c r="G144" s="79">
        <v>1</v>
      </c>
      <c r="H144" s="79">
        <v>2</v>
      </c>
      <c r="I144" s="48">
        <v>100000</v>
      </c>
      <c r="J144" s="48">
        <f t="shared" si="57"/>
        <v>100000</v>
      </c>
      <c r="K144" s="48">
        <f t="shared" si="57"/>
        <v>100000</v>
      </c>
      <c r="L144" s="48">
        <f>SUM(I144:K144)</f>
        <v>300000</v>
      </c>
      <c r="M144" s="48">
        <f>L144*0.16</f>
        <v>48000</v>
      </c>
      <c r="N144" s="48">
        <f>SUM(L144:M144)</f>
        <v>348000</v>
      </c>
      <c r="O144" s="77">
        <v>220000</v>
      </c>
      <c r="P144" s="77">
        <f t="shared" si="52"/>
        <v>220000</v>
      </c>
      <c r="Q144" s="77">
        <f t="shared" si="53"/>
        <v>440000</v>
      </c>
      <c r="R144" s="77">
        <f t="shared" si="54"/>
        <v>660000</v>
      </c>
      <c r="S144" s="77">
        <f t="shared" si="55"/>
        <v>105600</v>
      </c>
      <c r="T144" s="77">
        <f t="shared" si="56"/>
        <v>765600</v>
      </c>
      <c r="U144" s="78" t="s">
        <v>62</v>
      </c>
      <c r="V144" s="85"/>
      <c r="W144" s="83" t="s">
        <v>608</v>
      </c>
    </row>
    <row r="145" spans="1:23" ht="28.2" customHeight="1" x14ac:dyDescent="0.3">
      <c r="A145" s="92">
        <v>301</v>
      </c>
      <c r="B145" s="68" t="s">
        <v>47</v>
      </c>
      <c r="C145" s="69" t="s">
        <v>529</v>
      </c>
      <c r="D145" s="68" t="s">
        <v>530</v>
      </c>
      <c r="E145" s="69" t="s">
        <v>59</v>
      </c>
      <c r="F145" s="109" t="s">
        <v>531</v>
      </c>
      <c r="G145" s="79">
        <v>1</v>
      </c>
      <c r="H145" s="79">
        <v>2</v>
      </c>
      <c r="I145" s="48"/>
      <c r="J145" s="48">
        <f t="shared" si="57"/>
        <v>0</v>
      </c>
      <c r="K145" s="48">
        <f t="shared" si="57"/>
        <v>0</v>
      </c>
      <c r="L145" s="48"/>
      <c r="M145" s="48"/>
      <c r="N145" s="48"/>
      <c r="O145" s="77">
        <v>220000</v>
      </c>
      <c r="P145" s="77">
        <f t="shared" si="52"/>
        <v>220000</v>
      </c>
      <c r="Q145" s="77">
        <f t="shared" si="53"/>
        <v>440000</v>
      </c>
      <c r="R145" s="77">
        <f t="shared" si="54"/>
        <v>660000</v>
      </c>
      <c r="S145" s="77">
        <f t="shared" si="55"/>
        <v>105600</v>
      </c>
      <c r="T145" s="77">
        <f t="shared" si="56"/>
        <v>765600</v>
      </c>
      <c r="U145" s="78" t="s">
        <v>62</v>
      </c>
      <c r="V145" s="85"/>
      <c r="W145" s="91" t="s">
        <v>611</v>
      </c>
    </row>
    <row r="146" spans="1:23" ht="28.2" customHeight="1" x14ac:dyDescent="0.3">
      <c r="A146" s="92">
        <v>302</v>
      </c>
      <c r="B146" s="68" t="s">
        <v>47</v>
      </c>
      <c r="C146" s="69" t="s">
        <v>529</v>
      </c>
      <c r="D146" s="68" t="s">
        <v>532</v>
      </c>
      <c r="E146" s="69" t="s">
        <v>59</v>
      </c>
      <c r="F146" s="109" t="s">
        <v>533</v>
      </c>
      <c r="G146" s="79">
        <v>1</v>
      </c>
      <c r="H146" s="79">
        <v>2</v>
      </c>
      <c r="I146" s="48"/>
      <c r="J146" s="48">
        <f t="shared" si="57"/>
        <v>0</v>
      </c>
      <c r="K146" s="48">
        <f t="shared" si="57"/>
        <v>0</v>
      </c>
      <c r="L146" s="48"/>
      <c r="M146" s="48"/>
      <c r="N146" s="48"/>
      <c r="O146" s="77">
        <v>220000</v>
      </c>
      <c r="P146" s="77">
        <f t="shared" si="52"/>
        <v>220000</v>
      </c>
      <c r="Q146" s="77">
        <f t="shared" si="53"/>
        <v>440000</v>
      </c>
      <c r="R146" s="77">
        <f t="shared" si="54"/>
        <v>660000</v>
      </c>
      <c r="S146" s="77">
        <f t="shared" si="55"/>
        <v>105600</v>
      </c>
      <c r="T146" s="77">
        <f t="shared" si="56"/>
        <v>765600</v>
      </c>
      <c r="U146" s="78" t="s">
        <v>62</v>
      </c>
      <c r="V146" s="85"/>
      <c r="W146" s="91" t="s">
        <v>611</v>
      </c>
    </row>
    <row r="147" spans="1:23" ht="28.2" customHeight="1" x14ac:dyDescent="0.3">
      <c r="A147" s="92">
        <v>303</v>
      </c>
      <c r="B147" s="68" t="s">
        <v>47</v>
      </c>
      <c r="C147" s="69" t="s">
        <v>529</v>
      </c>
      <c r="D147" s="68" t="s">
        <v>534</v>
      </c>
      <c r="E147" s="69" t="s">
        <v>59</v>
      </c>
      <c r="F147" s="109" t="s">
        <v>535</v>
      </c>
      <c r="G147" s="79">
        <v>1</v>
      </c>
      <c r="H147" s="79">
        <v>2</v>
      </c>
      <c r="I147" s="48"/>
      <c r="J147" s="48">
        <f t="shared" si="57"/>
        <v>0</v>
      </c>
      <c r="K147" s="48">
        <f t="shared" si="57"/>
        <v>0</v>
      </c>
      <c r="L147" s="48"/>
      <c r="M147" s="48"/>
      <c r="N147" s="48"/>
      <c r="O147" s="77">
        <v>220000</v>
      </c>
      <c r="P147" s="77">
        <f t="shared" si="52"/>
        <v>220000</v>
      </c>
      <c r="Q147" s="77">
        <f t="shared" si="53"/>
        <v>440000</v>
      </c>
      <c r="R147" s="77">
        <f t="shared" si="54"/>
        <v>660000</v>
      </c>
      <c r="S147" s="77">
        <f t="shared" si="55"/>
        <v>105600</v>
      </c>
      <c r="T147" s="77">
        <f t="shared" si="56"/>
        <v>765600</v>
      </c>
      <c r="U147" s="78" t="s">
        <v>62</v>
      </c>
      <c r="V147" s="85"/>
      <c r="W147" s="91" t="s">
        <v>611</v>
      </c>
    </row>
    <row r="148" spans="1:23" ht="28.2" customHeight="1" x14ac:dyDescent="0.3">
      <c r="A148" s="86">
        <v>304</v>
      </c>
      <c r="B148" s="68" t="s">
        <v>47</v>
      </c>
      <c r="C148" s="69" t="s">
        <v>60</v>
      </c>
      <c r="D148" s="68" t="s">
        <v>61</v>
      </c>
      <c r="E148" s="69" t="s">
        <v>59</v>
      </c>
      <c r="F148" s="109" t="s">
        <v>536</v>
      </c>
      <c r="G148" s="79">
        <v>1</v>
      </c>
      <c r="H148" s="79">
        <v>2</v>
      </c>
      <c r="I148" s="48">
        <v>100000</v>
      </c>
      <c r="J148" s="48">
        <f t="shared" si="57"/>
        <v>100000</v>
      </c>
      <c r="K148" s="48">
        <f t="shared" si="57"/>
        <v>100000</v>
      </c>
      <c r="L148" s="48">
        <f t="shared" ref="L148:L151" si="58">SUM(I148:K148)</f>
        <v>300000</v>
      </c>
      <c r="M148" s="48">
        <f t="shared" ref="M148:M151" si="59">L148*0.16</f>
        <v>48000</v>
      </c>
      <c r="N148" s="48">
        <f t="shared" ref="N148:N151" si="60">SUM(L148:M148)</f>
        <v>348000</v>
      </c>
      <c r="O148" s="77">
        <v>220000</v>
      </c>
      <c r="P148" s="77">
        <f t="shared" si="52"/>
        <v>220000</v>
      </c>
      <c r="Q148" s="77">
        <f t="shared" si="53"/>
        <v>440000</v>
      </c>
      <c r="R148" s="77">
        <f t="shared" si="54"/>
        <v>660000</v>
      </c>
      <c r="S148" s="77">
        <f t="shared" si="55"/>
        <v>105600</v>
      </c>
      <c r="T148" s="77">
        <f t="shared" si="56"/>
        <v>765600</v>
      </c>
      <c r="U148" s="78" t="s">
        <v>62</v>
      </c>
      <c r="V148" s="85"/>
      <c r="W148" s="83" t="s">
        <v>608</v>
      </c>
    </row>
    <row r="149" spans="1:23" ht="28.2" customHeight="1" x14ac:dyDescent="0.3">
      <c r="A149" s="86">
        <v>305</v>
      </c>
      <c r="B149" s="68" t="s">
        <v>47</v>
      </c>
      <c r="C149" s="69" t="s">
        <v>60</v>
      </c>
      <c r="D149" s="68" t="s">
        <v>63</v>
      </c>
      <c r="E149" s="69" t="s">
        <v>59</v>
      </c>
      <c r="F149" s="109" t="s">
        <v>537</v>
      </c>
      <c r="G149" s="79">
        <v>1</v>
      </c>
      <c r="H149" s="79">
        <v>2</v>
      </c>
      <c r="I149" s="48">
        <v>100000</v>
      </c>
      <c r="J149" s="48">
        <f t="shared" si="57"/>
        <v>100000</v>
      </c>
      <c r="K149" s="48">
        <f t="shared" si="57"/>
        <v>100000</v>
      </c>
      <c r="L149" s="48">
        <f t="shared" si="58"/>
        <v>300000</v>
      </c>
      <c r="M149" s="48">
        <f t="shared" si="59"/>
        <v>48000</v>
      </c>
      <c r="N149" s="48">
        <f t="shared" si="60"/>
        <v>348000</v>
      </c>
      <c r="O149" s="77">
        <v>220000</v>
      </c>
      <c r="P149" s="77">
        <f t="shared" si="52"/>
        <v>220000</v>
      </c>
      <c r="Q149" s="77">
        <f t="shared" si="53"/>
        <v>440000</v>
      </c>
      <c r="R149" s="77">
        <f t="shared" si="54"/>
        <v>660000</v>
      </c>
      <c r="S149" s="77">
        <f t="shared" si="55"/>
        <v>105600</v>
      </c>
      <c r="T149" s="77">
        <f t="shared" si="56"/>
        <v>765600</v>
      </c>
      <c r="U149" s="78" t="s">
        <v>62</v>
      </c>
      <c r="V149" s="85"/>
      <c r="W149" s="83" t="s">
        <v>608</v>
      </c>
    </row>
    <row r="150" spans="1:23" ht="28.2" customHeight="1" x14ac:dyDescent="0.3">
      <c r="A150" s="86">
        <v>306</v>
      </c>
      <c r="B150" s="68" t="s">
        <v>47</v>
      </c>
      <c r="C150" s="69" t="s">
        <v>60</v>
      </c>
      <c r="D150" s="68" t="s">
        <v>69</v>
      </c>
      <c r="E150" s="69" t="s">
        <v>59</v>
      </c>
      <c r="F150" s="109" t="s">
        <v>538</v>
      </c>
      <c r="G150" s="79">
        <v>1</v>
      </c>
      <c r="H150" s="79">
        <v>2</v>
      </c>
      <c r="I150" s="48">
        <v>100000</v>
      </c>
      <c r="J150" s="48">
        <f t="shared" si="57"/>
        <v>100000</v>
      </c>
      <c r="K150" s="48">
        <f t="shared" si="57"/>
        <v>100000</v>
      </c>
      <c r="L150" s="48">
        <f t="shared" si="58"/>
        <v>300000</v>
      </c>
      <c r="M150" s="48">
        <f t="shared" si="59"/>
        <v>48000</v>
      </c>
      <c r="N150" s="48">
        <f t="shared" si="60"/>
        <v>348000</v>
      </c>
      <c r="O150" s="77">
        <v>220000</v>
      </c>
      <c r="P150" s="77">
        <f t="shared" si="52"/>
        <v>220000</v>
      </c>
      <c r="Q150" s="77">
        <f t="shared" si="53"/>
        <v>440000</v>
      </c>
      <c r="R150" s="77">
        <f t="shared" si="54"/>
        <v>660000</v>
      </c>
      <c r="S150" s="77">
        <f t="shared" si="55"/>
        <v>105600</v>
      </c>
      <c r="T150" s="77">
        <f t="shared" si="56"/>
        <v>765600</v>
      </c>
      <c r="U150" s="78" t="s">
        <v>62</v>
      </c>
      <c r="V150" s="85"/>
      <c r="W150" s="83" t="s">
        <v>608</v>
      </c>
    </row>
    <row r="151" spans="1:23" ht="28.2" customHeight="1" x14ac:dyDescent="0.3">
      <c r="A151" s="86">
        <v>307</v>
      </c>
      <c r="B151" s="68" t="s">
        <v>47</v>
      </c>
      <c r="C151" s="69" t="s">
        <v>70</v>
      </c>
      <c r="D151" s="68" t="s">
        <v>71</v>
      </c>
      <c r="E151" s="69" t="s">
        <v>59</v>
      </c>
      <c r="F151" s="109" t="s">
        <v>539</v>
      </c>
      <c r="G151" s="79">
        <v>1</v>
      </c>
      <c r="H151" s="79">
        <v>2</v>
      </c>
      <c r="I151" s="48">
        <v>50000</v>
      </c>
      <c r="J151" s="48">
        <f t="shared" si="57"/>
        <v>50000</v>
      </c>
      <c r="K151" s="48">
        <f t="shared" si="57"/>
        <v>50000</v>
      </c>
      <c r="L151" s="48">
        <f t="shared" si="58"/>
        <v>150000</v>
      </c>
      <c r="M151" s="48">
        <f t="shared" si="59"/>
        <v>24000</v>
      </c>
      <c r="N151" s="48">
        <f t="shared" si="60"/>
        <v>174000</v>
      </c>
      <c r="O151" s="77">
        <v>150000</v>
      </c>
      <c r="P151" s="77">
        <f t="shared" si="52"/>
        <v>150000</v>
      </c>
      <c r="Q151" s="77">
        <f t="shared" si="53"/>
        <v>300000</v>
      </c>
      <c r="R151" s="77">
        <f t="shared" si="54"/>
        <v>450000</v>
      </c>
      <c r="S151" s="77">
        <f t="shared" si="55"/>
        <v>72000</v>
      </c>
      <c r="T151" s="77">
        <f t="shared" si="56"/>
        <v>522000</v>
      </c>
      <c r="U151" s="78" t="s">
        <v>50</v>
      </c>
      <c r="V151" s="81" t="s">
        <v>316</v>
      </c>
      <c r="W151" s="83" t="s">
        <v>608</v>
      </c>
    </row>
    <row r="152" spans="1:23" ht="28.2" customHeight="1" x14ac:dyDescent="0.3">
      <c r="A152" s="92">
        <v>309</v>
      </c>
      <c r="B152" s="68" t="s">
        <v>260</v>
      </c>
      <c r="C152" s="69" t="s">
        <v>94</v>
      </c>
      <c r="D152" s="68" t="s">
        <v>540</v>
      </c>
      <c r="E152" s="69" t="s">
        <v>259</v>
      </c>
      <c r="F152" s="109" t="s">
        <v>541</v>
      </c>
      <c r="G152" s="79">
        <v>1</v>
      </c>
      <c r="H152" s="79">
        <v>2</v>
      </c>
      <c r="I152" s="48"/>
      <c r="J152" s="48">
        <f t="shared" si="57"/>
        <v>0</v>
      </c>
      <c r="K152" s="48">
        <f t="shared" si="57"/>
        <v>0</v>
      </c>
      <c r="L152" s="48"/>
      <c r="M152" s="48"/>
      <c r="N152" s="48"/>
      <c r="O152" s="77">
        <v>300000</v>
      </c>
      <c r="P152" s="77">
        <f t="shared" si="52"/>
        <v>300000</v>
      </c>
      <c r="Q152" s="77">
        <f t="shared" si="53"/>
        <v>600000</v>
      </c>
      <c r="R152" s="77">
        <f t="shared" si="54"/>
        <v>900000</v>
      </c>
      <c r="S152" s="77">
        <f t="shared" si="55"/>
        <v>144000</v>
      </c>
      <c r="T152" s="77">
        <f t="shared" si="56"/>
        <v>1044000</v>
      </c>
      <c r="U152" s="78" t="s">
        <v>62</v>
      </c>
      <c r="V152" s="85"/>
      <c r="W152" s="91" t="s">
        <v>611</v>
      </c>
    </row>
    <row r="153" spans="1:23" ht="28.2" customHeight="1" x14ac:dyDescent="0.3">
      <c r="A153" s="86">
        <v>310</v>
      </c>
      <c r="B153" s="68" t="s">
        <v>260</v>
      </c>
      <c r="C153" s="69" t="s">
        <v>261</v>
      </c>
      <c r="D153" s="68" t="s">
        <v>262</v>
      </c>
      <c r="E153" s="69" t="s">
        <v>259</v>
      </c>
      <c r="F153" s="109" t="s">
        <v>542</v>
      </c>
      <c r="G153" s="79">
        <v>1</v>
      </c>
      <c r="H153" s="79">
        <v>2</v>
      </c>
      <c r="I153" s="48">
        <v>55000</v>
      </c>
      <c r="J153" s="48">
        <f t="shared" si="57"/>
        <v>55000</v>
      </c>
      <c r="K153" s="48">
        <f t="shared" si="57"/>
        <v>55000</v>
      </c>
      <c r="L153" s="48">
        <f>SUM(I153:K153)</f>
        <v>165000</v>
      </c>
      <c r="M153" s="48">
        <f>L153*0.16</f>
        <v>26400</v>
      </c>
      <c r="N153" s="48">
        <f>SUM(L153:M153)</f>
        <v>191400</v>
      </c>
      <c r="O153" s="77">
        <v>180000</v>
      </c>
      <c r="P153" s="77">
        <f t="shared" si="52"/>
        <v>180000</v>
      </c>
      <c r="Q153" s="77">
        <f t="shared" si="53"/>
        <v>360000</v>
      </c>
      <c r="R153" s="77">
        <f t="shared" si="54"/>
        <v>540000</v>
      </c>
      <c r="S153" s="77">
        <f t="shared" si="55"/>
        <v>86400</v>
      </c>
      <c r="T153" s="77">
        <f t="shared" si="56"/>
        <v>626400</v>
      </c>
      <c r="U153" s="78" t="s">
        <v>50</v>
      </c>
      <c r="V153" s="81" t="s">
        <v>295</v>
      </c>
      <c r="W153" s="83" t="s">
        <v>608</v>
      </c>
    </row>
    <row r="154" spans="1:23" ht="28.2" customHeight="1" x14ac:dyDescent="0.3">
      <c r="A154" s="92">
        <v>313</v>
      </c>
      <c r="B154" s="68" t="s">
        <v>241</v>
      </c>
      <c r="C154" s="69" t="s">
        <v>413</v>
      </c>
      <c r="D154" s="68" t="s">
        <v>543</v>
      </c>
      <c r="E154" s="69" t="s">
        <v>240</v>
      </c>
      <c r="F154" s="109" t="s">
        <v>544</v>
      </c>
      <c r="G154" s="79">
        <v>1</v>
      </c>
      <c r="H154" s="79">
        <v>2</v>
      </c>
      <c r="I154" s="48"/>
      <c r="J154" s="48">
        <f t="shared" si="57"/>
        <v>0</v>
      </c>
      <c r="K154" s="48">
        <f t="shared" si="57"/>
        <v>0</v>
      </c>
      <c r="L154" s="48"/>
      <c r="M154" s="48"/>
      <c r="N154" s="48"/>
      <c r="O154" s="77">
        <v>300000</v>
      </c>
      <c r="P154" s="77">
        <f t="shared" si="52"/>
        <v>300000</v>
      </c>
      <c r="Q154" s="77">
        <f t="shared" si="53"/>
        <v>600000</v>
      </c>
      <c r="R154" s="77">
        <f t="shared" si="54"/>
        <v>900000</v>
      </c>
      <c r="S154" s="77">
        <f t="shared" si="55"/>
        <v>144000</v>
      </c>
      <c r="T154" s="77">
        <f t="shared" si="56"/>
        <v>1044000</v>
      </c>
      <c r="U154" s="78" t="s">
        <v>62</v>
      </c>
      <c r="V154" s="85"/>
      <c r="W154" s="91" t="s">
        <v>611</v>
      </c>
    </row>
    <row r="155" spans="1:23" ht="28.2" customHeight="1" x14ac:dyDescent="0.3">
      <c r="A155" s="92">
        <v>314</v>
      </c>
      <c r="B155" s="68" t="s">
        <v>545</v>
      </c>
      <c r="C155" s="69" t="s">
        <v>94</v>
      </c>
      <c r="D155" s="68" t="s">
        <v>546</v>
      </c>
      <c r="E155" s="69" t="s">
        <v>547</v>
      </c>
      <c r="F155" s="109" t="s">
        <v>548</v>
      </c>
      <c r="G155" s="79">
        <v>1</v>
      </c>
      <c r="H155" s="79">
        <v>2</v>
      </c>
      <c r="I155" s="48"/>
      <c r="J155" s="48">
        <f t="shared" si="57"/>
        <v>0</v>
      </c>
      <c r="K155" s="48">
        <f t="shared" si="57"/>
        <v>0</v>
      </c>
      <c r="L155" s="48"/>
      <c r="M155" s="48"/>
      <c r="N155" s="48"/>
      <c r="O155" s="77">
        <v>220000</v>
      </c>
      <c r="P155" s="77">
        <f t="shared" si="52"/>
        <v>220000</v>
      </c>
      <c r="Q155" s="77">
        <f t="shared" si="53"/>
        <v>440000</v>
      </c>
      <c r="R155" s="77">
        <f t="shared" si="54"/>
        <v>660000</v>
      </c>
      <c r="S155" s="77">
        <f t="shared" si="55"/>
        <v>105600</v>
      </c>
      <c r="T155" s="77">
        <f t="shared" si="56"/>
        <v>765600</v>
      </c>
      <c r="U155" s="78" t="s">
        <v>62</v>
      </c>
      <c r="V155" s="85"/>
      <c r="W155" s="91" t="s">
        <v>611</v>
      </c>
    </row>
    <row r="156" spans="1:23" ht="28.2" customHeight="1" x14ac:dyDescent="0.3">
      <c r="A156" s="92">
        <v>316</v>
      </c>
      <c r="B156" s="68" t="s">
        <v>545</v>
      </c>
      <c r="C156" s="69" t="s">
        <v>549</v>
      </c>
      <c r="D156" s="68" t="s">
        <v>550</v>
      </c>
      <c r="E156" s="69" t="s">
        <v>547</v>
      </c>
      <c r="F156" s="109" t="s">
        <v>551</v>
      </c>
      <c r="G156" s="79">
        <v>1</v>
      </c>
      <c r="H156" s="79">
        <v>2</v>
      </c>
      <c r="I156" s="48"/>
      <c r="J156" s="48">
        <f t="shared" si="57"/>
        <v>0</v>
      </c>
      <c r="K156" s="48">
        <f t="shared" si="57"/>
        <v>0</v>
      </c>
      <c r="L156" s="48"/>
      <c r="M156" s="48"/>
      <c r="N156" s="48"/>
      <c r="O156" s="77">
        <v>220000</v>
      </c>
      <c r="P156" s="77">
        <f t="shared" si="52"/>
        <v>220000</v>
      </c>
      <c r="Q156" s="77">
        <f t="shared" si="53"/>
        <v>440000</v>
      </c>
      <c r="R156" s="77">
        <f t="shared" si="54"/>
        <v>660000</v>
      </c>
      <c r="S156" s="77">
        <f t="shared" si="55"/>
        <v>105600</v>
      </c>
      <c r="T156" s="77">
        <f t="shared" si="56"/>
        <v>765600</v>
      </c>
      <c r="U156" s="78" t="s">
        <v>62</v>
      </c>
      <c r="V156" s="85"/>
      <c r="W156" s="91" t="s">
        <v>611</v>
      </c>
    </row>
    <row r="157" spans="1:23" ht="28.2" customHeight="1" x14ac:dyDescent="0.3">
      <c r="A157" s="86">
        <v>319</v>
      </c>
      <c r="B157" s="68" t="s">
        <v>47</v>
      </c>
      <c r="C157" s="69" t="s">
        <v>148</v>
      </c>
      <c r="D157" s="68" t="s">
        <v>149</v>
      </c>
      <c r="E157" s="69" t="s">
        <v>147</v>
      </c>
      <c r="F157" s="109" t="s">
        <v>552</v>
      </c>
      <c r="G157" s="79">
        <v>1</v>
      </c>
      <c r="H157" s="79">
        <v>2</v>
      </c>
      <c r="I157" s="48">
        <v>100000</v>
      </c>
      <c r="J157" s="48">
        <f t="shared" si="57"/>
        <v>100000</v>
      </c>
      <c r="K157" s="48">
        <f t="shared" si="57"/>
        <v>100000</v>
      </c>
      <c r="L157" s="48">
        <f t="shared" ref="L157:L158" si="61">SUM(I157:K157)</f>
        <v>300000</v>
      </c>
      <c r="M157" s="48">
        <f t="shared" ref="M157:M158" si="62">L157*0.16</f>
        <v>48000</v>
      </c>
      <c r="N157" s="48">
        <f t="shared" ref="N157:N158" si="63">SUM(L157:M157)</f>
        <v>348000</v>
      </c>
      <c r="O157" s="77">
        <v>220000</v>
      </c>
      <c r="P157" s="77">
        <f t="shared" si="52"/>
        <v>220000</v>
      </c>
      <c r="Q157" s="77">
        <f t="shared" si="53"/>
        <v>440000</v>
      </c>
      <c r="R157" s="77">
        <f t="shared" si="54"/>
        <v>660000</v>
      </c>
      <c r="S157" s="77">
        <f t="shared" si="55"/>
        <v>105600</v>
      </c>
      <c r="T157" s="77">
        <f t="shared" si="56"/>
        <v>765600</v>
      </c>
      <c r="U157" s="78" t="s">
        <v>62</v>
      </c>
      <c r="V157" s="85"/>
      <c r="W157" s="83" t="s">
        <v>608</v>
      </c>
    </row>
    <row r="158" spans="1:23" ht="28.2" customHeight="1" x14ac:dyDescent="0.3">
      <c r="A158" s="86">
        <v>321</v>
      </c>
      <c r="B158" s="68" t="s">
        <v>76</v>
      </c>
      <c r="C158" s="69" t="s">
        <v>107</v>
      </c>
      <c r="D158" s="68" t="s">
        <v>108</v>
      </c>
      <c r="E158" s="69" t="s">
        <v>106</v>
      </c>
      <c r="F158" s="109" t="s">
        <v>553</v>
      </c>
      <c r="G158" s="79">
        <v>1</v>
      </c>
      <c r="H158" s="79">
        <v>2</v>
      </c>
      <c r="I158" s="48">
        <v>250000</v>
      </c>
      <c r="J158" s="48">
        <f t="shared" si="57"/>
        <v>250000</v>
      </c>
      <c r="K158" s="48">
        <f t="shared" si="57"/>
        <v>250000</v>
      </c>
      <c r="L158" s="48">
        <f t="shared" si="61"/>
        <v>750000</v>
      </c>
      <c r="M158" s="48">
        <f t="shared" si="62"/>
        <v>120000</v>
      </c>
      <c r="N158" s="48">
        <f t="shared" si="63"/>
        <v>870000</v>
      </c>
      <c r="O158" s="77">
        <v>160000</v>
      </c>
      <c r="P158" s="77">
        <f t="shared" si="52"/>
        <v>160000</v>
      </c>
      <c r="Q158" s="77">
        <f t="shared" si="53"/>
        <v>320000</v>
      </c>
      <c r="R158" s="77">
        <f t="shared" si="54"/>
        <v>480000</v>
      </c>
      <c r="S158" s="77">
        <f t="shared" si="55"/>
        <v>76800</v>
      </c>
      <c r="T158" s="77">
        <f t="shared" si="56"/>
        <v>556800</v>
      </c>
      <c r="U158" s="78" t="s">
        <v>50</v>
      </c>
      <c r="V158" s="81" t="s">
        <v>292</v>
      </c>
      <c r="W158" s="83" t="s">
        <v>608</v>
      </c>
    </row>
    <row r="159" spans="1:23" ht="28.2" customHeight="1" x14ac:dyDescent="0.3">
      <c r="A159" s="92">
        <v>335</v>
      </c>
      <c r="B159" s="68" t="s">
        <v>47</v>
      </c>
      <c r="C159" s="69" t="s">
        <v>554</v>
      </c>
      <c r="D159" s="68" t="s">
        <v>555</v>
      </c>
      <c r="E159" s="69" t="s">
        <v>142</v>
      </c>
      <c r="F159" s="109" t="s">
        <v>556</v>
      </c>
      <c r="G159" s="79">
        <v>1</v>
      </c>
      <c r="H159" s="79">
        <v>2</v>
      </c>
      <c r="I159" s="48"/>
      <c r="J159" s="48">
        <f t="shared" si="57"/>
        <v>0</v>
      </c>
      <c r="K159" s="48">
        <f t="shared" si="57"/>
        <v>0</v>
      </c>
      <c r="L159" s="48"/>
      <c r="M159" s="48"/>
      <c r="N159" s="48"/>
      <c r="O159" s="77">
        <v>220000</v>
      </c>
      <c r="P159" s="77">
        <f t="shared" si="52"/>
        <v>220000</v>
      </c>
      <c r="Q159" s="77">
        <f t="shared" si="53"/>
        <v>440000</v>
      </c>
      <c r="R159" s="77">
        <f t="shared" si="54"/>
        <v>660000</v>
      </c>
      <c r="S159" s="77">
        <f t="shared" si="55"/>
        <v>105600</v>
      </c>
      <c r="T159" s="77">
        <f t="shared" si="56"/>
        <v>765600</v>
      </c>
      <c r="U159" s="78" t="s">
        <v>62</v>
      </c>
      <c r="V159" s="85"/>
      <c r="W159" s="91" t="s">
        <v>611</v>
      </c>
    </row>
    <row r="160" spans="1:23" ht="28.2" customHeight="1" x14ac:dyDescent="0.3">
      <c r="A160" s="92">
        <v>336</v>
      </c>
      <c r="B160" s="68" t="s">
        <v>98</v>
      </c>
      <c r="C160" s="69" t="s">
        <v>554</v>
      </c>
      <c r="D160" s="68" t="s">
        <v>557</v>
      </c>
      <c r="E160" s="69" t="s">
        <v>97</v>
      </c>
      <c r="F160" s="109" t="s">
        <v>558</v>
      </c>
      <c r="G160" s="79">
        <v>1</v>
      </c>
      <c r="H160" s="79">
        <v>2</v>
      </c>
      <c r="I160" s="48"/>
      <c r="J160" s="48">
        <f t="shared" si="57"/>
        <v>0</v>
      </c>
      <c r="K160" s="48">
        <f t="shared" si="57"/>
        <v>0</v>
      </c>
      <c r="L160" s="48"/>
      <c r="M160" s="48"/>
      <c r="N160" s="48"/>
      <c r="O160" s="77">
        <v>300000</v>
      </c>
      <c r="P160" s="77">
        <f t="shared" si="52"/>
        <v>300000</v>
      </c>
      <c r="Q160" s="77">
        <f t="shared" si="53"/>
        <v>600000</v>
      </c>
      <c r="R160" s="77">
        <f t="shared" si="54"/>
        <v>900000</v>
      </c>
      <c r="S160" s="77">
        <f t="shared" si="55"/>
        <v>144000</v>
      </c>
      <c r="T160" s="77">
        <f t="shared" si="56"/>
        <v>1044000</v>
      </c>
      <c r="U160" s="78" t="s">
        <v>62</v>
      </c>
      <c r="V160" s="85"/>
      <c r="W160" s="91" t="s">
        <v>611</v>
      </c>
    </row>
    <row r="161" spans="1:23" ht="28.2" customHeight="1" x14ac:dyDescent="0.3">
      <c r="A161" s="86">
        <v>338</v>
      </c>
      <c r="B161" s="68" t="s">
        <v>47</v>
      </c>
      <c r="C161" s="69" t="s">
        <v>72</v>
      </c>
      <c r="D161" s="68" t="s">
        <v>73</v>
      </c>
      <c r="E161" s="69" t="s">
        <v>46</v>
      </c>
      <c r="F161" s="109" t="s">
        <v>559</v>
      </c>
      <c r="G161" s="79">
        <v>1</v>
      </c>
      <c r="H161" s="79">
        <v>2</v>
      </c>
      <c r="I161" s="48">
        <v>280000</v>
      </c>
      <c r="J161" s="48">
        <f t="shared" si="57"/>
        <v>280000</v>
      </c>
      <c r="K161" s="48">
        <f t="shared" si="57"/>
        <v>280000</v>
      </c>
      <c r="L161" s="48">
        <f t="shared" ref="L161:L162" si="64">SUM(I161:K161)</f>
        <v>840000</v>
      </c>
      <c r="M161" s="48">
        <f t="shared" ref="M161:M162" si="65">L161*0.16</f>
        <v>134400</v>
      </c>
      <c r="N161" s="48">
        <f t="shared" ref="N161:N162" si="66">SUM(L161:M161)</f>
        <v>974400</v>
      </c>
      <c r="O161" s="77">
        <v>390000</v>
      </c>
      <c r="P161" s="77">
        <f t="shared" si="52"/>
        <v>390000</v>
      </c>
      <c r="Q161" s="77">
        <f t="shared" si="53"/>
        <v>780000</v>
      </c>
      <c r="R161" s="77">
        <f t="shared" si="54"/>
        <v>1170000</v>
      </c>
      <c r="S161" s="77">
        <f t="shared" si="55"/>
        <v>187200</v>
      </c>
      <c r="T161" s="77">
        <f t="shared" si="56"/>
        <v>1357200</v>
      </c>
      <c r="U161" s="78" t="s">
        <v>50</v>
      </c>
      <c r="V161" s="81" t="s">
        <v>300</v>
      </c>
      <c r="W161" s="83" t="s">
        <v>608</v>
      </c>
    </row>
    <row r="162" spans="1:23" ht="28.2" customHeight="1" x14ac:dyDescent="0.3">
      <c r="A162" s="86">
        <v>351</v>
      </c>
      <c r="B162" s="68" t="s">
        <v>47</v>
      </c>
      <c r="C162" s="69" t="s">
        <v>212</v>
      </c>
      <c r="D162" s="68" t="s">
        <v>229</v>
      </c>
      <c r="E162" s="69" t="s">
        <v>46</v>
      </c>
      <c r="F162" s="109" t="s">
        <v>560</v>
      </c>
      <c r="G162" s="79">
        <v>1</v>
      </c>
      <c r="H162" s="79">
        <v>2</v>
      </c>
      <c r="I162" s="48">
        <v>40000</v>
      </c>
      <c r="J162" s="48">
        <f t="shared" si="57"/>
        <v>40000</v>
      </c>
      <c r="K162" s="48">
        <f t="shared" si="57"/>
        <v>40000</v>
      </c>
      <c r="L162" s="48">
        <f t="shared" si="64"/>
        <v>120000</v>
      </c>
      <c r="M162" s="48">
        <f t="shared" si="65"/>
        <v>19200</v>
      </c>
      <c r="N162" s="48">
        <f t="shared" si="66"/>
        <v>139200</v>
      </c>
      <c r="O162" s="77">
        <v>150000</v>
      </c>
      <c r="P162" s="77">
        <f t="shared" si="52"/>
        <v>150000</v>
      </c>
      <c r="Q162" s="77">
        <f t="shared" si="53"/>
        <v>300000</v>
      </c>
      <c r="R162" s="77">
        <f t="shared" si="54"/>
        <v>450000</v>
      </c>
      <c r="S162" s="77">
        <f t="shared" si="55"/>
        <v>72000</v>
      </c>
      <c r="T162" s="77">
        <f t="shared" si="56"/>
        <v>522000</v>
      </c>
      <c r="U162" s="78" t="s">
        <v>50</v>
      </c>
      <c r="V162" s="81" t="s">
        <v>345</v>
      </c>
      <c r="W162" s="83" t="s">
        <v>608</v>
      </c>
    </row>
    <row r="163" spans="1:23" ht="28.2" customHeight="1" x14ac:dyDescent="0.3">
      <c r="A163" s="92">
        <v>353</v>
      </c>
      <c r="B163" s="68" t="s">
        <v>47</v>
      </c>
      <c r="C163" s="69" t="s">
        <v>561</v>
      </c>
      <c r="D163" s="68" t="s">
        <v>562</v>
      </c>
      <c r="E163" s="69" t="s">
        <v>563</v>
      </c>
      <c r="F163" s="109" t="s">
        <v>564</v>
      </c>
      <c r="G163" s="79">
        <v>1</v>
      </c>
      <c r="H163" s="81">
        <v>2</v>
      </c>
      <c r="I163" s="48"/>
      <c r="J163" s="48">
        <f t="shared" si="57"/>
        <v>0</v>
      </c>
      <c r="K163" s="48">
        <f t="shared" si="57"/>
        <v>0</v>
      </c>
      <c r="L163" s="48"/>
      <c r="M163" s="48"/>
      <c r="N163" s="48"/>
      <c r="O163" s="77">
        <v>250000</v>
      </c>
      <c r="P163" s="77">
        <f t="shared" si="52"/>
        <v>250000</v>
      </c>
      <c r="Q163" s="77">
        <f t="shared" si="53"/>
        <v>500000</v>
      </c>
      <c r="R163" s="77">
        <f t="shared" si="54"/>
        <v>750000</v>
      </c>
      <c r="S163" s="77">
        <f t="shared" si="55"/>
        <v>120000</v>
      </c>
      <c r="T163" s="77">
        <f t="shared" si="56"/>
        <v>870000</v>
      </c>
      <c r="U163" s="78" t="s">
        <v>62</v>
      </c>
      <c r="V163" s="85"/>
      <c r="W163" s="91" t="s">
        <v>611</v>
      </c>
    </row>
    <row r="164" spans="1:23" ht="28.2" customHeight="1" x14ac:dyDescent="0.3">
      <c r="A164" s="92">
        <v>354</v>
      </c>
      <c r="B164" s="68" t="s">
        <v>428</v>
      </c>
      <c r="C164" s="69" t="s">
        <v>561</v>
      </c>
      <c r="D164" s="68" t="s">
        <v>565</v>
      </c>
      <c r="E164" s="69" t="s">
        <v>566</v>
      </c>
      <c r="F164" s="109" t="s">
        <v>567</v>
      </c>
      <c r="G164" s="79">
        <v>1</v>
      </c>
      <c r="H164" s="81">
        <v>2</v>
      </c>
      <c r="I164" s="48"/>
      <c r="J164" s="48">
        <f t="shared" si="57"/>
        <v>0</v>
      </c>
      <c r="K164" s="48">
        <f t="shared" si="57"/>
        <v>0</v>
      </c>
      <c r="L164" s="48"/>
      <c r="M164" s="48"/>
      <c r="N164" s="48"/>
      <c r="O164" s="77">
        <v>250000</v>
      </c>
      <c r="P164" s="77">
        <f t="shared" si="52"/>
        <v>250000</v>
      </c>
      <c r="Q164" s="77">
        <f t="shared" si="53"/>
        <v>500000</v>
      </c>
      <c r="R164" s="77">
        <f t="shared" si="54"/>
        <v>750000</v>
      </c>
      <c r="S164" s="77">
        <f t="shared" si="55"/>
        <v>120000</v>
      </c>
      <c r="T164" s="77">
        <f t="shared" si="56"/>
        <v>870000</v>
      </c>
      <c r="U164" s="78" t="s">
        <v>62</v>
      </c>
      <c r="V164" s="85"/>
      <c r="W164" s="91" t="s">
        <v>611</v>
      </c>
    </row>
    <row r="165" spans="1:23" ht="28.2" customHeight="1" x14ac:dyDescent="0.3">
      <c r="A165" s="92">
        <v>355</v>
      </c>
      <c r="B165" s="68" t="s">
        <v>172</v>
      </c>
      <c r="C165" s="69" t="s">
        <v>568</v>
      </c>
      <c r="D165" s="68" t="s">
        <v>569</v>
      </c>
      <c r="E165" s="69" t="s">
        <v>171</v>
      </c>
      <c r="F165" s="109" t="s">
        <v>570</v>
      </c>
      <c r="G165" s="79">
        <v>1</v>
      </c>
      <c r="H165" s="81">
        <v>2</v>
      </c>
      <c r="I165" s="48"/>
      <c r="J165" s="48">
        <f t="shared" si="57"/>
        <v>0</v>
      </c>
      <c r="K165" s="48">
        <f t="shared" si="57"/>
        <v>0</v>
      </c>
      <c r="L165" s="48"/>
      <c r="M165" s="48"/>
      <c r="N165" s="48"/>
      <c r="O165" s="77">
        <v>225000</v>
      </c>
      <c r="P165" s="77">
        <f t="shared" si="52"/>
        <v>225000</v>
      </c>
      <c r="Q165" s="77">
        <f t="shared" si="53"/>
        <v>450000</v>
      </c>
      <c r="R165" s="77">
        <f t="shared" si="54"/>
        <v>675000</v>
      </c>
      <c r="S165" s="77">
        <f t="shared" si="55"/>
        <v>108000</v>
      </c>
      <c r="T165" s="77">
        <f t="shared" si="56"/>
        <v>783000</v>
      </c>
      <c r="U165" s="78" t="s">
        <v>62</v>
      </c>
      <c r="V165" s="85"/>
      <c r="W165" s="91" t="s">
        <v>611</v>
      </c>
    </row>
    <row r="166" spans="1:23" ht="28.2" customHeight="1" x14ac:dyDescent="0.3">
      <c r="A166" s="92">
        <v>356</v>
      </c>
      <c r="B166" s="68" t="s">
        <v>241</v>
      </c>
      <c r="C166" s="69" t="s">
        <v>571</v>
      </c>
      <c r="D166" s="68" t="s">
        <v>572</v>
      </c>
      <c r="E166" s="69" t="s">
        <v>240</v>
      </c>
      <c r="F166" s="109" t="s">
        <v>573</v>
      </c>
      <c r="G166" s="79">
        <v>1</v>
      </c>
      <c r="H166" s="81">
        <v>2</v>
      </c>
      <c r="I166" s="48" t="s">
        <v>381</v>
      </c>
      <c r="J166" s="48" t="str">
        <f t="shared" si="57"/>
        <v>NO</v>
      </c>
      <c r="K166" s="48" t="str">
        <f t="shared" si="57"/>
        <v>NO</v>
      </c>
      <c r="L166" s="48"/>
      <c r="M166" s="48"/>
      <c r="N166" s="48"/>
      <c r="O166" s="77">
        <v>250000</v>
      </c>
      <c r="P166" s="77">
        <f t="shared" si="52"/>
        <v>250000</v>
      </c>
      <c r="Q166" s="77">
        <f t="shared" si="53"/>
        <v>500000</v>
      </c>
      <c r="R166" s="77">
        <f t="shared" si="54"/>
        <v>750000</v>
      </c>
      <c r="S166" s="77">
        <f t="shared" si="55"/>
        <v>120000</v>
      </c>
      <c r="T166" s="77">
        <f t="shared" si="56"/>
        <v>870000</v>
      </c>
      <c r="U166" s="78" t="s">
        <v>50</v>
      </c>
      <c r="V166" s="81" t="s">
        <v>518</v>
      </c>
      <c r="W166" s="91" t="s">
        <v>611</v>
      </c>
    </row>
    <row r="167" spans="1:23" ht="28.2" customHeight="1" x14ac:dyDescent="0.3">
      <c r="A167" s="86">
        <v>357</v>
      </c>
      <c r="B167" s="68" t="s">
        <v>98</v>
      </c>
      <c r="C167" s="69" t="s">
        <v>220</v>
      </c>
      <c r="D167" s="68" t="s">
        <v>221</v>
      </c>
      <c r="E167" s="69" t="s">
        <v>97</v>
      </c>
      <c r="F167" s="109" t="s">
        <v>574</v>
      </c>
      <c r="G167" s="79">
        <v>1</v>
      </c>
      <c r="H167" s="81">
        <v>2</v>
      </c>
      <c r="I167" s="48">
        <v>130000</v>
      </c>
      <c r="J167" s="48">
        <f t="shared" si="57"/>
        <v>130000</v>
      </c>
      <c r="K167" s="48">
        <f t="shared" si="57"/>
        <v>130000</v>
      </c>
      <c r="L167" s="48">
        <f t="shared" ref="L167:L168" si="67">SUM(I167:K167)</f>
        <v>390000</v>
      </c>
      <c r="M167" s="48">
        <f t="shared" ref="M167:M168" si="68">L167*0.16</f>
        <v>62400</v>
      </c>
      <c r="N167" s="48">
        <f t="shared" ref="N167:N168" si="69">SUM(L167:M167)</f>
        <v>452400</v>
      </c>
      <c r="O167" s="77">
        <v>270000</v>
      </c>
      <c r="P167" s="77">
        <f t="shared" si="52"/>
        <v>270000</v>
      </c>
      <c r="Q167" s="77">
        <f t="shared" si="53"/>
        <v>540000</v>
      </c>
      <c r="R167" s="77">
        <f t="shared" si="54"/>
        <v>810000</v>
      </c>
      <c r="S167" s="77">
        <f t="shared" si="55"/>
        <v>129600</v>
      </c>
      <c r="T167" s="77">
        <f t="shared" si="56"/>
        <v>939600</v>
      </c>
      <c r="U167" s="78" t="s">
        <v>50</v>
      </c>
      <c r="V167" s="81" t="s">
        <v>518</v>
      </c>
      <c r="W167" s="83" t="s">
        <v>608</v>
      </c>
    </row>
    <row r="168" spans="1:23" ht="28.2" customHeight="1" x14ac:dyDescent="0.3">
      <c r="A168" s="86">
        <v>358</v>
      </c>
      <c r="B168" s="68" t="s">
        <v>76</v>
      </c>
      <c r="C168" s="69" t="s">
        <v>77</v>
      </c>
      <c r="D168" s="68" t="s">
        <v>78</v>
      </c>
      <c r="E168" s="69" t="s">
        <v>75</v>
      </c>
      <c r="F168" s="109" t="s">
        <v>575</v>
      </c>
      <c r="G168" s="79">
        <v>1</v>
      </c>
      <c r="H168" s="81">
        <v>2</v>
      </c>
      <c r="I168" s="48">
        <v>30000</v>
      </c>
      <c r="J168" s="48">
        <f t="shared" si="57"/>
        <v>30000</v>
      </c>
      <c r="K168" s="48">
        <f t="shared" si="57"/>
        <v>30000</v>
      </c>
      <c r="L168" s="48">
        <f t="shared" si="67"/>
        <v>90000</v>
      </c>
      <c r="M168" s="48">
        <f t="shared" si="68"/>
        <v>14400</v>
      </c>
      <c r="N168" s="48">
        <f t="shared" si="69"/>
        <v>104400</v>
      </c>
      <c r="O168" s="77">
        <v>55000</v>
      </c>
      <c r="P168" s="77">
        <f t="shared" si="52"/>
        <v>55000</v>
      </c>
      <c r="Q168" s="77">
        <f t="shared" si="53"/>
        <v>110000</v>
      </c>
      <c r="R168" s="77">
        <f t="shared" si="54"/>
        <v>165000</v>
      </c>
      <c r="S168" s="77">
        <f t="shared" si="55"/>
        <v>26400</v>
      </c>
      <c r="T168" s="77">
        <f t="shared" si="56"/>
        <v>191400</v>
      </c>
      <c r="U168" s="78" t="s">
        <v>50</v>
      </c>
      <c r="V168" s="81" t="s">
        <v>518</v>
      </c>
      <c r="W168" s="83" t="s">
        <v>608</v>
      </c>
    </row>
    <row r="169" spans="1:23" ht="28.2" customHeight="1" x14ac:dyDescent="0.3">
      <c r="A169" s="92">
        <v>359</v>
      </c>
      <c r="B169" s="68" t="s">
        <v>184</v>
      </c>
      <c r="C169" s="69" t="s">
        <v>576</v>
      </c>
      <c r="D169" s="68" t="s">
        <v>577</v>
      </c>
      <c r="E169" s="69" t="s">
        <v>195</v>
      </c>
      <c r="F169" s="109" t="s">
        <v>578</v>
      </c>
      <c r="G169" s="79">
        <v>1</v>
      </c>
      <c r="H169" s="81">
        <v>2</v>
      </c>
      <c r="I169" s="48" t="s">
        <v>381</v>
      </c>
      <c r="J169" s="48" t="str">
        <f t="shared" si="57"/>
        <v>NO</v>
      </c>
      <c r="K169" s="48" t="str">
        <f t="shared" si="57"/>
        <v>NO</v>
      </c>
      <c r="L169" s="48"/>
      <c r="M169" s="48"/>
      <c r="N169" s="48"/>
      <c r="O169" s="77">
        <v>250000</v>
      </c>
      <c r="P169" s="77">
        <f t="shared" si="52"/>
        <v>250000</v>
      </c>
      <c r="Q169" s="77">
        <f t="shared" si="53"/>
        <v>500000</v>
      </c>
      <c r="R169" s="77">
        <f t="shared" si="54"/>
        <v>750000</v>
      </c>
      <c r="S169" s="77">
        <f t="shared" si="55"/>
        <v>120000</v>
      </c>
      <c r="T169" s="77">
        <f t="shared" si="56"/>
        <v>870000</v>
      </c>
      <c r="U169" s="78" t="s">
        <v>50</v>
      </c>
      <c r="V169" s="81" t="s">
        <v>518</v>
      </c>
      <c r="W169" s="91" t="s">
        <v>611</v>
      </c>
    </row>
    <row r="170" spans="1:23" ht="28.2" customHeight="1" x14ac:dyDescent="0.3">
      <c r="A170" s="92">
        <v>360</v>
      </c>
      <c r="B170" s="68" t="s">
        <v>409</v>
      </c>
      <c r="C170" s="69" t="s">
        <v>579</v>
      </c>
      <c r="D170" s="68" t="s">
        <v>580</v>
      </c>
      <c r="E170" s="69" t="s">
        <v>411</v>
      </c>
      <c r="F170" s="109" t="s">
        <v>581</v>
      </c>
      <c r="G170" s="79">
        <v>1</v>
      </c>
      <c r="H170" s="81">
        <v>2</v>
      </c>
      <c r="I170" s="48" t="s">
        <v>381</v>
      </c>
      <c r="J170" s="48" t="str">
        <f t="shared" si="57"/>
        <v>NO</v>
      </c>
      <c r="K170" s="48" t="str">
        <f t="shared" si="57"/>
        <v>NO</v>
      </c>
      <c r="L170" s="48"/>
      <c r="M170" s="48"/>
      <c r="N170" s="48"/>
      <c r="O170" s="77">
        <v>250000</v>
      </c>
      <c r="P170" s="77">
        <f t="shared" si="52"/>
        <v>250000</v>
      </c>
      <c r="Q170" s="77">
        <f t="shared" si="53"/>
        <v>500000</v>
      </c>
      <c r="R170" s="77">
        <f t="shared" si="54"/>
        <v>750000</v>
      </c>
      <c r="S170" s="77">
        <f t="shared" si="55"/>
        <v>120000</v>
      </c>
      <c r="T170" s="77">
        <f t="shared" si="56"/>
        <v>870000</v>
      </c>
      <c r="U170" s="78" t="s">
        <v>50</v>
      </c>
      <c r="V170" s="81" t="s">
        <v>518</v>
      </c>
      <c r="W170" s="91" t="s">
        <v>611</v>
      </c>
    </row>
    <row r="171" spans="1:23" ht="28.2" customHeight="1" x14ac:dyDescent="0.3">
      <c r="A171" s="92">
        <v>361</v>
      </c>
      <c r="B171" s="68" t="s">
        <v>409</v>
      </c>
      <c r="C171" s="69" t="s">
        <v>582</v>
      </c>
      <c r="D171" s="68" t="s">
        <v>583</v>
      </c>
      <c r="E171" s="69" t="s">
        <v>411</v>
      </c>
      <c r="F171" s="109" t="s">
        <v>584</v>
      </c>
      <c r="G171" s="79">
        <v>1</v>
      </c>
      <c r="H171" s="81">
        <v>2</v>
      </c>
      <c r="I171" s="48" t="s">
        <v>381</v>
      </c>
      <c r="J171" s="48" t="str">
        <f t="shared" si="57"/>
        <v>NO</v>
      </c>
      <c r="K171" s="48" t="str">
        <f t="shared" si="57"/>
        <v>NO</v>
      </c>
      <c r="L171" s="48"/>
      <c r="M171" s="48"/>
      <c r="N171" s="48"/>
      <c r="O171" s="77">
        <v>250000</v>
      </c>
      <c r="P171" s="77">
        <f t="shared" si="52"/>
        <v>250000</v>
      </c>
      <c r="Q171" s="77">
        <f t="shared" si="53"/>
        <v>500000</v>
      </c>
      <c r="R171" s="77">
        <f t="shared" si="54"/>
        <v>750000</v>
      </c>
      <c r="S171" s="77">
        <f t="shared" si="55"/>
        <v>120000</v>
      </c>
      <c r="T171" s="77">
        <f t="shared" si="56"/>
        <v>870000</v>
      </c>
      <c r="U171" s="78" t="s">
        <v>50</v>
      </c>
      <c r="V171" s="81" t="s">
        <v>518</v>
      </c>
      <c r="W171" s="91" t="s">
        <v>611</v>
      </c>
    </row>
    <row r="172" spans="1:23" ht="28.2" customHeight="1" x14ac:dyDescent="0.3">
      <c r="A172" s="92">
        <v>362</v>
      </c>
      <c r="B172" s="68" t="s">
        <v>260</v>
      </c>
      <c r="C172" s="69" t="s">
        <v>585</v>
      </c>
      <c r="D172" s="68" t="s">
        <v>586</v>
      </c>
      <c r="E172" s="69" t="s">
        <v>259</v>
      </c>
      <c r="F172" s="109" t="s">
        <v>587</v>
      </c>
      <c r="G172" s="79">
        <v>1</v>
      </c>
      <c r="H172" s="81">
        <v>2</v>
      </c>
      <c r="I172" s="48" t="s">
        <v>381</v>
      </c>
      <c r="J172" s="48" t="str">
        <f t="shared" si="57"/>
        <v>NO</v>
      </c>
      <c r="K172" s="48" t="str">
        <f t="shared" si="57"/>
        <v>NO</v>
      </c>
      <c r="L172" s="48"/>
      <c r="M172" s="48"/>
      <c r="N172" s="48"/>
      <c r="O172" s="77">
        <v>250000</v>
      </c>
      <c r="P172" s="77">
        <f t="shared" si="52"/>
        <v>250000</v>
      </c>
      <c r="Q172" s="77">
        <f t="shared" si="53"/>
        <v>500000</v>
      </c>
      <c r="R172" s="77">
        <f t="shared" si="54"/>
        <v>750000</v>
      </c>
      <c r="S172" s="77">
        <f t="shared" si="55"/>
        <v>120000</v>
      </c>
      <c r="T172" s="77">
        <f t="shared" si="56"/>
        <v>870000</v>
      </c>
      <c r="U172" s="78" t="s">
        <v>50</v>
      </c>
      <c r="V172" s="81" t="s">
        <v>518</v>
      </c>
      <c r="W172" s="91" t="s">
        <v>611</v>
      </c>
    </row>
    <row r="173" spans="1:23" ht="28.2" customHeight="1" x14ac:dyDescent="0.3">
      <c r="A173" s="86">
        <v>363</v>
      </c>
      <c r="B173" s="68" t="s">
        <v>245</v>
      </c>
      <c r="C173" s="69" t="s">
        <v>246</v>
      </c>
      <c r="D173" s="68" t="s">
        <v>247</v>
      </c>
      <c r="E173" s="69" t="s">
        <v>244</v>
      </c>
      <c r="F173" s="109" t="s">
        <v>588</v>
      </c>
      <c r="G173" s="79">
        <v>1</v>
      </c>
      <c r="H173" s="81">
        <v>2</v>
      </c>
      <c r="I173" s="48">
        <v>100000</v>
      </c>
      <c r="J173" s="48">
        <f t="shared" si="57"/>
        <v>100000</v>
      </c>
      <c r="K173" s="48">
        <f t="shared" si="57"/>
        <v>100000</v>
      </c>
      <c r="L173" s="48">
        <f t="shared" ref="L173:L174" si="70">SUM(I173:K173)</f>
        <v>300000</v>
      </c>
      <c r="M173" s="48">
        <f t="shared" ref="M173:M174" si="71">L173*0.16</f>
        <v>48000</v>
      </c>
      <c r="N173" s="48">
        <f t="shared" ref="N173:N174" si="72">SUM(L173:M173)</f>
        <v>348000</v>
      </c>
      <c r="O173" s="77">
        <v>195000</v>
      </c>
      <c r="P173" s="77">
        <f t="shared" si="52"/>
        <v>195000</v>
      </c>
      <c r="Q173" s="77">
        <f t="shared" si="53"/>
        <v>390000</v>
      </c>
      <c r="R173" s="77">
        <f t="shared" si="54"/>
        <v>585000</v>
      </c>
      <c r="S173" s="77">
        <f t="shared" si="55"/>
        <v>93600</v>
      </c>
      <c r="T173" s="77">
        <f t="shared" si="56"/>
        <v>678600</v>
      </c>
      <c r="U173" s="78" t="s">
        <v>50</v>
      </c>
      <c r="V173" s="81" t="s">
        <v>518</v>
      </c>
      <c r="W173" s="83" t="s">
        <v>608</v>
      </c>
    </row>
    <row r="174" spans="1:23" ht="28.2" customHeight="1" x14ac:dyDescent="0.3">
      <c r="A174" s="86">
        <v>367</v>
      </c>
      <c r="B174" s="68" t="s">
        <v>249</v>
      </c>
      <c r="C174" s="69" t="s">
        <v>250</v>
      </c>
      <c r="D174" s="68" t="s">
        <v>251</v>
      </c>
      <c r="E174" s="69" t="s">
        <v>248</v>
      </c>
      <c r="F174" s="109" t="s">
        <v>589</v>
      </c>
      <c r="G174" s="79">
        <v>1</v>
      </c>
      <c r="H174" s="81">
        <v>2</v>
      </c>
      <c r="I174" s="48">
        <v>100000</v>
      </c>
      <c r="J174" s="48">
        <f t="shared" si="57"/>
        <v>100000</v>
      </c>
      <c r="K174" s="48">
        <f t="shared" si="57"/>
        <v>100000</v>
      </c>
      <c r="L174" s="48">
        <f t="shared" si="70"/>
        <v>300000</v>
      </c>
      <c r="M174" s="48">
        <f t="shared" si="71"/>
        <v>48000</v>
      </c>
      <c r="N174" s="48">
        <f t="shared" si="72"/>
        <v>348000</v>
      </c>
      <c r="O174" s="77">
        <v>250000</v>
      </c>
      <c r="P174" s="77">
        <f t="shared" ref="P174:P176" si="73">G174*O174</f>
        <v>250000</v>
      </c>
      <c r="Q174" s="77">
        <f t="shared" si="53"/>
        <v>500000</v>
      </c>
      <c r="R174" s="77">
        <f t="shared" ref="R174:R176" si="74">SUM(P174:Q174)</f>
        <v>750000</v>
      </c>
      <c r="S174" s="77">
        <f t="shared" ref="S174:S177" si="75">R174*$S$9</f>
        <v>120000</v>
      </c>
      <c r="T174" s="77">
        <f t="shared" ref="T174:T177" si="76">SUM(R174:S174)</f>
        <v>870000</v>
      </c>
      <c r="U174" s="78" t="s">
        <v>62</v>
      </c>
      <c r="V174" s="85"/>
      <c r="W174" s="83" t="s">
        <v>608</v>
      </c>
    </row>
    <row r="175" spans="1:23" ht="28.2" customHeight="1" x14ac:dyDescent="0.3">
      <c r="A175" s="92">
        <v>368</v>
      </c>
      <c r="B175" s="68" t="s">
        <v>590</v>
      </c>
      <c r="C175" s="69" t="s">
        <v>591</v>
      </c>
      <c r="D175" s="68" t="s">
        <v>592</v>
      </c>
      <c r="E175" s="69" t="s">
        <v>593</v>
      </c>
      <c r="F175" s="109" t="s">
        <v>594</v>
      </c>
      <c r="G175" s="79">
        <v>1</v>
      </c>
      <c r="H175" s="81">
        <v>2</v>
      </c>
      <c r="I175" s="48"/>
      <c r="J175" s="48">
        <f t="shared" si="57"/>
        <v>0</v>
      </c>
      <c r="K175" s="48">
        <f t="shared" si="57"/>
        <v>0</v>
      </c>
      <c r="L175" s="48"/>
      <c r="M175" s="48"/>
      <c r="N175" s="48"/>
      <c r="O175" s="77">
        <v>300000</v>
      </c>
      <c r="P175" s="77">
        <f t="shared" si="73"/>
        <v>300000</v>
      </c>
      <c r="Q175" s="77">
        <f t="shared" si="53"/>
        <v>600000</v>
      </c>
      <c r="R175" s="77">
        <f t="shared" si="74"/>
        <v>900000</v>
      </c>
      <c r="S175" s="77">
        <f t="shared" si="75"/>
        <v>144000</v>
      </c>
      <c r="T175" s="77">
        <f t="shared" si="76"/>
        <v>1044000</v>
      </c>
      <c r="U175" s="78" t="s">
        <v>62</v>
      </c>
      <c r="V175" s="85"/>
      <c r="W175" s="91" t="s">
        <v>611</v>
      </c>
    </row>
    <row r="176" spans="1:23" ht="28.2" customHeight="1" x14ac:dyDescent="0.3">
      <c r="A176" s="92">
        <v>369</v>
      </c>
      <c r="B176" s="68" t="s">
        <v>428</v>
      </c>
      <c r="C176" s="69" t="s">
        <v>250</v>
      </c>
      <c r="D176" s="68" t="s">
        <v>595</v>
      </c>
      <c r="E176" s="69" t="s">
        <v>566</v>
      </c>
      <c r="F176" s="109" t="s">
        <v>596</v>
      </c>
      <c r="G176" s="79">
        <v>1</v>
      </c>
      <c r="H176" s="81">
        <v>2</v>
      </c>
      <c r="I176" s="48"/>
      <c r="J176" s="48">
        <f t="shared" si="57"/>
        <v>0</v>
      </c>
      <c r="K176" s="48">
        <f t="shared" si="57"/>
        <v>0</v>
      </c>
      <c r="L176" s="48"/>
      <c r="M176" s="48"/>
      <c r="N176" s="48"/>
      <c r="O176" s="77">
        <v>300000</v>
      </c>
      <c r="P176" s="77">
        <f t="shared" si="73"/>
        <v>300000</v>
      </c>
      <c r="Q176" s="77">
        <f t="shared" si="53"/>
        <v>600000</v>
      </c>
      <c r="R176" s="77">
        <f t="shared" si="74"/>
        <v>900000</v>
      </c>
      <c r="S176" s="77">
        <f t="shared" si="75"/>
        <v>144000</v>
      </c>
      <c r="T176" s="77">
        <f t="shared" si="76"/>
        <v>1044000</v>
      </c>
      <c r="U176" s="78" t="s">
        <v>62</v>
      </c>
      <c r="V176" s="85"/>
      <c r="W176" s="91" t="s">
        <v>611</v>
      </c>
    </row>
    <row r="177" spans="6:20" ht="124.95" customHeight="1" thickBot="1" x14ac:dyDescent="0.35">
      <c r="G177" s="32">
        <f>SUM(G14:G176)</f>
        <v>169</v>
      </c>
      <c r="H177" s="89">
        <f>SUM(H14:H176)</f>
        <v>338</v>
      </c>
      <c r="I177" s="48"/>
      <c r="J177" s="48"/>
      <c r="K177" s="48"/>
      <c r="L177" s="119"/>
      <c r="M177" s="119"/>
      <c r="N177" s="119"/>
      <c r="P177" s="33"/>
      <c r="Q177" s="33"/>
      <c r="R177" s="120">
        <f>SUM(R14:R176)</f>
        <v>119610000</v>
      </c>
      <c r="S177" s="120">
        <f t="shared" si="75"/>
        <v>19137600</v>
      </c>
      <c r="T177" s="120">
        <f t="shared" si="76"/>
        <v>138747600</v>
      </c>
    </row>
    <row r="178" spans="6:20" ht="124.95" customHeight="1" thickBot="1" x14ac:dyDescent="0.35">
      <c r="G178" s="141">
        <f>SUM(G177:H177)</f>
        <v>507</v>
      </c>
      <c r="H178" s="142"/>
      <c r="I178" s="2"/>
      <c r="J178" s="2"/>
      <c r="K178" s="2"/>
      <c r="L178" s="121"/>
      <c r="M178" s="122"/>
      <c r="N178" s="123"/>
      <c r="R178" s="121"/>
      <c r="S178" s="122"/>
      <c r="T178" s="123"/>
    </row>
    <row r="179" spans="6:20" x14ac:dyDescent="0.3">
      <c r="F179" s="34"/>
      <c r="I179" s="2"/>
      <c r="J179" s="2"/>
      <c r="K179" s="2"/>
      <c r="L179" s="2"/>
      <c r="M179" s="2"/>
      <c r="N179" s="2"/>
    </row>
    <row r="180" spans="6:20" x14ac:dyDescent="0.3">
      <c r="F180" s="6"/>
      <c r="I180" s="2"/>
      <c r="J180" s="2"/>
      <c r="K180" s="2"/>
      <c r="L180" s="2"/>
      <c r="M180" s="2"/>
      <c r="N180" s="2"/>
    </row>
    <row r="181" spans="6:20" x14ac:dyDescent="0.3">
      <c r="I181" s="2"/>
      <c r="J181" s="2"/>
      <c r="K181" s="2"/>
      <c r="L181" s="2"/>
      <c r="M181" s="2"/>
      <c r="N181" s="2"/>
    </row>
    <row r="182" spans="6:20" ht="135.75" customHeight="1" x14ac:dyDescent="0.3">
      <c r="F182" s="35"/>
      <c r="I182" s="2"/>
      <c r="J182" s="2"/>
      <c r="K182" s="2"/>
      <c r="L182" s="2"/>
      <c r="M182" s="2"/>
      <c r="N182" s="2"/>
    </row>
    <row r="183" spans="6:20" x14ac:dyDescent="0.3">
      <c r="I183" s="2"/>
      <c r="J183" s="2"/>
      <c r="K183" s="2"/>
      <c r="L183" s="2"/>
      <c r="M183" s="2"/>
      <c r="N183" s="2"/>
    </row>
    <row r="184" spans="6:20" x14ac:dyDescent="0.3">
      <c r="I184" s="2"/>
      <c r="J184" s="2"/>
      <c r="K184" s="2"/>
      <c r="L184" s="2"/>
      <c r="M184" s="2"/>
      <c r="N184" s="2"/>
    </row>
    <row r="185" spans="6:20" x14ac:dyDescent="0.3">
      <c r="F185" s="35"/>
      <c r="I185" s="2"/>
      <c r="J185" s="2"/>
      <c r="K185" s="2"/>
      <c r="L185" s="2"/>
      <c r="M185" s="2"/>
      <c r="N185" s="2"/>
    </row>
    <row r="186" spans="6:20" x14ac:dyDescent="0.3">
      <c r="F186" s="35"/>
      <c r="I186" s="2"/>
      <c r="J186" s="2"/>
      <c r="K186" s="2"/>
      <c r="L186" s="2"/>
      <c r="M186" s="2"/>
      <c r="N186" s="2"/>
    </row>
    <row r="187" spans="6:20" x14ac:dyDescent="0.3">
      <c r="I187" s="2"/>
      <c r="J187" s="2"/>
      <c r="K187" s="2"/>
      <c r="L187" s="2"/>
      <c r="M187" s="2"/>
      <c r="N187" s="2"/>
    </row>
    <row r="188" spans="6:20" x14ac:dyDescent="0.3">
      <c r="F188" s="36"/>
      <c r="I188" s="2"/>
      <c r="J188" s="2"/>
      <c r="K188" s="2"/>
      <c r="L188" s="2"/>
      <c r="M188" s="2"/>
      <c r="N188" s="2"/>
    </row>
    <row r="189" spans="6:20" x14ac:dyDescent="0.3">
      <c r="F189" s="35"/>
      <c r="I189" s="2"/>
      <c r="J189" s="2"/>
      <c r="K189" s="2"/>
      <c r="L189" s="2"/>
      <c r="M189" s="2"/>
      <c r="N189" s="2"/>
    </row>
    <row r="190" spans="6:20" x14ac:dyDescent="0.3">
      <c r="F190" s="37"/>
      <c r="I190" s="2"/>
      <c r="J190" s="2"/>
      <c r="K190" s="2"/>
      <c r="L190" s="2"/>
      <c r="M190" s="2"/>
      <c r="N190" s="2"/>
    </row>
    <row r="191" spans="6:20" x14ac:dyDescent="0.3">
      <c r="I191" s="2"/>
      <c r="J191" s="2"/>
      <c r="K191" s="2"/>
      <c r="L191" s="2"/>
      <c r="M191" s="2"/>
      <c r="N191" s="2"/>
    </row>
    <row r="192" spans="6:20" x14ac:dyDescent="0.3">
      <c r="I192" s="2"/>
      <c r="J192" s="2"/>
      <c r="K192" s="2"/>
      <c r="L192" s="2"/>
      <c r="M192" s="2"/>
      <c r="N192" s="2"/>
    </row>
    <row r="193" spans="9:14" x14ac:dyDescent="0.3">
      <c r="I193" s="2"/>
      <c r="J193" s="2"/>
      <c r="K193" s="2"/>
      <c r="L193" s="2"/>
      <c r="M193" s="2"/>
      <c r="N193" s="2"/>
    </row>
    <row r="194" spans="9:14" x14ac:dyDescent="0.3">
      <c r="I194" s="2"/>
      <c r="J194" s="2"/>
      <c r="K194" s="2"/>
      <c r="L194" s="2"/>
      <c r="M194" s="2"/>
      <c r="N194" s="2"/>
    </row>
    <row r="195" spans="9:14" x14ac:dyDescent="0.3">
      <c r="I195" s="2"/>
      <c r="J195" s="2"/>
      <c r="K195" s="2"/>
      <c r="L195" s="2"/>
      <c r="M195" s="2"/>
      <c r="N195" s="2"/>
    </row>
    <row r="196" spans="9:14" x14ac:dyDescent="0.3">
      <c r="I196" s="2"/>
      <c r="J196" s="2"/>
      <c r="K196" s="2"/>
      <c r="L196" s="2"/>
      <c r="M196" s="2"/>
      <c r="N196" s="2"/>
    </row>
    <row r="197" spans="9:14" x14ac:dyDescent="0.3">
      <c r="I197" s="2"/>
      <c r="J197" s="2"/>
      <c r="K197" s="2"/>
      <c r="L197" s="2"/>
      <c r="M197" s="2"/>
      <c r="N197" s="2"/>
    </row>
    <row r="198" spans="9:14" x14ac:dyDescent="0.3">
      <c r="I198" s="2"/>
      <c r="J198" s="2"/>
      <c r="K198" s="2"/>
      <c r="L198" s="2"/>
      <c r="M198" s="2"/>
      <c r="N198" s="2"/>
    </row>
    <row r="199" spans="9:14" x14ac:dyDescent="0.3">
      <c r="I199" s="2"/>
      <c r="J199" s="2"/>
      <c r="K199" s="2"/>
      <c r="L199" s="2"/>
      <c r="M199" s="2"/>
      <c r="N199" s="2"/>
    </row>
    <row r="200" spans="9:14" x14ac:dyDescent="0.3">
      <c r="I200" s="2"/>
      <c r="J200" s="2"/>
      <c r="K200" s="2"/>
      <c r="L200" s="2"/>
      <c r="M200" s="2"/>
      <c r="N200" s="2"/>
    </row>
    <row r="201" spans="9:14" x14ac:dyDescent="0.3">
      <c r="I201" s="2"/>
      <c r="J201" s="2"/>
      <c r="K201" s="2"/>
      <c r="L201" s="2"/>
      <c r="M201" s="2"/>
      <c r="N201" s="2"/>
    </row>
    <row r="202" spans="9:14" x14ac:dyDescent="0.3">
      <c r="I202" s="2"/>
      <c r="J202" s="2"/>
      <c r="K202" s="2"/>
      <c r="L202" s="2"/>
      <c r="M202" s="2"/>
      <c r="N202" s="2"/>
    </row>
    <row r="203" spans="9:14" x14ac:dyDescent="0.3">
      <c r="I203" s="2"/>
      <c r="J203" s="2"/>
      <c r="K203" s="2"/>
      <c r="L203" s="2"/>
      <c r="M203" s="2"/>
      <c r="N203" s="2"/>
    </row>
    <row r="204" spans="9:14" x14ac:dyDescent="0.3">
      <c r="I204" s="2"/>
      <c r="J204" s="2"/>
      <c r="K204" s="2"/>
      <c r="L204" s="2"/>
      <c r="M204" s="2"/>
      <c r="N204" s="2"/>
    </row>
    <row r="205" spans="9:14" x14ac:dyDescent="0.3">
      <c r="I205" s="2"/>
      <c r="J205" s="2"/>
      <c r="K205" s="2"/>
      <c r="L205" s="2"/>
      <c r="M205" s="2"/>
      <c r="N205" s="2"/>
    </row>
    <row r="206" spans="9:14" x14ac:dyDescent="0.3">
      <c r="I206" s="2"/>
      <c r="J206" s="2"/>
      <c r="K206" s="2"/>
      <c r="L206" s="2"/>
      <c r="M206" s="2"/>
      <c r="N206" s="2"/>
    </row>
    <row r="207" spans="9:14" x14ac:dyDescent="0.3">
      <c r="I207" s="2"/>
      <c r="J207" s="2"/>
      <c r="K207" s="2"/>
      <c r="L207" s="2"/>
      <c r="M207" s="2"/>
      <c r="N207" s="2"/>
    </row>
    <row r="208" spans="9:14" x14ac:dyDescent="0.3">
      <c r="I208" s="2"/>
      <c r="J208" s="2"/>
      <c r="K208" s="2"/>
      <c r="L208" s="2"/>
      <c r="M208" s="2"/>
      <c r="N208" s="2"/>
    </row>
    <row r="209" spans="9:14" x14ac:dyDescent="0.3">
      <c r="I209" s="2"/>
      <c r="J209" s="2"/>
      <c r="K209" s="2"/>
      <c r="L209" s="2"/>
      <c r="M209" s="2"/>
      <c r="N209" s="2"/>
    </row>
    <row r="210" spans="9:14" x14ac:dyDescent="0.3">
      <c r="I210" s="2"/>
      <c r="J210" s="2"/>
      <c r="K210" s="2"/>
      <c r="L210" s="2"/>
      <c r="M210" s="2"/>
      <c r="N210" s="2"/>
    </row>
    <row r="211" spans="9:14" x14ac:dyDescent="0.3">
      <c r="I211" s="2"/>
      <c r="J211" s="2"/>
      <c r="K211" s="2"/>
      <c r="L211" s="2"/>
      <c r="M211" s="2"/>
      <c r="N211" s="2"/>
    </row>
    <row r="212" spans="9:14" x14ac:dyDescent="0.3">
      <c r="I212" s="2"/>
      <c r="J212" s="2"/>
      <c r="K212" s="2"/>
      <c r="L212" s="2"/>
      <c r="M212" s="2"/>
      <c r="N212" s="2"/>
    </row>
    <row r="213" spans="9:14" x14ac:dyDescent="0.3">
      <c r="I213" s="2"/>
      <c r="J213" s="2"/>
      <c r="K213" s="2"/>
      <c r="L213" s="2"/>
      <c r="M213" s="2"/>
      <c r="N213" s="2"/>
    </row>
    <row r="214" spans="9:14" x14ac:dyDescent="0.3">
      <c r="I214" s="2"/>
      <c r="J214" s="2"/>
      <c r="K214" s="2"/>
      <c r="L214" s="2"/>
      <c r="M214" s="2"/>
      <c r="N214" s="2"/>
    </row>
    <row r="215" spans="9:14" x14ac:dyDescent="0.3">
      <c r="I215" s="2"/>
      <c r="J215" s="2"/>
      <c r="K215" s="2"/>
      <c r="L215" s="2"/>
      <c r="M215" s="2"/>
      <c r="N215" s="2"/>
    </row>
    <row r="216" spans="9:14" x14ac:dyDescent="0.3">
      <c r="I216" s="2"/>
      <c r="J216" s="2"/>
      <c r="K216" s="2"/>
      <c r="L216" s="2"/>
      <c r="M216" s="2"/>
      <c r="N216" s="2"/>
    </row>
    <row r="217" spans="9:14" x14ac:dyDescent="0.3">
      <c r="I217" s="2"/>
      <c r="J217" s="2"/>
      <c r="K217" s="2"/>
      <c r="L217" s="2"/>
      <c r="M217" s="2"/>
      <c r="N217" s="2"/>
    </row>
    <row r="218" spans="9:14" x14ac:dyDescent="0.3">
      <c r="I218" s="2"/>
      <c r="J218" s="2"/>
      <c r="K218" s="2"/>
      <c r="L218" s="2"/>
      <c r="M218" s="2"/>
      <c r="N218" s="2"/>
    </row>
    <row r="219" spans="9:14" x14ac:dyDescent="0.3">
      <c r="I219" s="2"/>
      <c r="J219" s="2"/>
      <c r="K219" s="2"/>
      <c r="L219" s="2"/>
      <c r="M219" s="2"/>
      <c r="N219" s="2"/>
    </row>
    <row r="220" spans="9:14" x14ac:dyDescent="0.3">
      <c r="I220" s="2"/>
      <c r="J220" s="2"/>
      <c r="K220" s="2"/>
      <c r="L220" s="2"/>
      <c r="M220" s="2"/>
      <c r="N220" s="2"/>
    </row>
    <row r="221" spans="9:14" x14ac:dyDescent="0.3">
      <c r="I221" s="2"/>
      <c r="J221" s="2"/>
      <c r="K221" s="2"/>
      <c r="L221" s="2"/>
      <c r="M221" s="2"/>
      <c r="N221" s="2"/>
    </row>
    <row r="222" spans="9:14" x14ac:dyDescent="0.3">
      <c r="I222" s="2"/>
      <c r="J222" s="2"/>
      <c r="K222" s="2"/>
      <c r="L222" s="2"/>
      <c r="M222" s="2"/>
      <c r="N222" s="2"/>
    </row>
    <row r="223" spans="9:14" x14ac:dyDescent="0.3">
      <c r="I223" s="2"/>
      <c r="J223" s="2"/>
      <c r="K223" s="2"/>
      <c r="L223" s="2"/>
      <c r="M223" s="2"/>
      <c r="N223" s="2"/>
    </row>
    <row r="224" spans="9:14" x14ac:dyDescent="0.3">
      <c r="I224" s="2"/>
      <c r="J224" s="2"/>
      <c r="K224" s="2"/>
      <c r="L224" s="2"/>
      <c r="M224" s="2"/>
      <c r="N224" s="2"/>
    </row>
    <row r="225" spans="9:14" x14ac:dyDescent="0.3">
      <c r="I225" s="2"/>
      <c r="J225" s="2"/>
      <c r="K225" s="2"/>
      <c r="L225" s="2"/>
      <c r="M225" s="2"/>
      <c r="N225" s="2"/>
    </row>
    <row r="226" spans="9:14" x14ac:dyDescent="0.3">
      <c r="I226" s="2"/>
      <c r="J226" s="2"/>
      <c r="K226" s="2"/>
      <c r="L226" s="2"/>
      <c r="M226" s="2"/>
      <c r="N226" s="2"/>
    </row>
    <row r="227" spans="9:14" x14ac:dyDescent="0.3">
      <c r="I227" s="2"/>
      <c r="J227" s="2"/>
      <c r="K227" s="2"/>
      <c r="L227" s="2"/>
      <c r="M227" s="2"/>
      <c r="N227" s="2"/>
    </row>
    <row r="228" spans="9:14" x14ac:dyDescent="0.3">
      <c r="I228" s="2"/>
      <c r="J228" s="2"/>
      <c r="K228" s="2"/>
      <c r="L228" s="2"/>
      <c r="M228" s="2"/>
      <c r="N228" s="2"/>
    </row>
    <row r="229" spans="9:14" x14ac:dyDescent="0.3">
      <c r="I229" s="2"/>
      <c r="J229" s="2"/>
      <c r="K229" s="2"/>
      <c r="L229" s="2"/>
      <c r="M229" s="2"/>
      <c r="N229" s="2"/>
    </row>
    <row r="230" spans="9:14" x14ac:dyDescent="0.3">
      <c r="I230" s="2"/>
      <c r="J230" s="2"/>
      <c r="K230" s="2"/>
      <c r="L230" s="2"/>
      <c r="M230" s="2"/>
      <c r="N230" s="2"/>
    </row>
    <row r="231" spans="9:14" x14ac:dyDescent="0.3">
      <c r="I231" s="2"/>
      <c r="J231" s="2"/>
      <c r="K231" s="2"/>
      <c r="L231" s="2"/>
      <c r="M231" s="2"/>
      <c r="N231" s="2"/>
    </row>
    <row r="232" spans="9:14" x14ac:dyDescent="0.3">
      <c r="I232" s="2"/>
      <c r="J232" s="2"/>
      <c r="K232" s="2"/>
      <c r="L232" s="2"/>
      <c r="M232" s="2"/>
      <c r="N232" s="2"/>
    </row>
    <row r="233" spans="9:14" x14ac:dyDescent="0.3">
      <c r="I233" s="2"/>
      <c r="J233" s="2"/>
      <c r="K233" s="2"/>
      <c r="L233" s="2"/>
      <c r="M233" s="2"/>
      <c r="N233" s="2"/>
    </row>
    <row r="234" spans="9:14" x14ac:dyDescent="0.3">
      <c r="I234" s="2"/>
      <c r="J234" s="2"/>
      <c r="K234" s="2"/>
      <c r="L234" s="2"/>
      <c r="M234" s="2"/>
      <c r="N234" s="2"/>
    </row>
    <row r="235" spans="9:14" x14ac:dyDescent="0.3">
      <c r="I235" s="2"/>
      <c r="J235" s="2"/>
      <c r="K235" s="2"/>
      <c r="L235" s="2"/>
      <c r="M235" s="2"/>
      <c r="N235" s="2"/>
    </row>
    <row r="236" spans="9:14" x14ac:dyDescent="0.3">
      <c r="I236" s="2"/>
      <c r="J236" s="2"/>
      <c r="K236" s="2"/>
      <c r="L236" s="2"/>
      <c r="M236" s="2"/>
      <c r="N236" s="2"/>
    </row>
    <row r="237" spans="9:14" x14ac:dyDescent="0.3">
      <c r="I237" s="2"/>
      <c r="J237" s="2"/>
      <c r="K237" s="2"/>
      <c r="L237" s="2"/>
      <c r="M237" s="2"/>
      <c r="N237" s="2"/>
    </row>
    <row r="238" spans="9:14" x14ac:dyDescent="0.3">
      <c r="I238" s="2"/>
      <c r="J238" s="2"/>
      <c r="K238" s="2"/>
      <c r="L238" s="2"/>
      <c r="M238" s="2"/>
      <c r="N238" s="2"/>
    </row>
    <row r="239" spans="9:14" x14ac:dyDescent="0.3">
      <c r="I239" s="2"/>
      <c r="J239" s="2"/>
      <c r="K239" s="2"/>
      <c r="L239" s="2"/>
      <c r="M239" s="2"/>
      <c r="N239" s="2"/>
    </row>
    <row r="240" spans="9:14" x14ac:dyDescent="0.3">
      <c r="I240" s="2"/>
      <c r="J240" s="2"/>
      <c r="K240" s="2"/>
      <c r="L240" s="2"/>
      <c r="M240" s="2"/>
      <c r="N240" s="2"/>
    </row>
    <row r="241" spans="9:14" x14ac:dyDescent="0.3">
      <c r="I241" s="2"/>
      <c r="J241" s="2"/>
      <c r="K241" s="2"/>
      <c r="L241" s="2"/>
      <c r="M241" s="2"/>
      <c r="N241" s="2"/>
    </row>
    <row r="242" spans="9:14" x14ac:dyDescent="0.3">
      <c r="I242" s="2"/>
      <c r="J242" s="2"/>
      <c r="K242" s="2"/>
      <c r="L242" s="2"/>
      <c r="M242" s="2"/>
      <c r="N242" s="2"/>
    </row>
    <row r="243" spans="9:14" x14ac:dyDescent="0.3">
      <c r="I243" s="2"/>
      <c r="J243" s="2"/>
      <c r="K243" s="2"/>
      <c r="L243" s="2"/>
      <c r="M243" s="2"/>
      <c r="N243" s="2"/>
    </row>
    <row r="244" spans="9:14" x14ac:dyDescent="0.3">
      <c r="I244" s="2"/>
      <c r="J244" s="2"/>
      <c r="K244" s="2"/>
      <c r="L244" s="2"/>
      <c r="M244" s="2"/>
      <c r="N244" s="2"/>
    </row>
    <row r="245" spans="9:14" x14ac:dyDescent="0.3">
      <c r="I245" s="2"/>
      <c r="J245" s="2"/>
      <c r="K245" s="2"/>
      <c r="L245" s="2"/>
      <c r="M245" s="2"/>
      <c r="N245" s="2"/>
    </row>
    <row r="246" spans="9:14" x14ac:dyDescent="0.3">
      <c r="I246" s="2"/>
      <c r="J246" s="2"/>
      <c r="K246" s="2"/>
      <c r="L246" s="2"/>
      <c r="M246" s="2"/>
      <c r="N246" s="2"/>
    </row>
    <row r="247" spans="9:14" x14ac:dyDescent="0.3">
      <c r="I247" s="2"/>
      <c r="J247" s="2"/>
      <c r="K247" s="2"/>
      <c r="L247" s="2"/>
      <c r="M247" s="2"/>
      <c r="N247" s="2"/>
    </row>
    <row r="248" spans="9:14" x14ac:dyDescent="0.3">
      <c r="I248" s="2"/>
      <c r="J248" s="2"/>
      <c r="K248" s="2"/>
      <c r="L248" s="2"/>
      <c r="M248" s="2"/>
      <c r="N248" s="2"/>
    </row>
    <row r="249" spans="9:14" x14ac:dyDescent="0.3">
      <c r="I249" s="2"/>
      <c r="J249" s="2"/>
      <c r="K249" s="2"/>
      <c r="L249" s="2"/>
      <c r="M249" s="2"/>
      <c r="N249" s="2"/>
    </row>
    <row r="250" spans="9:14" x14ac:dyDescent="0.3">
      <c r="I250" s="2"/>
      <c r="J250" s="2"/>
      <c r="K250" s="2"/>
      <c r="L250" s="2"/>
      <c r="M250" s="2"/>
      <c r="N250" s="2"/>
    </row>
    <row r="251" spans="9:14" x14ac:dyDescent="0.3">
      <c r="I251" s="2"/>
      <c r="J251" s="2"/>
      <c r="K251" s="2"/>
      <c r="L251" s="2"/>
      <c r="M251" s="2"/>
      <c r="N251" s="2"/>
    </row>
    <row r="252" spans="9:14" x14ac:dyDescent="0.3">
      <c r="I252" s="2"/>
      <c r="J252" s="2"/>
      <c r="K252" s="2"/>
      <c r="L252" s="2"/>
      <c r="M252" s="2"/>
      <c r="N252" s="2"/>
    </row>
    <row r="253" spans="9:14" x14ac:dyDescent="0.3">
      <c r="I253" s="2"/>
      <c r="J253" s="2"/>
      <c r="K253" s="2"/>
      <c r="L253" s="2"/>
      <c r="M253" s="2"/>
      <c r="N253" s="2"/>
    </row>
    <row r="254" spans="9:14" x14ac:dyDescent="0.3">
      <c r="I254" s="2"/>
      <c r="J254" s="2"/>
      <c r="K254" s="2"/>
      <c r="L254" s="2"/>
      <c r="M254" s="2"/>
      <c r="N254" s="2"/>
    </row>
    <row r="255" spans="9:14" x14ac:dyDescent="0.3">
      <c r="I255" s="2"/>
      <c r="J255" s="2"/>
      <c r="K255" s="2"/>
      <c r="L255" s="2"/>
      <c r="M255" s="2"/>
      <c r="N255" s="2"/>
    </row>
    <row r="256" spans="9:14" x14ac:dyDescent="0.3">
      <c r="I256" s="2"/>
      <c r="J256" s="2"/>
      <c r="K256" s="2"/>
      <c r="L256" s="2"/>
      <c r="M256" s="2"/>
      <c r="N256" s="2"/>
    </row>
    <row r="257" spans="9:14" x14ac:dyDescent="0.3">
      <c r="I257" s="2"/>
      <c r="J257" s="2"/>
      <c r="K257" s="2"/>
      <c r="L257" s="2"/>
      <c r="M257" s="2"/>
      <c r="N257" s="2"/>
    </row>
    <row r="258" spans="9:14" x14ac:dyDescent="0.3">
      <c r="I258" s="2"/>
      <c r="J258" s="2"/>
      <c r="K258" s="2"/>
      <c r="L258" s="2"/>
      <c r="M258" s="2"/>
      <c r="N258" s="2"/>
    </row>
    <row r="259" spans="9:14" x14ac:dyDescent="0.3">
      <c r="I259" s="2"/>
      <c r="J259" s="2"/>
      <c r="K259" s="2"/>
      <c r="L259" s="2"/>
      <c r="M259" s="2"/>
      <c r="N259" s="2"/>
    </row>
    <row r="260" spans="9:14" x14ac:dyDescent="0.3">
      <c r="I260" s="2"/>
      <c r="J260" s="2"/>
      <c r="K260" s="2"/>
      <c r="L260" s="2"/>
      <c r="M260" s="2"/>
      <c r="N260" s="2"/>
    </row>
    <row r="261" spans="9:14" x14ac:dyDescent="0.3">
      <c r="I261" s="2"/>
      <c r="J261" s="2"/>
      <c r="K261" s="2"/>
      <c r="L261" s="2"/>
      <c r="M261" s="2"/>
      <c r="N261" s="2"/>
    </row>
    <row r="262" spans="9:14" x14ac:dyDescent="0.3">
      <c r="I262" s="2"/>
      <c r="J262" s="2"/>
      <c r="K262" s="2"/>
      <c r="L262" s="2"/>
      <c r="M262" s="2"/>
      <c r="N262" s="2"/>
    </row>
    <row r="263" spans="9:14" x14ac:dyDescent="0.3">
      <c r="I263" s="2"/>
      <c r="J263" s="2"/>
      <c r="K263" s="2"/>
      <c r="L263" s="2"/>
      <c r="M263" s="2"/>
      <c r="N263" s="2"/>
    </row>
    <row r="264" spans="9:14" x14ac:dyDescent="0.3">
      <c r="I264" s="2"/>
      <c r="J264" s="2"/>
      <c r="K264" s="2"/>
      <c r="L264" s="2"/>
      <c r="M264" s="2"/>
      <c r="N264" s="2"/>
    </row>
    <row r="265" spans="9:14" x14ac:dyDescent="0.3">
      <c r="I265" s="2"/>
      <c r="J265" s="2"/>
      <c r="K265" s="2"/>
      <c r="L265" s="2"/>
      <c r="M265" s="2"/>
      <c r="N265" s="2"/>
    </row>
    <row r="266" spans="9:14" x14ac:dyDescent="0.3">
      <c r="I266" s="2"/>
      <c r="J266" s="2"/>
      <c r="K266" s="2"/>
      <c r="L266" s="2"/>
      <c r="M266" s="2"/>
      <c r="N266" s="2"/>
    </row>
    <row r="267" spans="9:14" x14ac:dyDescent="0.3">
      <c r="I267" s="2"/>
      <c r="J267" s="2"/>
      <c r="K267" s="2"/>
      <c r="L267" s="2"/>
      <c r="M267" s="2"/>
      <c r="N267" s="2"/>
    </row>
    <row r="268" spans="9:14" x14ac:dyDescent="0.3">
      <c r="I268" s="2"/>
      <c r="J268" s="2"/>
      <c r="K268" s="2"/>
      <c r="L268" s="2"/>
      <c r="M268" s="2"/>
      <c r="N268" s="2"/>
    </row>
    <row r="269" spans="9:14" x14ac:dyDescent="0.3">
      <c r="I269" s="2"/>
      <c r="J269" s="2"/>
      <c r="K269" s="2"/>
      <c r="L269" s="2"/>
      <c r="M269" s="2"/>
      <c r="N269" s="2"/>
    </row>
    <row r="270" spans="9:14" x14ac:dyDescent="0.3">
      <c r="I270" s="2"/>
      <c r="J270" s="2"/>
      <c r="K270" s="2"/>
      <c r="L270" s="2"/>
      <c r="M270" s="2"/>
      <c r="N270" s="2"/>
    </row>
    <row r="271" spans="9:14" x14ac:dyDescent="0.3">
      <c r="I271" s="2"/>
      <c r="J271" s="2"/>
      <c r="K271" s="2"/>
      <c r="L271" s="2"/>
      <c r="M271" s="2"/>
      <c r="N271" s="2"/>
    </row>
    <row r="272" spans="9:14" x14ac:dyDescent="0.3">
      <c r="I272" s="2"/>
      <c r="J272" s="2"/>
      <c r="K272" s="2"/>
      <c r="L272" s="2"/>
      <c r="M272" s="2"/>
      <c r="N272" s="2"/>
    </row>
    <row r="273" spans="9:14" x14ac:dyDescent="0.3">
      <c r="I273" s="2"/>
      <c r="J273" s="2"/>
      <c r="K273" s="2"/>
      <c r="L273" s="2"/>
      <c r="M273" s="2"/>
      <c r="N273" s="2"/>
    </row>
    <row r="274" spans="9:14" x14ac:dyDescent="0.3">
      <c r="I274" s="2"/>
      <c r="J274" s="2"/>
      <c r="K274" s="2"/>
      <c r="L274" s="2"/>
      <c r="M274" s="2"/>
      <c r="N274" s="2"/>
    </row>
    <row r="275" spans="9:14" x14ac:dyDescent="0.3">
      <c r="I275" s="2"/>
      <c r="J275" s="2"/>
      <c r="K275" s="2"/>
      <c r="L275" s="2"/>
      <c r="M275" s="2"/>
      <c r="N275" s="2"/>
    </row>
    <row r="276" spans="9:14" x14ac:dyDescent="0.3">
      <c r="I276" s="2"/>
      <c r="J276" s="2"/>
      <c r="K276" s="2"/>
      <c r="L276" s="2"/>
      <c r="M276" s="2"/>
      <c r="N276" s="2"/>
    </row>
    <row r="277" spans="9:14" x14ac:dyDescent="0.3">
      <c r="I277" s="2"/>
      <c r="J277" s="2"/>
      <c r="K277" s="2"/>
      <c r="L277" s="2"/>
      <c r="M277" s="2"/>
      <c r="N277" s="2"/>
    </row>
    <row r="278" spans="9:14" x14ac:dyDescent="0.3">
      <c r="I278" s="2"/>
      <c r="J278" s="2"/>
      <c r="K278" s="2"/>
      <c r="L278" s="2"/>
      <c r="M278" s="2"/>
      <c r="N278" s="2"/>
    </row>
    <row r="279" spans="9:14" x14ac:dyDescent="0.3">
      <c r="I279" s="2"/>
      <c r="J279" s="2"/>
      <c r="K279" s="2"/>
      <c r="L279" s="2"/>
      <c r="M279" s="2"/>
      <c r="N279" s="2"/>
    </row>
    <row r="280" spans="9:14" x14ac:dyDescent="0.3">
      <c r="I280" s="2"/>
      <c r="J280" s="2"/>
      <c r="K280" s="2"/>
      <c r="L280" s="2"/>
      <c r="M280" s="2"/>
      <c r="N280" s="2"/>
    </row>
    <row r="281" spans="9:14" x14ac:dyDescent="0.3">
      <c r="I281" s="2"/>
      <c r="J281" s="2"/>
      <c r="K281" s="2"/>
      <c r="L281" s="2"/>
      <c r="M281" s="2"/>
      <c r="N281" s="2"/>
    </row>
    <row r="282" spans="9:14" x14ac:dyDescent="0.3">
      <c r="I282" s="2"/>
      <c r="J282" s="2"/>
      <c r="K282" s="2"/>
      <c r="L282" s="2"/>
      <c r="M282" s="2"/>
      <c r="N282" s="2"/>
    </row>
    <row r="283" spans="9:14" x14ac:dyDescent="0.3">
      <c r="I283" s="2"/>
      <c r="J283" s="2"/>
      <c r="K283" s="2"/>
      <c r="L283" s="2"/>
      <c r="M283" s="2"/>
      <c r="N283" s="2"/>
    </row>
    <row r="284" spans="9:14" x14ac:dyDescent="0.3">
      <c r="I284" s="2"/>
      <c r="J284" s="2"/>
      <c r="K284" s="2"/>
      <c r="L284" s="2"/>
      <c r="M284" s="2"/>
      <c r="N284" s="2"/>
    </row>
    <row r="285" spans="9:14" x14ac:dyDescent="0.3">
      <c r="I285" s="2"/>
      <c r="J285" s="2"/>
      <c r="K285" s="2"/>
      <c r="L285" s="2"/>
      <c r="M285" s="2"/>
      <c r="N285" s="2"/>
    </row>
    <row r="286" spans="9:14" x14ac:dyDescent="0.3">
      <c r="I286" s="2"/>
      <c r="J286" s="2"/>
      <c r="K286" s="2"/>
      <c r="L286" s="2"/>
      <c r="M286" s="2"/>
      <c r="N286" s="2"/>
    </row>
    <row r="287" spans="9:14" x14ac:dyDescent="0.3">
      <c r="I287" s="2"/>
      <c r="J287" s="2"/>
      <c r="K287" s="2"/>
      <c r="L287" s="2"/>
      <c r="M287" s="2"/>
      <c r="N287" s="2"/>
    </row>
    <row r="288" spans="9:14" x14ac:dyDescent="0.3">
      <c r="I288" s="2"/>
      <c r="J288" s="2"/>
      <c r="K288" s="2"/>
      <c r="L288" s="2"/>
      <c r="M288" s="2"/>
      <c r="N288" s="2"/>
    </row>
    <row r="289" spans="9:14" x14ac:dyDescent="0.3">
      <c r="I289" s="2"/>
      <c r="J289" s="2"/>
      <c r="K289" s="2"/>
      <c r="L289" s="2"/>
      <c r="M289" s="2"/>
      <c r="N289" s="2"/>
    </row>
    <row r="290" spans="9:14" x14ac:dyDescent="0.3">
      <c r="I290" s="2"/>
      <c r="J290" s="2"/>
      <c r="K290" s="2"/>
      <c r="L290" s="2"/>
      <c r="M290" s="2"/>
      <c r="N290" s="2"/>
    </row>
    <row r="291" spans="9:14" x14ac:dyDescent="0.3">
      <c r="I291" s="2"/>
      <c r="J291" s="2"/>
      <c r="K291" s="2"/>
      <c r="L291" s="2"/>
      <c r="M291" s="2"/>
      <c r="N291" s="2"/>
    </row>
    <row r="292" spans="9:14" x14ac:dyDescent="0.3">
      <c r="I292" s="2"/>
      <c r="J292" s="2"/>
      <c r="K292" s="2"/>
      <c r="L292" s="2"/>
      <c r="M292" s="2"/>
      <c r="N292" s="2"/>
    </row>
    <row r="293" spans="9:14" x14ac:dyDescent="0.3">
      <c r="I293" s="2"/>
      <c r="J293" s="2"/>
      <c r="K293" s="2"/>
      <c r="L293" s="2"/>
      <c r="M293" s="2"/>
      <c r="N293" s="2"/>
    </row>
    <row r="294" spans="9:14" x14ac:dyDescent="0.3">
      <c r="I294" s="2"/>
      <c r="J294" s="2"/>
      <c r="K294" s="2"/>
      <c r="L294" s="2"/>
      <c r="M294" s="2"/>
      <c r="N294" s="2"/>
    </row>
    <row r="295" spans="9:14" x14ac:dyDescent="0.3">
      <c r="I295" s="2"/>
      <c r="J295" s="2"/>
      <c r="K295" s="2"/>
      <c r="L295" s="2"/>
      <c r="M295" s="2"/>
      <c r="N295" s="2"/>
    </row>
    <row r="296" spans="9:14" x14ac:dyDescent="0.3">
      <c r="I296" s="2"/>
      <c r="J296" s="2"/>
      <c r="K296" s="2"/>
      <c r="L296" s="2"/>
      <c r="M296" s="2"/>
      <c r="N296" s="2"/>
    </row>
    <row r="297" spans="9:14" x14ac:dyDescent="0.3">
      <c r="I297" s="2"/>
      <c r="J297" s="2"/>
      <c r="K297" s="2"/>
      <c r="L297" s="2"/>
      <c r="M297" s="2"/>
      <c r="N297" s="2"/>
    </row>
    <row r="298" spans="9:14" x14ac:dyDescent="0.3">
      <c r="I298" s="2"/>
      <c r="J298" s="2"/>
      <c r="K298" s="2"/>
      <c r="L298" s="2"/>
      <c r="M298" s="2"/>
      <c r="N298" s="2"/>
    </row>
    <row r="299" spans="9:14" x14ac:dyDescent="0.3">
      <c r="I299" s="2"/>
      <c r="J299" s="2"/>
      <c r="K299" s="2"/>
      <c r="L299" s="2"/>
      <c r="M299" s="2"/>
      <c r="N299" s="2"/>
    </row>
    <row r="300" spans="9:14" x14ac:dyDescent="0.3">
      <c r="I300" s="2"/>
      <c r="J300" s="2"/>
      <c r="K300" s="2"/>
      <c r="L300" s="2"/>
      <c r="M300" s="2"/>
      <c r="N300" s="2"/>
    </row>
    <row r="301" spans="9:14" x14ac:dyDescent="0.3">
      <c r="I301" s="2"/>
      <c r="J301" s="2"/>
      <c r="K301" s="2"/>
      <c r="L301" s="2"/>
      <c r="M301" s="2"/>
      <c r="N301" s="2"/>
    </row>
    <row r="302" spans="9:14" x14ac:dyDescent="0.3">
      <c r="I302" s="2"/>
      <c r="J302" s="2"/>
      <c r="K302" s="2"/>
      <c r="L302" s="2"/>
      <c r="M302" s="2"/>
      <c r="N302" s="2"/>
    </row>
    <row r="303" spans="9:14" x14ac:dyDescent="0.3">
      <c r="I303" s="2"/>
      <c r="J303" s="2"/>
      <c r="K303" s="2"/>
      <c r="L303" s="2"/>
      <c r="M303" s="2"/>
      <c r="N303" s="2"/>
    </row>
    <row r="304" spans="9:14" x14ac:dyDescent="0.3">
      <c r="I304" s="2"/>
      <c r="J304" s="2"/>
      <c r="K304" s="2"/>
      <c r="L304" s="2"/>
      <c r="M304" s="2"/>
      <c r="N304" s="2"/>
    </row>
    <row r="305" spans="9:14" x14ac:dyDescent="0.3">
      <c r="I305" s="2"/>
      <c r="J305" s="2"/>
      <c r="K305" s="2"/>
      <c r="L305" s="2"/>
      <c r="M305" s="2"/>
      <c r="N305" s="2"/>
    </row>
    <row r="306" spans="9:14" x14ac:dyDescent="0.3">
      <c r="I306" s="2"/>
      <c r="J306" s="2"/>
      <c r="K306" s="2"/>
      <c r="L306" s="2"/>
      <c r="M306" s="2"/>
      <c r="N306" s="2"/>
    </row>
    <row r="307" spans="9:14" x14ac:dyDescent="0.3">
      <c r="I307" s="2"/>
      <c r="J307" s="2"/>
      <c r="K307" s="2"/>
      <c r="L307" s="2"/>
      <c r="M307" s="2"/>
      <c r="N307" s="2"/>
    </row>
    <row r="308" spans="9:14" x14ac:dyDescent="0.3">
      <c r="I308" s="2"/>
      <c r="J308" s="2"/>
      <c r="K308" s="2"/>
      <c r="L308" s="2"/>
      <c r="M308" s="2"/>
      <c r="N308" s="2"/>
    </row>
    <row r="309" spans="9:14" x14ac:dyDescent="0.3">
      <c r="I309" s="2"/>
      <c r="J309" s="2"/>
      <c r="K309" s="2"/>
      <c r="L309" s="2"/>
      <c r="M309" s="2"/>
      <c r="N309" s="2"/>
    </row>
    <row r="310" spans="9:14" x14ac:dyDescent="0.3">
      <c r="I310" s="2"/>
      <c r="J310" s="2"/>
      <c r="K310" s="2"/>
      <c r="L310" s="2"/>
      <c r="M310" s="2"/>
      <c r="N310" s="2"/>
    </row>
    <row r="311" spans="9:14" x14ac:dyDescent="0.3">
      <c r="I311" s="2"/>
      <c r="J311" s="2"/>
      <c r="K311" s="2"/>
      <c r="L311" s="2"/>
      <c r="M311" s="2"/>
      <c r="N311" s="2"/>
    </row>
    <row r="312" spans="9:14" x14ac:dyDescent="0.3">
      <c r="I312" s="2"/>
      <c r="J312" s="2"/>
      <c r="K312" s="2"/>
      <c r="L312" s="2"/>
      <c r="M312" s="2"/>
      <c r="N312" s="2"/>
    </row>
    <row r="313" spans="9:14" x14ac:dyDescent="0.3">
      <c r="I313" s="2"/>
      <c r="J313" s="2"/>
      <c r="K313" s="2"/>
      <c r="L313" s="2"/>
      <c r="M313" s="2"/>
      <c r="N313" s="2"/>
    </row>
    <row r="314" spans="9:14" x14ac:dyDescent="0.3">
      <c r="I314" s="2"/>
      <c r="J314" s="2"/>
      <c r="K314" s="2"/>
      <c r="L314" s="2"/>
      <c r="M314" s="2"/>
      <c r="N314" s="2"/>
    </row>
    <row r="315" spans="9:14" x14ac:dyDescent="0.3">
      <c r="I315" s="2"/>
      <c r="J315" s="2"/>
      <c r="K315" s="2"/>
      <c r="L315" s="2"/>
      <c r="M315" s="2"/>
      <c r="N315" s="2"/>
    </row>
    <row r="316" spans="9:14" x14ac:dyDescent="0.3">
      <c r="I316" s="2"/>
      <c r="J316" s="2"/>
      <c r="K316" s="2"/>
      <c r="L316" s="2"/>
      <c r="M316" s="2"/>
      <c r="N316" s="2"/>
    </row>
    <row r="317" spans="9:14" x14ac:dyDescent="0.3">
      <c r="I317" s="2"/>
      <c r="J317" s="2"/>
      <c r="K317" s="2"/>
      <c r="L317" s="2"/>
      <c r="M317" s="2"/>
      <c r="N317" s="2"/>
    </row>
    <row r="318" spans="9:14" x14ac:dyDescent="0.3">
      <c r="I318" s="2"/>
      <c r="J318" s="2"/>
      <c r="K318" s="2"/>
      <c r="L318" s="2"/>
      <c r="M318" s="2"/>
      <c r="N318" s="2"/>
    </row>
    <row r="319" spans="9:14" x14ac:dyDescent="0.3">
      <c r="I319" s="2"/>
      <c r="J319" s="2"/>
      <c r="K319" s="2"/>
      <c r="L319" s="2"/>
      <c r="M319" s="2"/>
      <c r="N319" s="2"/>
    </row>
    <row r="320" spans="9:14" x14ac:dyDescent="0.3">
      <c r="I320" s="2"/>
      <c r="J320" s="2"/>
      <c r="K320" s="2"/>
      <c r="L320" s="2"/>
      <c r="M320" s="2"/>
      <c r="N320" s="2"/>
    </row>
    <row r="321" spans="9:14" x14ac:dyDescent="0.3">
      <c r="I321" s="2"/>
      <c r="J321" s="2"/>
      <c r="K321" s="2"/>
      <c r="L321" s="2"/>
      <c r="M321" s="2"/>
      <c r="N321" s="2"/>
    </row>
    <row r="322" spans="9:14" x14ac:dyDescent="0.3">
      <c r="I322" s="2"/>
      <c r="J322" s="2"/>
      <c r="K322" s="2"/>
      <c r="L322" s="2"/>
      <c r="M322" s="2"/>
      <c r="N322" s="2"/>
    </row>
    <row r="323" spans="9:14" x14ac:dyDescent="0.3">
      <c r="I323" s="2"/>
      <c r="J323" s="2"/>
      <c r="K323" s="2"/>
      <c r="L323" s="2"/>
      <c r="M323" s="2"/>
      <c r="N323" s="2"/>
    </row>
    <row r="324" spans="9:14" x14ac:dyDescent="0.3">
      <c r="I324" s="2"/>
      <c r="J324" s="2"/>
      <c r="K324" s="2"/>
      <c r="L324" s="2"/>
      <c r="M324" s="2"/>
      <c r="N324" s="2"/>
    </row>
    <row r="325" spans="9:14" x14ac:dyDescent="0.3">
      <c r="I325" s="2"/>
      <c r="J325" s="2"/>
      <c r="K325" s="2"/>
      <c r="L325" s="2"/>
      <c r="M325" s="2"/>
      <c r="N325" s="2"/>
    </row>
    <row r="326" spans="9:14" x14ac:dyDescent="0.3">
      <c r="I326" s="2"/>
      <c r="J326" s="2"/>
      <c r="K326" s="2"/>
      <c r="L326" s="2"/>
      <c r="M326" s="2"/>
      <c r="N326" s="2"/>
    </row>
    <row r="327" spans="9:14" x14ac:dyDescent="0.3">
      <c r="I327" s="2"/>
      <c r="J327" s="2"/>
      <c r="K327" s="2"/>
      <c r="L327" s="2"/>
      <c r="M327" s="2"/>
      <c r="N327" s="2"/>
    </row>
    <row r="328" spans="9:14" x14ac:dyDescent="0.3">
      <c r="I328" s="2"/>
      <c r="J328" s="2"/>
      <c r="K328" s="2"/>
      <c r="L328" s="2"/>
      <c r="M328" s="2"/>
      <c r="N328" s="2"/>
    </row>
    <row r="329" spans="9:14" x14ac:dyDescent="0.3">
      <c r="I329" s="2"/>
      <c r="J329" s="2"/>
      <c r="K329" s="2"/>
      <c r="L329" s="2"/>
      <c r="M329" s="2"/>
      <c r="N329" s="2"/>
    </row>
    <row r="330" spans="9:14" x14ac:dyDescent="0.3">
      <c r="I330" s="2"/>
      <c r="J330" s="2"/>
      <c r="K330" s="2"/>
      <c r="L330" s="2"/>
      <c r="M330" s="2"/>
      <c r="N330" s="2"/>
    </row>
    <row r="331" spans="9:14" x14ac:dyDescent="0.3">
      <c r="I331" s="2"/>
      <c r="J331" s="2"/>
      <c r="K331" s="2"/>
      <c r="L331" s="2"/>
      <c r="M331" s="2"/>
      <c r="N331" s="2"/>
    </row>
    <row r="332" spans="9:14" x14ac:dyDescent="0.3">
      <c r="I332" s="2"/>
      <c r="J332" s="2"/>
      <c r="K332" s="2"/>
      <c r="L332" s="2"/>
      <c r="M332" s="2"/>
      <c r="N332" s="2"/>
    </row>
    <row r="333" spans="9:14" x14ac:dyDescent="0.3">
      <c r="I333" s="2"/>
      <c r="J333" s="2"/>
      <c r="K333" s="2"/>
      <c r="L333" s="2"/>
      <c r="M333" s="2"/>
      <c r="N333" s="2"/>
    </row>
    <row r="334" spans="9:14" x14ac:dyDescent="0.3">
      <c r="I334" s="2"/>
      <c r="J334" s="2"/>
      <c r="K334" s="2"/>
      <c r="L334" s="2"/>
      <c r="M334" s="2"/>
      <c r="N334" s="2"/>
    </row>
    <row r="335" spans="9:14" x14ac:dyDescent="0.3">
      <c r="I335" s="2"/>
      <c r="J335" s="2"/>
      <c r="K335" s="2"/>
      <c r="L335" s="2"/>
      <c r="M335" s="2"/>
      <c r="N335" s="2"/>
    </row>
    <row r="336" spans="9:14" x14ac:dyDescent="0.3">
      <c r="I336" s="2"/>
      <c r="J336" s="2"/>
      <c r="K336" s="2"/>
      <c r="L336" s="2"/>
      <c r="M336" s="2"/>
      <c r="N336" s="2"/>
    </row>
    <row r="337" spans="9:14" x14ac:dyDescent="0.3">
      <c r="I337" s="2"/>
      <c r="J337" s="2"/>
      <c r="K337" s="2"/>
      <c r="L337" s="2"/>
      <c r="M337" s="2"/>
      <c r="N337" s="2"/>
    </row>
    <row r="338" spans="9:14" x14ac:dyDescent="0.3">
      <c r="I338" s="2"/>
      <c r="J338" s="2"/>
      <c r="K338" s="2"/>
      <c r="L338" s="2"/>
      <c r="M338" s="2"/>
      <c r="N338" s="2"/>
    </row>
    <row r="339" spans="9:14" x14ac:dyDescent="0.3">
      <c r="I339" s="2"/>
      <c r="J339" s="2"/>
      <c r="K339" s="2"/>
      <c r="L339" s="2"/>
      <c r="M339" s="2"/>
      <c r="N339" s="2"/>
    </row>
    <row r="340" spans="9:14" x14ac:dyDescent="0.3">
      <c r="I340" s="2"/>
      <c r="J340" s="2"/>
      <c r="K340" s="2"/>
      <c r="L340" s="2"/>
      <c r="M340" s="2"/>
      <c r="N340" s="2"/>
    </row>
    <row r="341" spans="9:14" x14ac:dyDescent="0.3">
      <c r="I341" s="2"/>
      <c r="J341" s="2"/>
      <c r="K341" s="2"/>
      <c r="L341" s="2"/>
      <c r="M341" s="2"/>
      <c r="N341" s="2"/>
    </row>
    <row r="342" spans="9:14" x14ac:dyDescent="0.3">
      <c r="I342" s="2"/>
      <c r="J342" s="2"/>
      <c r="K342" s="2"/>
      <c r="L342" s="2"/>
      <c r="M342" s="2"/>
      <c r="N342" s="2"/>
    </row>
    <row r="343" spans="9:14" x14ac:dyDescent="0.3">
      <c r="I343" s="2"/>
      <c r="J343" s="2"/>
      <c r="K343" s="2"/>
      <c r="L343" s="2"/>
      <c r="M343" s="2"/>
      <c r="N343" s="2"/>
    </row>
    <row r="344" spans="9:14" x14ac:dyDescent="0.3">
      <c r="I344" s="2"/>
      <c r="J344" s="2"/>
      <c r="K344" s="2"/>
      <c r="L344" s="2"/>
      <c r="M344" s="2"/>
      <c r="N344" s="2"/>
    </row>
    <row r="345" spans="9:14" x14ac:dyDescent="0.3">
      <c r="I345" s="2"/>
      <c r="J345" s="2"/>
      <c r="K345" s="2"/>
      <c r="L345" s="2"/>
      <c r="M345" s="2"/>
      <c r="N345" s="2"/>
    </row>
    <row r="346" spans="9:14" x14ac:dyDescent="0.3">
      <c r="I346" s="2"/>
      <c r="J346" s="2"/>
      <c r="K346" s="2"/>
      <c r="L346" s="2"/>
      <c r="M346" s="2"/>
      <c r="N346" s="2"/>
    </row>
    <row r="347" spans="9:14" x14ac:dyDescent="0.3">
      <c r="I347" s="2"/>
      <c r="J347" s="2"/>
      <c r="K347" s="2"/>
      <c r="L347" s="2"/>
      <c r="M347" s="2"/>
      <c r="N347" s="2"/>
    </row>
    <row r="348" spans="9:14" x14ac:dyDescent="0.3">
      <c r="I348" s="2"/>
      <c r="J348" s="2"/>
      <c r="K348" s="2"/>
      <c r="L348" s="2"/>
      <c r="M348" s="2"/>
      <c r="N348" s="2"/>
    </row>
    <row r="349" spans="9:14" x14ac:dyDescent="0.3">
      <c r="I349" s="2"/>
      <c r="J349" s="2"/>
      <c r="K349" s="2"/>
      <c r="L349" s="2"/>
      <c r="M349" s="2"/>
      <c r="N349" s="2"/>
    </row>
    <row r="350" spans="9:14" x14ac:dyDescent="0.3">
      <c r="I350" s="2"/>
      <c r="J350" s="2"/>
      <c r="K350" s="2"/>
      <c r="L350" s="2"/>
      <c r="M350" s="2"/>
      <c r="N350" s="2"/>
    </row>
    <row r="351" spans="9:14" x14ac:dyDescent="0.3">
      <c r="I351" s="2"/>
      <c r="J351" s="2"/>
      <c r="K351" s="2"/>
      <c r="L351" s="2"/>
      <c r="M351" s="2"/>
      <c r="N351" s="2"/>
    </row>
    <row r="352" spans="9:14" x14ac:dyDescent="0.3">
      <c r="I352" s="2"/>
      <c r="J352" s="2"/>
      <c r="K352" s="2"/>
      <c r="L352" s="2"/>
      <c r="M352" s="2"/>
      <c r="N352" s="2"/>
    </row>
    <row r="353" spans="9:14" x14ac:dyDescent="0.3">
      <c r="I353" s="2"/>
      <c r="J353" s="2"/>
      <c r="K353" s="2"/>
      <c r="L353" s="2"/>
      <c r="M353" s="2"/>
      <c r="N353" s="2"/>
    </row>
    <row r="354" spans="9:14" x14ac:dyDescent="0.3">
      <c r="I354" s="2"/>
      <c r="J354" s="2"/>
      <c r="K354" s="2"/>
      <c r="L354" s="2"/>
      <c r="M354" s="2"/>
      <c r="N354" s="2"/>
    </row>
    <row r="355" spans="9:14" x14ac:dyDescent="0.3">
      <c r="I355" s="2"/>
      <c r="J355" s="2"/>
      <c r="K355" s="2"/>
      <c r="L355" s="2"/>
      <c r="M355" s="2"/>
      <c r="N355" s="2"/>
    </row>
    <row r="356" spans="9:14" x14ac:dyDescent="0.3">
      <c r="I356" s="2"/>
      <c r="J356" s="2"/>
      <c r="K356" s="2"/>
      <c r="L356" s="2"/>
      <c r="M356" s="2"/>
      <c r="N356" s="2"/>
    </row>
    <row r="357" spans="9:14" x14ac:dyDescent="0.3">
      <c r="I357" s="2"/>
      <c r="J357" s="2"/>
      <c r="K357" s="2"/>
      <c r="L357" s="2"/>
      <c r="M357" s="2"/>
      <c r="N357" s="2"/>
    </row>
    <row r="358" spans="9:14" x14ac:dyDescent="0.3">
      <c r="I358" s="2"/>
      <c r="J358" s="2"/>
      <c r="K358" s="2"/>
      <c r="L358" s="2"/>
      <c r="M358" s="2"/>
      <c r="N358" s="2"/>
    </row>
    <row r="359" spans="9:14" x14ac:dyDescent="0.3">
      <c r="I359" s="2"/>
      <c r="J359" s="2"/>
      <c r="K359" s="2"/>
      <c r="L359" s="2"/>
      <c r="M359" s="2"/>
      <c r="N359" s="2"/>
    </row>
    <row r="360" spans="9:14" x14ac:dyDescent="0.3">
      <c r="I360" s="2"/>
      <c r="J360" s="2"/>
      <c r="K360" s="2"/>
      <c r="L360" s="2"/>
      <c r="M360" s="2"/>
      <c r="N360" s="2"/>
    </row>
    <row r="361" spans="9:14" x14ac:dyDescent="0.3">
      <c r="I361" s="2"/>
      <c r="J361" s="2"/>
      <c r="K361" s="2"/>
      <c r="L361" s="2"/>
      <c r="M361" s="2"/>
      <c r="N361" s="2"/>
    </row>
    <row r="362" spans="9:14" x14ac:dyDescent="0.3">
      <c r="I362" s="2"/>
      <c r="J362" s="2"/>
      <c r="K362" s="2"/>
      <c r="L362" s="2"/>
      <c r="M362" s="2"/>
      <c r="N362" s="2"/>
    </row>
    <row r="363" spans="9:14" x14ac:dyDescent="0.3">
      <c r="I363" s="2"/>
      <c r="J363" s="2"/>
      <c r="K363" s="2"/>
      <c r="L363" s="2"/>
      <c r="M363" s="2"/>
      <c r="N363" s="2"/>
    </row>
    <row r="364" spans="9:14" x14ac:dyDescent="0.3">
      <c r="I364" s="2"/>
      <c r="J364" s="2"/>
      <c r="K364" s="2"/>
      <c r="L364" s="2"/>
      <c r="M364" s="2"/>
      <c r="N364" s="2"/>
    </row>
    <row r="365" spans="9:14" x14ac:dyDescent="0.3">
      <c r="I365" s="2"/>
      <c r="J365" s="2"/>
      <c r="K365" s="2"/>
      <c r="L365" s="2"/>
      <c r="M365" s="2"/>
      <c r="N365" s="2"/>
    </row>
    <row r="366" spans="9:14" x14ac:dyDescent="0.3">
      <c r="I366" s="2"/>
      <c r="J366" s="2"/>
      <c r="K366" s="2"/>
      <c r="L366" s="2"/>
      <c r="M366" s="2"/>
      <c r="N366" s="2"/>
    </row>
    <row r="367" spans="9:14" x14ac:dyDescent="0.3">
      <c r="I367" s="2"/>
      <c r="J367" s="2"/>
      <c r="K367" s="2"/>
      <c r="L367" s="2"/>
      <c r="M367" s="2"/>
      <c r="N367" s="2"/>
    </row>
    <row r="368" spans="9:14" x14ac:dyDescent="0.3">
      <c r="I368" s="2"/>
      <c r="J368" s="2"/>
      <c r="K368" s="2"/>
      <c r="L368" s="2"/>
      <c r="M368" s="2"/>
      <c r="N368" s="2"/>
    </row>
    <row r="369" spans="9:14" x14ac:dyDescent="0.3">
      <c r="I369" s="2"/>
      <c r="J369" s="2"/>
      <c r="K369" s="2"/>
      <c r="L369" s="2"/>
      <c r="M369" s="2"/>
      <c r="N369" s="2"/>
    </row>
    <row r="370" spans="9:14" x14ac:dyDescent="0.3">
      <c r="I370" s="2"/>
      <c r="J370" s="2"/>
      <c r="K370" s="2"/>
      <c r="L370" s="2"/>
      <c r="M370" s="2"/>
      <c r="N370" s="2"/>
    </row>
    <row r="371" spans="9:14" x14ac:dyDescent="0.3">
      <c r="I371" s="2"/>
      <c r="J371" s="2"/>
      <c r="K371" s="2"/>
      <c r="L371" s="2"/>
      <c r="M371" s="2"/>
      <c r="N371" s="2"/>
    </row>
    <row r="372" spans="9:14" x14ac:dyDescent="0.3">
      <c r="I372" s="2"/>
      <c r="J372" s="2"/>
      <c r="K372" s="2"/>
      <c r="L372" s="2"/>
      <c r="M372" s="2"/>
      <c r="N372" s="2"/>
    </row>
    <row r="373" spans="9:14" x14ac:dyDescent="0.3">
      <c r="I373" s="2"/>
      <c r="J373" s="2"/>
      <c r="K373" s="2"/>
      <c r="L373" s="2"/>
      <c r="M373" s="2"/>
      <c r="N373" s="2"/>
    </row>
    <row r="374" spans="9:14" x14ac:dyDescent="0.3">
      <c r="I374" s="2"/>
      <c r="J374" s="2"/>
      <c r="K374" s="2"/>
      <c r="L374" s="2"/>
      <c r="M374" s="2"/>
      <c r="N374" s="2"/>
    </row>
    <row r="375" spans="9:14" x14ac:dyDescent="0.3">
      <c r="I375" s="2"/>
      <c r="J375" s="2"/>
      <c r="K375" s="2"/>
      <c r="L375" s="2"/>
      <c r="M375" s="2"/>
      <c r="N375" s="2"/>
    </row>
    <row r="376" spans="9:14" x14ac:dyDescent="0.3">
      <c r="I376" s="2"/>
      <c r="J376" s="2"/>
      <c r="K376" s="2"/>
      <c r="L376" s="2"/>
      <c r="M376" s="2"/>
      <c r="N376" s="2"/>
    </row>
    <row r="377" spans="9:14" x14ac:dyDescent="0.3">
      <c r="I377" s="2"/>
      <c r="J377" s="2"/>
      <c r="K377" s="2"/>
      <c r="L377" s="2"/>
      <c r="M377" s="2"/>
      <c r="N377" s="2"/>
    </row>
    <row r="378" spans="9:14" x14ac:dyDescent="0.3">
      <c r="I378" s="2"/>
      <c r="J378" s="2"/>
      <c r="K378" s="2"/>
      <c r="L378" s="2"/>
      <c r="M378" s="2"/>
      <c r="N378" s="2"/>
    </row>
    <row r="379" spans="9:14" x14ac:dyDescent="0.3">
      <c r="I379" s="2"/>
      <c r="J379" s="2"/>
      <c r="K379" s="2"/>
      <c r="L379" s="2"/>
      <c r="M379" s="2"/>
      <c r="N379" s="2"/>
    </row>
    <row r="380" spans="9:14" x14ac:dyDescent="0.3">
      <c r="I380" s="2"/>
      <c r="J380" s="2"/>
      <c r="K380" s="2"/>
      <c r="L380" s="2"/>
      <c r="M380" s="2"/>
      <c r="N380" s="2"/>
    </row>
    <row r="381" spans="9:14" x14ac:dyDescent="0.3">
      <c r="I381" s="2"/>
      <c r="J381" s="2"/>
      <c r="K381" s="2"/>
      <c r="L381" s="2"/>
      <c r="M381" s="2"/>
      <c r="N381" s="2"/>
    </row>
    <row r="382" spans="9:14" x14ac:dyDescent="0.3">
      <c r="I382" s="2"/>
      <c r="J382" s="2"/>
      <c r="K382" s="2"/>
      <c r="L382" s="2"/>
      <c r="M382" s="2"/>
      <c r="N382" s="2"/>
    </row>
    <row r="383" spans="9:14" x14ac:dyDescent="0.3">
      <c r="I383" s="2"/>
      <c r="J383" s="2"/>
      <c r="K383" s="2"/>
      <c r="L383" s="2"/>
      <c r="M383" s="2"/>
      <c r="N383" s="2"/>
    </row>
    <row r="384" spans="9:14" x14ac:dyDescent="0.3">
      <c r="I384" s="2"/>
      <c r="J384" s="2"/>
      <c r="K384" s="2"/>
      <c r="L384" s="2"/>
      <c r="M384" s="2"/>
      <c r="N384" s="2"/>
    </row>
    <row r="385" spans="9:14" x14ac:dyDescent="0.3">
      <c r="I385" s="2"/>
      <c r="J385" s="2"/>
      <c r="K385" s="2"/>
      <c r="L385" s="2"/>
      <c r="M385" s="2"/>
      <c r="N385" s="2"/>
    </row>
    <row r="386" spans="9:14" x14ac:dyDescent="0.3">
      <c r="I386" s="2"/>
      <c r="J386" s="2"/>
      <c r="K386" s="2"/>
      <c r="L386" s="2"/>
      <c r="M386" s="2"/>
      <c r="N386" s="2"/>
    </row>
    <row r="387" spans="9:14" x14ac:dyDescent="0.3">
      <c r="I387" s="2"/>
      <c r="J387" s="2"/>
      <c r="K387" s="2"/>
      <c r="L387" s="2"/>
      <c r="M387" s="2"/>
      <c r="N387" s="2"/>
    </row>
    <row r="388" spans="9:14" x14ac:dyDescent="0.3">
      <c r="I388" s="2"/>
      <c r="J388" s="2"/>
      <c r="K388" s="2"/>
      <c r="L388" s="2"/>
      <c r="M388" s="2"/>
      <c r="N388" s="2"/>
    </row>
    <row r="389" spans="9:14" x14ac:dyDescent="0.3">
      <c r="I389" s="2"/>
      <c r="J389" s="2"/>
      <c r="K389" s="2"/>
      <c r="L389" s="2"/>
      <c r="M389" s="2"/>
      <c r="N389" s="2"/>
    </row>
    <row r="390" spans="9:14" x14ac:dyDescent="0.3">
      <c r="I390" s="2"/>
      <c r="J390" s="2"/>
      <c r="K390" s="2"/>
      <c r="L390" s="2"/>
      <c r="M390" s="2"/>
      <c r="N390" s="2"/>
    </row>
    <row r="391" spans="9:14" x14ac:dyDescent="0.3">
      <c r="I391" s="2"/>
      <c r="J391" s="2"/>
      <c r="K391" s="2"/>
      <c r="L391" s="2"/>
      <c r="M391" s="2"/>
      <c r="N391" s="2"/>
    </row>
    <row r="392" spans="9:14" x14ac:dyDescent="0.3">
      <c r="I392" s="2"/>
      <c r="J392" s="2"/>
      <c r="K392" s="2"/>
      <c r="L392" s="2"/>
      <c r="M392" s="2"/>
      <c r="N392" s="2"/>
    </row>
    <row r="393" spans="9:14" x14ac:dyDescent="0.3">
      <c r="I393" s="2"/>
      <c r="J393" s="2"/>
      <c r="K393" s="2"/>
      <c r="L393" s="2"/>
      <c r="M393" s="2"/>
      <c r="N393" s="2"/>
    </row>
    <row r="394" spans="9:14" x14ac:dyDescent="0.3">
      <c r="I394" s="2"/>
      <c r="J394" s="2"/>
      <c r="K394" s="2"/>
      <c r="L394" s="2"/>
      <c r="M394" s="2"/>
      <c r="N394" s="2"/>
    </row>
    <row r="395" spans="9:14" x14ac:dyDescent="0.3">
      <c r="I395" s="2"/>
      <c r="J395" s="2"/>
      <c r="K395" s="2"/>
      <c r="L395" s="2"/>
      <c r="M395" s="2"/>
      <c r="N395" s="2"/>
    </row>
    <row r="396" spans="9:14" x14ac:dyDescent="0.3">
      <c r="I396" s="2"/>
      <c r="J396" s="2"/>
      <c r="K396" s="2"/>
      <c r="L396" s="2"/>
      <c r="M396" s="2"/>
      <c r="N396" s="2"/>
    </row>
    <row r="397" spans="9:14" x14ac:dyDescent="0.3">
      <c r="I397" s="2"/>
      <c r="J397" s="2"/>
      <c r="K397" s="2"/>
      <c r="L397" s="2"/>
      <c r="M397" s="2"/>
      <c r="N397" s="2"/>
    </row>
    <row r="398" spans="9:14" x14ac:dyDescent="0.3">
      <c r="I398" s="2"/>
      <c r="J398" s="2"/>
      <c r="K398" s="2"/>
      <c r="L398" s="2"/>
      <c r="M398" s="2"/>
      <c r="N398" s="2"/>
    </row>
    <row r="399" spans="9:14" x14ac:dyDescent="0.3">
      <c r="I399" s="2"/>
      <c r="J399" s="2"/>
      <c r="K399" s="2"/>
      <c r="L399" s="2"/>
      <c r="M399" s="2"/>
      <c r="N399" s="2"/>
    </row>
    <row r="400" spans="9:14" x14ac:dyDescent="0.3">
      <c r="I400" s="2"/>
      <c r="J400" s="2"/>
      <c r="K400" s="2"/>
      <c r="L400" s="2"/>
      <c r="M400" s="2"/>
      <c r="N400" s="2"/>
    </row>
    <row r="401" spans="9:14" x14ac:dyDescent="0.3">
      <c r="I401" s="2"/>
      <c r="J401" s="2"/>
      <c r="K401" s="2"/>
      <c r="L401" s="2"/>
      <c r="M401" s="2"/>
      <c r="N401" s="2"/>
    </row>
    <row r="402" spans="9:14" x14ac:dyDescent="0.3">
      <c r="I402" s="2"/>
      <c r="J402" s="2"/>
      <c r="K402" s="2"/>
      <c r="L402" s="2"/>
      <c r="M402" s="2"/>
      <c r="N402" s="2"/>
    </row>
    <row r="403" spans="9:14" x14ac:dyDescent="0.3">
      <c r="I403" s="2"/>
      <c r="J403" s="2"/>
      <c r="K403" s="2"/>
      <c r="L403" s="2"/>
      <c r="M403" s="2"/>
      <c r="N403" s="2"/>
    </row>
    <row r="404" spans="9:14" x14ac:dyDescent="0.3">
      <c r="I404" s="2"/>
      <c r="J404" s="2"/>
      <c r="K404" s="2"/>
      <c r="L404" s="2"/>
      <c r="M404" s="2"/>
      <c r="N404" s="2"/>
    </row>
    <row r="405" spans="9:14" x14ac:dyDescent="0.3">
      <c r="I405" s="2"/>
      <c r="J405" s="2"/>
      <c r="K405" s="2"/>
      <c r="L405" s="2"/>
      <c r="M405" s="2"/>
      <c r="N405" s="2"/>
    </row>
    <row r="406" spans="9:14" x14ac:dyDescent="0.3">
      <c r="I406" s="2"/>
      <c r="J406" s="2"/>
      <c r="K406" s="2"/>
      <c r="L406" s="2"/>
      <c r="M406" s="2"/>
      <c r="N406" s="2"/>
    </row>
    <row r="407" spans="9:14" x14ac:dyDescent="0.3">
      <c r="I407" s="2"/>
      <c r="J407" s="2"/>
      <c r="K407" s="2"/>
      <c r="L407" s="2"/>
      <c r="M407" s="2"/>
      <c r="N407" s="2"/>
    </row>
    <row r="408" spans="9:14" x14ac:dyDescent="0.3">
      <c r="I408" s="2"/>
      <c r="J408" s="2"/>
      <c r="K408" s="2"/>
      <c r="L408" s="2"/>
      <c r="M408" s="2"/>
      <c r="N408" s="2"/>
    </row>
    <row r="409" spans="9:14" x14ac:dyDescent="0.3">
      <c r="I409" s="2"/>
      <c r="J409" s="2"/>
      <c r="K409" s="2"/>
      <c r="L409" s="2"/>
      <c r="M409" s="2"/>
      <c r="N409" s="2"/>
    </row>
    <row r="410" spans="9:14" x14ac:dyDescent="0.3">
      <c r="I410" s="2"/>
      <c r="J410" s="2"/>
      <c r="K410" s="2"/>
      <c r="L410" s="2"/>
      <c r="M410" s="2"/>
      <c r="N410" s="2"/>
    </row>
    <row r="411" spans="9:14" x14ac:dyDescent="0.3">
      <c r="I411" s="2"/>
      <c r="J411" s="2"/>
      <c r="K411" s="2"/>
      <c r="L411" s="2"/>
      <c r="M411" s="2"/>
      <c r="N411" s="2"/>
    </row>
    <row r="412" spans="9:14" x14ac:dyDescent="0.3">
      <c r="I412" s="2"/>
      <c r="J412" s="2"/>
      <c r="K412" s="2"/>
      <c r="L412" s="2"/>
      <c r="M412" s="2"/>
      <c r="N412" s="2"/>
    </row>
    <row r="413" spans="9:14" x14ac:dyDescent="0.3">
      <c r="I413" s="2"/>
      <c r="J413" s="2"/>
      <c r="K413" s="2"/>
      <c r="L413" s="2"/>
      <c r="M413" s="2"/>
      <c r="N413" s="2"/>
    </row>
    <row r="414" spans="9:14" x14ac:dyDescent="0.3">
      <c r="I414" s="2"/>
      <c r="J414" s="2"/>
      <c r="K414" s="2"/>
      <c r="L414" s="2"/>
      <c r="M414" s="2"/>
      <c r="N414" s="2"/>
    </row>
    <row r="415" spans="9:14" x14ac:dyDescent="0.3">
      <c r="I415" s="2"/>
      <c r="J415" s="2"/>
      <c r="K415" s="2"/>
      <c r="L415" s="2"/>
      <c r="M415" s="2"/>
      <c r="N415" s="2"/>
    </row>
    <row r="416" spans="9:14" x14ac:dyDescent="0.3">
      <c r="I416" s="2"/>
      <c r="J416" s="2"/>
      <c r="K416" s="2"/>
      <c r="L416" s="2"/>
      <c r="M416" s="2"/>
      <c r="N416" s="2"/>
    </row>
    <row r="417" spans="9:14" x14ac:dyDescent="0.3">
      <c r="I417" s="2"/>
      <c r="J417" s="2"/>
      <c r="K417" s="2"/>
      <c r="L417" s="2"/>
      <c r="M417" s="2"/>
      <c r="N417" s="2"/>
    </row>
    <row r="418" spans="9:14" x14ac:dyDescent="0.3">
      <c r="I418" s="2"/>
      <c r="J418" s="2"/>
      <c r="K418" s="2"/>
      <c r="L418" s="2"/>
      <c r="M418" s="2"/>
      <c r="N418" s="2"/>
    </row>
    <row r="419" spans="9:14" x14ac:dyDescent="0.3">
      <c r="I419" s="2"/>
      <c r="J419" s="2"/>
      <c r="K419" s="2"/>
      <c r="L419" s="2"/>
      <c r="M419" s="2"/>
      <c r="N419" s="2"/>
    </row>
    <row r="420" spans="9:14" x14ac:dyDescent="0.3">
      <c r="I420" s="2"/>
      <c r="J420" s="2"/>
      <c r="K420" s="2"/>
      <c r="L420" s="2"/>
      <c r="M420" s="2"/>
      <c r="N420" s="2"/>
    </row>
    <row r="421" spans="9:14" x14ac:dyDescent="0.3">
      <c r="I421" s="2"/>
      <c r="J421" s="2"/>
      <c r="K421" s="2"/>
      <c r="L421" s="2"/>
      <c r="M421" s="2"/>
      <c r="N421" s="2"/>
    </row>
    <row r="422" spans="9:14" x14ac:dyDescent="0.3">
      <c r="I422" s="2"/>
      <c r="J422" s="2"/>
      <c r="K422" s="2"/>
      <c r="L422" s="2"/>
      <c r="M422" s="2"/>
      <c r="N422" s="2"/>
    </row>
    <row r="423" spans="9:14" x14ac:dyDescent="0.3">
      <c r="I423" s="2"/>
      <c r="J423" s="2"/>
      <c r="K423" s="2"/>
      <c r="L423" s="2"/>
      <c r="M423" s="2"/>
      <c r="N423" s="2"/>
    </row>
    <row r="424" spans="9:14" x14ac:dyDescent="0.3">
      <c r="I424" s="2"/>
      <c r="J424" s="2"/>
      <c r="K424" s="2"/>
      <c r="L424" s="2"/>
      <c r="M424" s="2"/>
      <c r="N424" s="2"/>
    </row>
    <row r="425" spans="9:14" x14ac:dyDescent="0.3">
      <c r="I425" s="2"/>
      <c r="J425" s="2"/>
      <c r="K425" s="2"/>
      <c r="L425" s="2"/>
      <c r="M425" s="2"/>
      <c r="N425" s="2"/>
    </row>
    <row r="426" spans="9:14" x14ac:dyDescent="0.3">
      <c r="I426" s="2"/>
      <c r="J426" s="2"/>
      <c r="K426" s="2"/>
      <c r="L426" s="2"/>
      <c r="M426" s="2"/>
      <c r="N426" s="2"/>
    </row>
    <row r="427" spans="9:14" x14ac:dyDescent="0.3">
      <c r="I427" s="2"/>
      <c r="J427" s="2"/>
      <c r="K427" s="2"/>
      <c r="L427" s="2"/>
      <c r="M427" s="2"/>
      <c r="N427" s="2"/>
    </row>
    <row r="428" spans="9:14" x14ac:dyDescent="0.3">
      <c r="I428" s="2"/>
      <c r="J428" s="2"/>
      <c r="K428" s="2"/>
      <c r="L428" s="2"/>
      <c r="M428" s="2"/>
      <c r="N428" s="2"/>
    </row>
    <row r="429" spans="9:14" x14ac:dyDescent="0.3">
      <c r="I429" s="2"/>
      <c r="J429" s="2"/>
      <c r="K429" s="2"/>
      <c r="L429" s="2"/>
      <c r="M429" s="2"/>
      <c r="N429" s="2"/>
    </row>
    <row r="430" spans="9:14" x14ac:dyDescent="0.3">
      <c r="I430" s="2"/>
      <c r="J430" s="2"/>
      <c r="K430" s="2"/>
      <c r="L430" s="2"/>
      <c r="M430" s="2"/>
      <c r="N430" s="2"/>
    </row>
    <row r="431" spans="9:14" x14ac:dyDescent="0.3">
      <c r="I431" s="2"/>
      <c r="J431" s="2"/>
      <c r="K431" s="2"/>
      <c r="L431" s="2"/>
      <c r="M431" s="2"/>
      <c r="N431" s="2"/>
    </row>
    <row r="432" spans="9:14" x14ac:dyDescent="0.3">
      <c r="I432" s="2"/>
      <c r="J432" s="2"/>
      <c r="K432" s="2"/>
      <c r="L432" s="2"/>
      <c r="M432" s="2"/>
      <c r="N432" s="2"/>
    </row>
    <row r="433" spans="9:14" x14ac:dyDescent="0.3">
      <c r="I433" s="2"/>
      <c r="J433" s="2"/>
      <c r="K433" s="2"/>
      <c r="L433" s="2"/>
      <c r="M433" s="2"/>
      <c r="N433" s="2"/>
    </row>
    <row r="434" spans="9:14" x14ac:dyDescent="0.3">
      <c r="I434" s="2"/>
      <c r="J434" s="2"/>
      <c r="K434" s="2"/>
      <c r="L434" s="2"/>
      <c r="M434" s="2"/>
      <c r="N434" s="2"/>
    </row>
    <row r="435" spans="9:14" x14ac:dyDescent="0.3">
      <c r="I435" s="2"/>
      <c r="J435" s="2"/>
      <c r="K435" s="2"/>
      <c r="L435" s="2"/>
      <c r="M435" s="2"/>
      <c r="N435" s="2"/>
    </row>
    <row r="436" spans="9:14" x14ac:dyDescent="0.3">
      <c r="I436" s="2"/>
      <c r="J436" s="2"/>
      <c r="K436" s="2"/>
      <c r="L436" s="2"/>
      <c r="M436" s="2"/>
      <c r="N436" s="2"/>
    </row>
    <row r="437" spans="9:14" x14ac:dyDescent="0.3">
      <c r="I437" s="2"/>
      <c r="J437" s="2"/>
      <c r="K437" s="2"/>
      <c r="L437" s="2"/>
      <c r="M437" s="2"/>
      <c r="N437" s="2"/>
    </row>
    <row r="438" spans="9:14" x14ac:dyDescent="0.3">
      <c r="I438" s="2"/>
      <c r="J438" s="2"/>
      <c r="K438" s="2"/>
      <c r="L438" s="2"/>
      <c r="M438" s="2"/>
      <c r="N438" s="2"/>
    </row>
    <row r="439" spans="9:14" x14ac:dyDescent="0.3">
      <c r="I439" s="2"/>
      <c r="J439" s="2"/>
      <c r="K439" s="2"/>
      <c r="L439" s="2"/>
      <c r="M439" s="2"/>
      <c r="N439" s="2"/>
    </row>
    <row r="440" spans="9:14" x14ac:dyDescent="0.3">
      <c r="I440" s="2"/>
      <c r="J440" s="2"/>
      <c r="K440" s="2"/>
      <c r="L440" s="2"/>
      <c r="M440" s="2"/>
      <c r="N440" s="2"/>
    </row>
    <row r="441" spans="9:14" x14ac:dyDescent="0.3">
      <c r="I441" s="2"/>
      <c r="J441" s="2"/>
      <c r="K441" s="2"/>
      <c r="L441" s="2"/>
      <c r="M441" s="2"/>
      <c r="N441" s="2"/>
    </row>
    <row r="442" spans="9:14" x14ac:dyDescent="0.3">
      <c r="I442" s="2"/>
      <c r="J442" s="2"/>
      <c r="K442" s="2"/>
      <c r="L442" s="2"/>
      <c r="M442" s="2"/>
      <c r="N442" s="2"/>
    </row>
    <row r="443" spans="9:14" x14ac:dyDescent="0.3">
      <c r="I443" s="2"/>
      <c r="J443" s="2"/>
      <c r="K443" s="2"/>
      <c r="L443" s="2"/>
      <c r="M443" s="2"/>
      <c r="N443" s="2"/>
    </row>
    <row r="444" spans="9:14" x14ac:dyDescent="0.3">
      <c r="I444" s="2"/>
      <c r="J444" s="2"/>
      <c r="K444" s="2"/>
      <c r="L444" s="2"/>
      <c r="M444" s="2"/>
      <c r="N444" s="2"/>
    </row>
    <row r="445" spans="9:14" x14ac:dyDescent="0.3">
      <c r="I445" s="2"/>
      <c r="J445" s="2"/>
      <c r="K445" s="2"/>
      <c r="L445" s="2"/>
      <c r="M445" s="2"/>
      <c r="N445" s="2"/>
    </row>
    <row r="446" spans="9:14" x14ac:dyDescent="0.3">
      <c r="I446" s="2"/>
      <c r="J446" s="2"/>
      <c r="K446" s="2"/>
      <c r="L446" s="2"/>
      <c r="M446" s="2"/>
      <c r="N446" s="2"/>
    </row>
    <row r="447" spans="9:14" x14ac:dyDescent="0.3">
      <c r="I447" s="2"/>
      <c r="J447" s="2"/>
      <c r="K447" s="2"/>
      <c r="L447" s="2"/>
      <c r="M447" s="2"/>
      <c r="N447" s="2"/>
    </row>
    <row r="448" spans="9:14" x14ac:dyDescent="0.3">
      <c r="I448" s="2"/>
      <c r="J448" s="2"/>
      <c r="K448" s="2"/>
      <c r="L448" s="2"/>
      <c r="M448" s="2"/>
      <c r="N448" s="2"/>
    </row>
    <row r="449" spans="9:14" x14ac:dyDescent="0.3">
      <c r="I449" s="2"/>
      <c r="J449" s="2"/>
      <c r="K449" s="2"/>
      <c r="L449" s="2"/>
      <c r="M449" s="2"/>
      <c r="N449" s="2"/>
    </row>
    <row r="450" spans="9:14" x14ac:dyDescent="0.3">
      <c r="I450" s="2"/>
      <c r="J450" s="2"/>
      <c r="K450" s="2"/>
      <c r="L450" s="2"/>
      <c r="M450" s="2"/>
      <c r="N450" s="2"/>
    </row>
    <row r="451" spans="9:14" x14ac:dyDescent="0.3">
      <c r="I451" s="2"/>
      <c r="J451" s="2"/>
      <c r="K451" s="2"/>
      <c r="L451" s="2"/>
      <c r="M451" s="2"/>
      <c r="N451" s="2"/>
    </row>
    <row r="452" spans="9:14" x14ac:dyDescent="0.3">
      <c r="I452" s="2"/>
      <c r="J452" s="2"/>
      <c r="K452" s="2"/>
      <c r="L452" s="2"/>
      <c r="M452" s="2"/>
      <c r="N452" s="2"/>
    </row>
    <row r="453" spans="9:14" x14ac:dyDescent="0.3">
      <c r="I453" s="2"/>
      <c r="J453" s="2"/>
      <c r="K453" s="2"/>
      <c r="L453" s="2"/>
      <c r="M453" s="2"/>
      <c r="N453" s="2"/>
    </row>
    <row r="454" spans="9:14" x14ac:dyDescent="0.3">
      <c r="I454" s="2"/>
      <c r="J454" s="2"/>
      <c r="K454" s="2"/>
      <c r="L454" s="2"/>
      <c r="M454" s="2"/>
      <c r="N454" s="2"/>
    </row>
    <row r="455" spans="9:14" x14ac:dyDescent="0.3">
      <c r="I455" s="2"/>
      <c r="J455" s="2"/>
      <c r="K455" s="2"/>
      <c r="L455" s="2"/>
      <c r="M455" s="2"/>
      <c r="N455" s="2"/>
    </row>
    <row r="456" spans="9:14" x14ac:dyDescent="0.3">
      <c r="I456" s="2"/>
      <c r="J456" s="2"/>
      <c r="K456" s="2"/>
      <c r="L456" s="2"/>
      <c r="M456" s="2"/>
      <c r="N456" s="2"/>
    </row>
    <row r="457" spans="9:14" x14ac:dyDescent="0.3">
      <c r="I457" s="2"/>
      <c r="J457" s="2"/>
      <c r="K457" s="2"/>
      <c r="L457" s="2"/>
      <c r="M457" s="2"/>
      <c r="N457" s="2"/>
    </row>
    <row r="458" spans="9:14" x14ac:dyDescent="0.3">
      <c r="I458" s="2"/>
      <c r="J458" s="2"/>
      <c r="K458" s="2"/>
      <c r="L458" s="2"/>
      <c r="M458" s="2"/>
      <c r="N458" s="2"/>
    </row>
    <row r="459" spans="9:14" x14ac:dyDescent="0.3">
      <c r="I459" s="2"/>
      <c r="J459" s="2"/>
      <c r="K459" s="2"/>
      <c r="L459" s="2"/>
      <c r="M459" s="2"/>
      <c r="N459" s="2"/>
    </row>
    <row r="460" spans="9:14" x14ac:dyDescent="0.3">
      <c r="I460" s="2"/>
      <c r="J460" s="2"/>
      <c r="K460" s="2"/>
      <c r="L460" s="2"/>
      <c r="M460" s="2"/>
      <c r="N460" s="2"/>
    </row>
    <row r="461" spans="9:14" x14ac:dyDescent="0.3">
      <c r="I461" s="2"/>
      <c r="J461" s="2"/>
      <c r="K461" s="2"/>
      <c r="L461" s="2"/>
      <c r="M461" s="2"/>
      <c r="N461" s="2"/>
    </row>
    <row r="462" spans="9:14" x14ac:dyDescent="0.3">
      <c r="I462" s="2"/>
      <c r="J462" s="2"/>
      <c r="K462" s="2"/>
      <c r="L462" s="2"/>
      <c r="M462" s="2"/>
      <c r="N462" s="2"/>
    </row>
    <row r="463" spans="9:14" x14ac:dyDescent="0.3">
      <c r="I463" s="2"/>
      <c r="J463" s="2"/>
      <c r="K463" s="2"/>
      <c r="L463" s="2"/>
      <c r="M463" s="2"/>
      <c r="N463" s="2"/>
    </row>
    <row r="464" spans="9:14" x14ac:dyDescent="0.3">
      <c r="I464" s="2"/>
      <c r="J464" s="2"/>
      <c r="K464" s="2"/>
      <c r="L464" s="2"/>
      <c r="M464" s="2"/>
      <c r="N464" s="2"/>
    </row>
    <row r="465" spans="9:14" x14ac:dyDescent="0.3">
      <c r="I465" s="2"/>
      <c r="J465" s="2"/>
      <c r="K465" s="2"/>
      <c r="L465" s="2"/>
      <c r="M465" s="2"/>
      <c r="N465" s="2"/>
    </row>
    <row r="466" spans="9:14" x14ac:dyDescent="0.3">
      <c r="I466" s="2"/>
      <c r="J466" s="2"/>
      <c r="K466" s="2"/>
      <c r="L466" s="2"/>
      <c r="M466" s="2"/>
      <c r="N466" s="2"/>
    </row>
    <row r="467" spans="9:14" x14ac:dyDescent="0.3">
      <c r="I467" s="2"/>
      <c r="J467" s="2"/>
      <c r="K467" s="2"/>
      <c r="L467" s="2"/>
      <c r="M467" s="2"/>
      <c r="N467" s="2"/>
    </row>
    <row r="468" spans="9:14" x14ac:dyDescent="0.3">
      <c r="I468" s="2"/>
      <c r="J468" s="2"/>
      <c r="K468" s="2"/>
      <c r="L468" s="2"/>
      <c r="M468" s="2"/>
      <c r="N468" s="2"/>
    </row>
    <row r="469" spans="9:14" x14ac:dyDescent="0.3">
      <c r="I469" s="2"/>
      <c r="J469" s="2"/>
      <c r="K469" s="2"/>
      <c r="L469" s="2"/>
      <c r="M469" s="2"/>
      <c r="N469" s="2"/>
    </row>
    <row r="470" spans="9:14" x14ac:dyDescent="0.3">
      <c r="I470" s="2"/>
      <c r="J470" s="2"/>
      <c r="K470" s="2"/>
      <c r="L470" s="2"/>
      <c r="M470" s="2"/>
      <c r="N470" s="2"/>
    </row>
    <row r="471" spans="9:14" x14ac:dyDescent="0.3">
      <c r="I471" s="2"/>
      <c r="J471" s="2"/>
      <c r="K471" s="2"/>
      <c r="L471" s="2"/>
      <c r="M471" s="2"/>
      <c r="N471" s="2"/>
    </row>
    <row r="472" spans="9:14" x14ac:dyDescent="0.3">
      <c r="I472" s="2"/>
      <c r="J472" s="2"/>
      <c r="K472" s="2"/>
      <c r="L472" s="2"/>
      <c r="M472" s="2"/>
      <c r="N472" s="2"/>
    </row>
    <row r="473" spans="9:14" x14ac:dyDescent="0.3">
      <c r="I473" s="2"/>
      <c r="J473" s="2"/>
      <c r="K473" s="2"/>
      <c r="L473" s="2"/>
      <c r="M473" s="2"/>
      <c r="N473" s="2"/>
    </row>
    <row r="474" spans="9:14" x14ac:dyDescent="0.3">
      <c r="I474" s="2"/>
      <c r="J474" s="2"/>
      <c r="K474" s="2"/>
      <c r="L474" s="2"/>
      <c r="M474" s="2"/>
      <c r="N474" s="2"/>
    </row>
    <row r="475" spans="9:14" x14ac:dyDescent="0.3">
      <c r="I475" s="2"/>
      <c r="J475" s="2"/>
      <c r="K475" s="2"/>
      <c r="L475" s="2"/>
      <c r="M475" s="2"/>
      <c r="N475" s="2"/>
    </row>
    <row r="476" spans="9:14" x14ac:dyDescent="0.3">
      <c r="I476" s="2"/>
      <c r="J476" s="2"/>
      <c r="K476" s="2"/>
      <c r="L476" s="2"/>
      <c r="M476" s="2"/>
      <c r="N476" s="2"/>
    </row>
    <row r="477" spans="9:14" x14ac:dyDescent="0.3">
      <c r="I477" s="2"/>
      <c r="J477" s="2"/>
      <c r="K477" s="2"/>
      <c r="L477" s="2"/>
      <c r="M477" s="2"/>
      <c r="N477" s="2"/>
    </row>
    <row r="478" spans="9:14" x14ac:dyDescent="0.3">
      <c r="I478" s="2"/>
      <c r="J478" s="2"/>
      <c r="K478" s="2"/>
      <c r="L478" s="2"/>
      <c r="M478" s="2"/>
      <c r="N478" s="2"/>
    </row>
    <row r="479" spans="9:14" x14ac:dyDescent="0.3">
      <c r="I479" s="2"/>
      <c r="J479" s="2"/>
      <c r="K479" s="2"/>
      <c r="L479" s="2"/>
      <c r="M479" s="2"/>
      <c r="N479" s="2"/>
    </row>
    <row r="480" spans="9:14" x14ac:dyDescent="0.3">
      <c r="I480" s="2"/>
      <c r="J480" s="2"/>
      <c r="K480" s="2"/>
      <c r="L480" s="2"/>
      <c r="M480" s="2"/>
      <c r="N480" s="2"/>
    </row>
    <row r="481" spans="9:14" x14ac:dyDescent="0.3">
      <c r="I481" s="2"/>
      <c r="J481" s="2"/>
      <c r="K481" s="2"/>
      <c r="L481" s="2"/>
      <c r="M481" s="2"/>
      <c r="N481" s="2"/>
    </row>
    <row r="482" spans="9:14" x14ac:dyDescent="0.3">
      <c r="I482" s="2"/>
      <c r="J482" s="2"/>
      <c r="K482" s="2"/>
      <c r="L482" s="2"/>
      <c r="M482" s="2"/>
      <c r="N482" s="2"/>
    </row>
    <row r="483" spans="9:14" x14ac:dyDescent="0.3">
      <c r="I483" s="2"/>
      <c r="J483" s="2"/>
      <c r="K483" s="2"/>
      <c r="L483" s="2"/>
      <c r="M483" s="2"/>
      <c r="N483" s="2"/>
    </row>
    <row r="484" spans="9:14" x14ac:dyDescent="0.3">
      <c r="I484" s="2"/>
      <c r="J484" s="2"/>
      <c r="K484" s="2"/>
      <c r="L484" s="2"/>
      <c r="M484" s="2"/>
      <c r="N484" s="2"/>
    </row>
    <row r="485" spans="9:14" x14ac:dyDescent="0.3">
      <c r="I485" s="2"/>
      <c r="J485" s="2"/>
      <c r="K485" s="2"/>
      <c r="L485" s="2"/>
      <c r="M485" s="2"/>
      <c r="N485" s="2"/>
    </row>
    <row r="486" spans="9:14" x14ac:dyDescent="0.3">
      <c r="I486" s="2"/>
      <c r="J486" s="2"/>
      <c r="K486" s="2"/>
      <c r="L486" s="2"/>
      <c r="M486" s="2"/>
      <c r="N486" s="2"/>
    </row>
    <row r="487" spans="9:14" x14ac:dyDescent="0.3">
      <c r="I487" s="2"/>
      <c r="J487" s="2"/>
      <c r="K487" s="2"/>
      <c r="L487" s="2"/>
      <c r="M487" s="2"/>
      <c r="N487" s="2"/>
    </row>
    <row r="488" spans="9:14" x14ac:dyDescent="0.3">
      <c r="I488" s="2"/>
      <c r="J488" s="2"/>
      <c r="K488" s="2"/>
      <c r="L488" s="2"/>
      <c r="M488" s="2"/>
      <c r="N488" s="2"/>
    </row>
    <row r="489" spans="9:14" x14ac:dyDescent="0.3">
      <c r="I489" s="2"/>
      <c r="J489" s="2"/>
      <c r="K489" s="2"/>
      <c r="L489" s="2"/>
      <c r="M489" s="2"/>
      <c r="N489" s="2"/>
    </row>
    <row r="490" spans="9:14" x14ac:dyDescent="0.3">
      <c r="I490" s="2"/>
      <c r="J490" s="2"/>
      <c r="K490" s="2"/>
      <c r="L490" s="2"/>
      <c r="M490" s="2"/>
      <c r="N490" s="2"/>
    </row>
    <row r="491" spans="9:14" x14ac:dyDescent="0.3">
      <c r="I491" s="2"/>
      <c r="J491" s="2"/>
      <c r="K491" s="2"/>
      <c r="L491" s="2"/>
      <c r="M491" s="2"/>
      <c r="N491" s="2"/>
    </row>
    <row r="492" spans="9:14" x14ac:dyDescent="0.3">
      <c r="I492" s="2"/>
      <c r="J492" s="2"/>
      <c r="K492" s="2"/>
      <c r="L492" s="2"/>
      <c r="M492" s="2"/>
      <c r="N492" s="2"/>
    </row>
    <row r="493" spans="9:14" x14ac:dyDescent="0.3">
      <c r="I493" s="2"/>
      <c r="J493" s="2"/>
      <c r="K493" s="2"/>
      <c r="L493" s="2"/>
      <c r="M493" s="2"/>
      <c r="N493" s="2"/>
    </row>
    <row r="494" spans="9:14" x14ac:dyDescent="0.3">
      <c r="I494" s="2"/>
      <c r="J494" s="2"/>
      <c r="K494" s="2"/>
      <c r="L494" s="2"/>
      <c r="M494" s="2"/>
      <c r="N494" s="2"/>
    </row>
    <row r="495" spans="9:14" x14ac:dyDescent="0.3">
      <c r="I495" s="2"/>
      <c r="J495" s="2"/>
      <c r="K495" s="2"/>
      <c r="L495" s="2"/>
      <c r="M495" s="2"/>
      <c r="N495" s="2"/>
    </row>
    <row r="496" spans="9:14" x14ac:dyDescent="0.3">
      <c r="I496" s="2"/>
      <c r="J496" s="2"/>
      <c r="K496" s="2"/>
      <c r="L496" s="2"/>
      <c r="M496" s="2"/>
      <c r="N496" s="2"/>
    </row>
    <row r="497" spans="9:14" x14ac:dyDescent="0.3">
      <c r="I497" s="2"/>
      <c r="J497" s="2"/>
      <c r="K497" s="2"/>
      <c r="L497" s="2"/>
      <c r="M497" s="2"/>
      <c r="N497" s="2"/>
    </row>
    <row r="498" spans="9:14" x14ac:dyDescent="0.3">
      <c r="I498" s="2"/>
      <c r="J498" s="2"/>
      <c r="K498" s="2"/>
      <c r="L498" s="2"/>
      <c r="M498" s="2"/>
      <c r="N498" s="2"/>
    </row>
    <row r="499" spans="9:14" x14ac:dyDescent="0.3">
      <c r="I499" s="2"/>
      <c r="J499" s="2"/>
      <c r="K499" s="2"/>
      <c r="L499" s="2"/>
      <c r="M499" s="2"/>
      <c r="N499" s="2"/>
    </row>
    <row r="500" spans="9:14" x14ac:dyDescent="0.3">
      <c r="I500" s="2"/>
      <c r="J500" s="2"/>
      <c r="K500" s="2"/>
      <c r="L500" s="2"/>
      <c r="M500" s="2"/>
      <c r="N500" s="2"/>
    </row>
    <row r="501" spans="9:14" x14ac:dyDescent="0.3">
      <c r="I501" s="2"/>
      <c r="J501" s="2"/>
      <c r="K501" s="2"/>
      <c r="L501" s="2"/>
      <c r="M501" s="2"/>
      <c r="N501" s="2"/>
    </row>
    <row r="502" spans="9:14" x14ac:dyDescent="0.3">
      <c r="I502" s="2"/>
      <c r="J502" s="2"/>
      <c r="K502" s="2"/>
      <c r="L502" s="2"/>
      <c r="M502" s="2"/>
      <c r="N502" s="2"/>
    </row>
    <row r="503" spans="9:14" x14ac:dyDescent="0.3">
      <c r="I503" s="2"/>
      <c r="J503" s="2"/>
      <c r="K503" s="2"/>
      <c r="L503" s="2"/>
      <c r="M503" s="2"/>
      <c r="N503" s="2"/>
    </row>
    <row r="504" spans="9:14" x14ac:dyDescent="0.3">
      <c r="I504" s="2"/>
      <c r="J504" s="2"/>
      <c r="K504" s="2"/>
      <c r="L504" s="2"/>
      <c r="M504" s="2"/>
      <c r="N504" s="2"/>
    </row>
    <row r="505" spans="9:14" x14ac:dyDescent="0.3">
      <c r="I505" s="2"/>
      <c r="J505" s="2"/>
      <c r="K505" s="2"/>
      <c r="L505" s="2"/>
      <c r="M505" s="2"/>
      <c r="N505" s="2"/>
    </row>
    <row r="506" spans="9:14" x14ac:dyDescent="0.3">
      <c r="I506" s="2"/>
      <c r="J506" s="2"/>
      <c r="K506" s="2"/>
      <c r="L506" s="2"/>
      <c r="M506" s="2"/>
      <c r="N506" s="2"/>
    </row>
    <row r="507" spans="9:14" x14ac:dyDescent="0.3">
      <c r="I507" s="2"/>
      <c r="J507" s="2"/>
      <c r="K507" s="2"/>
      <c r="L507" s="2"/>
      <c r="M507" s="2"/>
      <c r="N507" s="2"/>
    </row>
    <row r="508" spans="9:14" x14ac:dyDescent="0.3">
      <c r="I508" s="2"/>
      <c r="J508" s="2"/>
      <c r="K508" s="2"/>
      <c r="L508" s="2"/>
      <c r="M508" s="2"/>
      <c r="N508" s="2"/>
    </row>
    <row r="509" spans="9:14" x14ac:dyDescent="0.3">
      <c r="I509" s="2"/>
      <c r="J509" s="2"/>
      <c r="K509" s="2"/>
      <c r="L509" s="2"/>
      <c r="M509" s="2"/>
      <c r="N509" s="2"/>
    </row>
    <row r="510" spans="9:14" x14ac:dyDescent="0.3">
      <c r="I510" s="2"/>
      <c r="J510" s="2"/>
      <c r="K510" s="2"/>
      <c r="L510" s="2"/>
      <c r="M510" s="2"/>
      <c r="N510" s="2"/>
    </row>
    <row r="511" spans="9:14" x14ac:dyDescent="0.3">
      <c r="I511" s="2"/>
      <c r="J511" s="2"/>
      <c r="K511" s="2"/>
      <c r="L511" s="2"/>
      <c r="M511" s="2"/>
      <c r="N511" s="2"/>
    </row>
    <row r="512" spans="9:14" x14ac:dyDescent="0.3">
      <c r="I512" s="2"/>
      <c r="J512" s="2"/>
      <c r="K512" s="2"/>
      <c r="L512" s="2"/>
      <c r="M512" s="2"/>
      <c r="N512" s="2"/>
    </row>
    <row r="513" spans="9:14" x14ac:dyDescent="0.3">
      <c r="I513" s="2"/>
      <c r="J513" s="2"/>
      <c r="K513" s="2"/>
      <c r="L513" s="2"/>
      <c r="M513" s="2"/>
      <c r="N513" s="2"/>
    </row>
    <row r="514" spans="9:14" x14ac:dyDescent="0.3">
      <c r="I514" s="2"/>
      <c r="J514" s="2"/>
      <c r="K514" s="2"/>
      <c r="L514" s="2"/>
      <c r="M514" s="2"/>
      <c r="N514" s="2"/>
    </row>
    <row r="515" spans="9:14" x14ac:dyDescent="0.3">
      <c r="I515" s="2"/>
      <c r="J515" s="2"/>
      <c r="K515" s="2"/>
      <c r="L515" s="2"/>
      <c r="M515" s="2"/>
      <c r="N515" s="2"/>
    </row>
    <row r="516" spans="9:14" x14ac:dyDescent="0.3">
      <c r="I516" s="2"/>
      <c r="J516" s="2"/>
      <c r="K516" s="2"/>
      <c r="L516" s="2"/>
      <c r="M516" s="2"/>
      <c r="N516" s="2"/>
    </row>
    <row r="517" spans="9:14" x14ac:dyDescent="0.3">
      <c r="I517" s="2"/>
      <c r="J517" s="2"/>
      <c r="K517" s="2"/>
      <c r="L517" s="2"/>
      <c r="M517" s="2"/>
      <c r="N517" s="2"/>
    </row>
    <row r="518" spans="9:14" x14ac:dyDescent="0.3">
      <c r="I518" s="2"/>
      <c r="J518" s="2"/>
      <c r="K518" s="2"/>
      <c r="L518" s="2"/>
      <c r="M518" s="2"/>
      <c r="N518" s="2"/>
    </row>
    <row r="519" spans="9:14" x14ac:dyDescent="0.3">
      <c r="I519" s="2"/>
      <c r="J519" s="2"/>
      <c r="K519" s="2"/>
      <c r="L519" s="2"/>
      <c r="M519" s="2"/>
      <c r="N519" s="2"/>
    </row>
    <row r="520" spans="9:14" x14ac:dyDescent="0.3">
      <c r="I520" s="2"/>
      <c r="J520" s="2"/>
      <c r="K520" s="2"/>
      <c r="L520" s="2"/>
      <c r="M520" s="2"/>
      <c r="N520" s="2"/>
    </row>
    <row r="521" spans="9:14" x14ac:dyDescent="0.3">
      <c r="I521" s="2"/>
      <c r="J521" s="2"/>
      <c r="K521" s="2"/>
      <c r="L521" s="2"/>
      <c r="M521" s="2"/>
      <c r="N521" s="2"/>
    </row>
    <row r="522" spans="9:14" x14ac:dyDescent="0.3">
      <c r="I522" s="2"/>
      <c r="J522" s="2"/>
      <c r="K522" s="2"/>
      <c r="L522" s="2"/>
      <c r="M522" s="2"/>
      <c r="N522" s="2"/>
    </row>
    <row r="523" spans="9:14" x14ac:dyDescent="0.3">
      <c r="I523" s="2"/>
      <c r="J523" s="2"/>
      <c r="K523" s="2"/>
      <c r="L523" s="2"/>
      <c r="M523" s="2"/>
      <c r="N523" s="2"/>
    </row>
    <row r="524" spans="9:14" x14ac:dyDescent="0.3">
      <c r="I524" s="2"/>
      <c r="J524" s="2"/>
      <c r="K524" s="2"/>
      <c r="L524" s="2"/>
      <c r="M524" s="2"/>
      <c r="N524" s="2"/>
    </row>
    <row r="525" spans="9:14" x14ac:dyDescent="0.3">
      <c r="I525" s="2"/>
      <c r="J525" s="2"/>
      <c r="K525" s="2"/>
      <c r="L525" s="2"/>
      <c r="M525" s="2"/>
      <c r="N525" s="2"/>
    </row>
    <row r="526" spans="9:14" x14ac:dyDescent="0.3">
      <c r="I526" s="2"/>
      <c r="J526" s="2"/>
      <c r="K526" s="2"/>
      <c r="L526" s="2"/>
      <c r="M526" s="2"/>
      <c r="N526" s="2"/>
    </row>
    <row r="527" spans="9:14" x14ac:dyDescent="0.3">
      <c r="I527" s="2"/>
      <c r="J527" s="2"/>
      <c r="K527" s="2"/>
      <c r="L527" s="2"/>
      <c r="M527" s="2"/>
      <c r="N527" s="2"/>
    </row>
    <row r="528" spans="9:14" x14ac:dyDescent="0.3">
      <c r="I528" s="2"/>
      <c r="J528" s="2"/>
      <c r="K528" s="2"/>
      <c r="L528" s="2"/>
      <c r="M528" s="2"/>
      <c r="N528" s="2"/>
    </row>
    <row r="529" spans="9:14" x14ac:dyDescent="0.3">
      <c r="I529" s="2"/>
      <c r="J529" s="2"/>
      <c r="K529" s="2"/>
      <c r="L529" s="2"/>
      <c r="M529" s="2"/>
      <c r="N529" s="2"/>
    </row>
    <row r="530" spans="9:14" x14ac:dyDescent="0.3">
      <c r="I530" s="2"/>
      <c r="J530" s="2"/>
      <c r="K530" s="2"/>
      <c r="L530" s="2"/>
      <c r="M530" s="2"/>
      <c r="N530" s="2"/>
    </row>
    <row r="531" spans="9:14" x14ac:dyDescent="0.3">
      <c r="I531" s="2"/>
      <c r="J531" s="2"/>
      <c r="K531" s="2"/>
      <c r="L531" s="2"/>
      <c r="M531" s="2"/>
      <c r="N531" s="2"/>
    </row>
    <row r="532" spans="9:14" x14ac:dyDescent="0.3">
      <c r="I532" s="2"/>
      <c r="J532" s="2"/>
      <c r="K532" s="2"/>
      <c r="L532" s="2"/>
      <c r="M532" s="2"/>
      <c r="N532" s="2"/>
    </row>
    <row r="533" spans="9:14" x14ac:dyDescent="0.3">
      <c r="I533" s="2"/>
      <c r="J533" s="2"/>
      <c r="K533" s="2"/>
      <c r="L533" s="2"/>
      <c r="M533" s="2"/>
      <c r="N533" s="2"/>
    </row>
    <row r="534" spans="9:14" x14ac:dyDescent="0.3">
      <c r="I534" s="2"/>
      <c r="J534" s="2"/>
      <c r="K534" s="2"/>
      <c r="L534" s="2"/>
      <c r="M534" s="2"/>
      <c r="N534" s="2"/>
    </row>
    <row r="535" spans="9:14" x14ac:dyDescent="0.3">
      <c r="I535" s="2"/>
      <c r="J535" s="2"/>
      <c r="K535" s="2"/>
      <c r="L535" s="2"/>
      <c r="M535" s="2"/>
      <c r="N535" s="2"/>
    </row>
    <row r="536" spans="9:14" x14ac:dyDescent="0.3">
      <c r="I536" s="2"/>
      <c r="J536" s="2"/>
      <c r="K536" s="2"/>
      <c r="L536" s="2"/>
      <c r="M536" s="2"/>
      <c r="N536" s="2"/>
    </row>
    <row r="537" spans="9:14" x14ac:dyDescent="0.3">
      <c r="I537" s="2"/>
      <c r="J537" s="2"/>
      <c r="K537" s="2"/>
      <c r="L537" s="2"/>
      <c r="M537" s="2"/>
      <c r="N537" s="2"/>
    </row>
    <row r="538" spans="9:14" x14ac:dyDescent="0.3">
      <c r="I538" s="2"/>
      <c r="J538" s="2"/>
      <c r="K538" s="2"/>
      <c r="L538" s="2"/>
      <c r="M538" s="2"/>
      <c r="N538" s="2"/>
    </row>
    <row r="539" spans="9:14" x14ac:dyDescent="0.3">
      <c r="I539" s="2"/>
      <c r="J539" s="2"/>
      <c r="K539" s="2"/>
      <c r="L539" s="2"/>
      <c r="M539" s="2"/>
      <c r="N539" s="2"/>
    </row>
    <row r="540" spans="9:14" x14ac:dyDescent="0.3">
      <c r="I540" s="2"/>
      <c r="J540" s="2"/>
      <c r="K540" s="2"/>
      <c r="L540" s="2"/>
      <c r="M540" s="2"/>
      <c r="N540" s="2"/>
    </row>
    <row r="541" spans="9:14" x14ac:dyDescent="0.3">
      <c r="I541" s="2"/>
      <c r="J541" s="2"/>
      <c r="K541" s="2"/>
      <c r="L541" s="2"/>
      <c r="M541" s="2"/>
      <c r="N541" s="2"/>
    </row>
    <row r="542" spans="9:14" x14ac:dyDescent="0.3">
      <c r="I542" s="2"/>
      <c r="J542" s="2"/>
      <c r="K542" s="2"/>
      <c r="L542" s="2"/>
      <c r="M542" s="2"/>
      <c r="N542" s="2"/>
    </row>
    <row r="543" spans="9:14" x14ac:dyDescent="0.3">
      <c r="I543" s="2"/>
      <c r="J543" s="2"/>
      <c r="K543" s="2"/>
      <c r="L543" s="2"/>
      <c r="M543" s="2"/>
      <c r="N543" s="2"/>
    </row>
    <row r="544" spans="9:14" x14ac:dyDescent="0.3">
      <c r="I544" s="2"/>
      <c r="J544" s="2"/>
      <c r="K544" s="2"/>
      <c r="L544" s="2"/>
      <c r="M544" s="2"/>
      <c r="N544" s="2"/>
    </row>
    <row r="545" spans="9:14" x14ac:dyDescent="0.3">
      <c r="I545" s="2"/>
      <c r="J545" s="2"/>
      <c r="K545" s="2"/>
      <c r="L545" s="2"/>
      <c r="M545" s="2"/>
      <c r="N545" s="2"/>
    </row>
    <row r="546" spans="9:14" x14ac:dyDescent="0.3">
      <c r="I546" s="2"/>
      <c r="J546" s="2"/>
      <c r="K546" s="2"/>
      <c r="L546" s="2"/>
      <c r="M546" s="2"/>
      <c r="N546" s="2"/>
    </row>
    <row r="547" spans="9:14" x14ac:dyDescent="0.3">
      <c r="I547" s="2"/>
      <c r="J547" s="2"/>
      <c r="K547" s="2"/>
      <c r="L547" s="2"/>
      <c r="M547" s="2"/>
      <c r="N547" s="2"/>
    </row>
    <row r="548" spans="9:14" x14ac:dyDescent="0.3">
      <c r="I548" s="2"/>
      <c r="J548" s="2"/>
      <c r="K548" s="2"/>
      <c r="L548" s="2"/>
      <c r="M548" s="2"/>
      <c r="N548" s="2"/>
    </row>
    <row r="549" spans="9:14" x14ac:dyDescent="0.3">
      <c r="I549" s="2"/>
      <c r="J549" s="2"/>
      <c r="K549" s="2"/>
      <c r="L549" s="2"/>
      <c r="M549" s="2"/>
      <c r="N549" s="2"/>
    </row>
    <row r="550" spans="9:14" x14ac:dyDescent="0.3">
      <c r="I550" s="2"/>
      <c r="J550" s="2"/>
      <c r="K550" s="2"/>
      <c r="L550" s="2"/>
      <c r="M550" s="2"/>
      <c r="N550" s="2"/>
    </row>
    <row r="551" spans="9:14" x14ac:dyDescent="0.3">
      <c r="I551" s="2"/>
      <c r="J551" s="2"/>
      <c r="K551" s="2"/>
      <c r="L551" s="2"/>
      <c r="M551" s="2"/>
      <c r="N551" s="2"/>
    </row>
    <row r="552" spans="9:14" x14ac:dyDescent="0.3">
      <c r="I552" s="2"/>
      <c r="J552" s="2"/>
      <c r="K552" s="2"/>
      <c r="L552" s="2"/>
      <c r="M552" s="2"/>
      <c r="N552" s="2"/>
    </row>
    <row r="553" spans="9:14" x14ac:dyDescent="0.3">
      <c r="I553" s="2"/>
      <c r="J553" s="2"/>
      <c r="K553" s="2"/>
      <c r="L553" s="2"/>
      <c r="M553" s="2"/>
      <c r="N553" s="2"/>
    </row>
    <row r="554" spans="9:14" x14ac:dyDescent="0.3">
      <c r="I554" s="2"/>
      <c r="J554" s="2"/>
      <c r="K554" s="2"/>
      <c r="L554" s="2"/>
      <c r="M554" s="2"/>
      <c r="N554" s="2"/>
    </row>
    <row r="555" spans="9:14" x14ac:dyDescent="0.3">
      <c r="I555" s="2"/>
      <c r="J555" s="2"/>
      <c r="K555" s="2"/>
      <c r="L555" s="2"/>
      <c r="M555" s="2"/>
      <c r="N555" s="2"/>
    </row>
    <row r="556" spans="9:14" x14ac:dyDescent="0.3">
      <c r="I556" s="2"/>
      <c r="J556" s="2"/>
      <c r="K556" s="2"/>
      <c r="L556" s="2"/>
      <c r="M556" s="2"/>
      <c r="N556" s="2"/>
    </row>
    <row r="557" spans="9:14" x14ac:dyDescent="0.3">
      <c r="I557" s="2"/>
      <c r="J557" s="2"/>
      <c r="K557" s="2"/>
      <c r="L557" s="2"/>
      <c r="M557" s="2"/>
      <c r="N557" s="2"/>
    </row>
    <row r="558" spans="9:14" x14ac:dyDescent="0.3">
      <c r="I558" s="2"/>
      <c r="J558" s="2"/>
      <c r="K558" s="2"/>
      <c r="L558" s="2"/>
      <c r="M558" s="2"/>
      <c r="N558" s="2"/>
    </row>
    <row r="559" spans="9:14" x14ac:dyDescent="0.3">
      <c r="I559" s="2"/>
      <c r="J559" s="2"/>
      <c r="K559" s="2"/>
      <c r="L559" s="2"/>
      <c r="M559" s="2"/>
      <c r="N559" s="2"/>
    </row>
    <row r="560" spans="9:14" x14ac:dyDescent="0.3">
      <c r="I560" s="2"/>
      <c r="J560" s="2"/>
      <c r="K560" s="2"/>
      <c r="L560" s="2"/>
      <c r="M560" s="2"/>
      <c r="N560" s="2"/>
    </row>
    <row r="561" spans="9:14" x14ac:dyDescent="0.3">
      <c r="I561" s="2"/>
      <c r="J561" s="2"/>
      <c r="K561" s="2"/>
      <c r="L561" s="2"/>
      <c r="M561" s="2"/>
      <c r="N561" s="2"/>
    </row>
    <row r="562" spans="9:14" x14ac:dyDescent="0.3">
      <c r="I562" s="2"/>
      <c r="J562" s="2"/>
      <c r="K562" s="2"/>
      <c r="L562" s="2"/>
      <c r="M562" s="2"/>
      <c r="N562" s="2"/>
    </row>
    <row r="563" spans="9:14" x14ac:dyDescent="0.3">
      <c r="I563" s="2"/>
      <c r="J563" s="2"/>
      <c r="K563" s="2"/>
      <c r="L563" s="2"/>
      <c r="M563" s="2"/>
      <c r="N563" s="2"/>
    </row>
    <row r="564" spans="9:14" x14ac:dyDescent="0.3">
      <c r="I564" s="2"/>
      <c r="J564" s="2"/>
      <c r="K564" s="2"/>
      <c r="L564" s="2"/>
      <c r="M564" s="2"/>
      <c r="N564" s="2"/>
    </row>
    <row r="565" spans="9:14" x14ac:dyDescent="0.3">
      <c r="I565" s="2"/>
      <c r="J565" s="2"/>
      <c r="K565" s="2"/>
      <c r="L565" s="2"/>
      <c r="M565" s="2"/>
      <c r="N565" s="2"/>
    </row>
    <row r="566" spans="9:14" x14ac:dyDescent="0.3">
      <c r="I566" s="2"/>
      <c r="J566" s="2"/>
      <c r="K566" s="2"/>
      <c r="L566" s="2"/>
      <c r="M566" s="2"/>
      <c r="N566" s="2"/>
    </row>
    <row r="567" spans="9:14" x14ac:dyDescent="0.3">
      <c r="I567" s="2"/>
      <c r="J567" s="2"/>
      <c r="K567" s="2"/>
      <c r="L567" s="2"/>
      <c r="M567" s="2"/>
      <c r="N567" s="2"/>
    </row>
    <row r="568" spans="9:14" x14ac:dyDescent="0.3">
      <c r="I568" s="2"/>
      <c r="J568" s="2"/>
      <c r="K568" s="2"/>
      <c r="L568" s="2"/>
      <c r="M568" s="2"/>
      <c r="N568" s="2"/>
    </row>
    <row r="569" spans="9:14" x14ac:dyDescent="0.3">
      <c r="I569" s="2"/>
      <c r="J569" s="2"/>
      <c r="K569" s="2"/>
      <c r="L569" s="2"/>
      <c r="M569" s="2"/>
      <c r="N569" s="2"/>
    </row>
    <row r="570" spans="9:14" x14ac:dyDescent="0.3">
      <c r="I570" s="2"/>
      <c r="J570" s="2"/>
      <c r="K570" s="2"/>
      <c r="L570" s="2"/>
      <c r="M570" s="2"/>
      <c r="N570" s="2"/>
    </row>
    <row r="571" spans="9:14" x14ac:dyDescent="0.3">
      <c r="I571" s="2"/>
      <c r="J571" s="2"/>
      <c r="K571" s="2"/>
      <c r="L571" s="2"/>
      <c r="M571" s="2"/>
      <c r="N571" s="2"/>
    </row>
    <row r="572" spans="9:14" x14ac:dyDescent="0.3">
      <c r="I572" s="2"/>
      <c r="J572" s="2"/>
      <c r="K572" s="2"/>
      <c r="L572" s="2"/>
      <c r="M572" s="2"/>
      <c r="N572" s="2"/>
    </row>
    <row r="573" spans="9:14" x14ac:dyDescent="0.3">
      <c r="I573" s="2"/>
      <c r="J573" s="2"/>
      <c r="K573" s="2"/>
      <c r="L573" s="2"/>
      <c r="M573" s="2"/>
      <c r="N573" s="2"/>
    </row>
    <row r="574" spans="9:14" x14ac:dyDescent="0.3">
      <c r="I574" s="2"/>
      <c r="J574" s="2"/>
      <c r="K574" s="2"/>
      <c r="L574" s="2"/>
      <c r="M574" s="2"/>
      <c r="N574" s="2"/>
    </row>
    <row r="575" spans="9:14" x14ac:dyDescent="0.3">
      <c r="I575" s="2"/>
      <c r="J575" s="2"/>
      <c r="K575" s="2"/>
      <c r="L575" s="2"/>
      <c r="M575" s="2"/>
      <c r="N575" s="2"/>
    </row>
    <row r="576" spans="9:14" x14ac:dyDescent="0.3">
      <c r="I576" s="2"/>
      <c r="J576" s="2"/>
      <c r="K576" s="2"/>
      <c r="L576" s="2"/>
      <c r="M576" s="2"/>
      <c r="N576" s="2"/>
    </row>
    <row r="577" spans="9:14" x14ac:dyDescent="0.3">
      <c r="I577" s="2"/>
      <c r="J577" s="2"/>
      <c r="K577" s="2"/>
      <c r="L577" s="2"/>
      <c r="M577" s="2"/>
      <c r="N577" s="2"/>
    </row>
    <row r="578" spans="9:14" x14ac:dyDescent="0.3">
      <c r="I578" s="2"/>
      <c r="J578" s="2"/>
      <c r="K578" s="2"/>
      <c r="L578" s="2"/>
      <c r="M578" s="2"/>
      <c r="N578" s="2"/>
    </row>
    <row r="579" spans="9:14" x14ac:dyDescent="0.3">
      <c r="I579" s="2"/>
      <c r="J579" s="2"/>
      <c r="K579" s="2"/>
      <c r="L579" s="2"/>
      <c r="M579" s="2"/>
      <c r="N579" s="2"/>
    </row>
    <row r="580" spans="9:14" x14ac:dyDescent="0.3">
      <c r="I580" s="2"/>
      <c r="J580" s="2"/>
      <c r="K580" s="2"/>
      <c r="L580" s="2"/>
      <c r="M580" s="2"/>
      <c r="N580" s="2"/>
    </row>
    <row r="581" spans="9:14" x14ac:dyDescent="0.3">
      <c r="I581" s="2"/>
      <c r="J581" s="2"/>
      <c r="K581" s="2"/>
      <c r="L581" s="2"/>
      <c r="M581" s="2"/>
      <c r="N581" s="2"/>
    </row>
    <row r="582" spans="9:14" x14ac:dyDescent="0.3">
      <c r="I582" s="2"/>
      <c r="J582" s="2"/>
      <c r="K582" s="2"/>
      <c r="L582" s="2"/>
      <c r="M582" s="2"/>
      <c r="N582" s="2"/>
    </row>
    <row r="583" spans="9:14" x14ac:dyDescent="0.3">
      <c r="I583" s="2"/>
      <c r="J583" s="2"/>
      <c r="K583" s="2"/>
      <c r="L583" s="2"/>
      <c r="M583" s="2"/>
      <c r="N583" s="2"/>
    </row>
    <row r="584" spans="9:14" x14ac:dyDescent="0.3">
      <c r="I584" s="2"/>
      <c r="J584" s="2"/>
      <c r="K584" s="2"/>
      <c r="L584" s="2"/>
      <c r="M584" s="2"/>
      <c r="N584" s="2"/>
    </row>
    <row r="585" spans="9:14" x14ac:dyDescent="0.3">
      <c r="I585" s="2"/>
      <c r="J585" s="2"/>
      <c r="K585" s="2"/>
      <c r="L585" s="2"/>
      <c r="M585" s="2"/>
      <c r="N585" s="2"/>
    </row>
    <row r="586" spans="9:14" x14ac:dyDescent="0.3">
      <c r="I586" s="2"/>
      <c r="J586" s="2"/>
      <c r="K586" s="2"/>
      <c r="L586" s="2"/>
      <c r="M586" s="2"/>
      <c r="N586" s="2"/>
    </row>
    <row r="587" spans="9:14" x14ac:dyDescent="0.3">
      <c r="I587" s="2"/>
      <c r="J587" s="2"/>
      <c r="K587" s="2"/>
      <c r="L587" s="2"/>
      <c r="M587" s="2"/>
      <c r="N587" s="2"/>
    </row>
    <row r="588" spans="9:14" x14ac:dyDescent="0.3">
      <c r="I588" s="2"/>
      <c r="J588" s="2"/>
      <c r="K588" s="2"/>
      <c r="L588" s="2"/>
      <c r="M588" s="2"/>
      <c r="N588" s="2"/>
    </row>
    <row r="589" spans="9:14" x14ac:dyDescent="0.3">
      <c r="I589" s="2"/>
      <c r="J589" s="2"/>
      <c r="K589" s="2"/>
      <c r="L589" s="2"/>
      <c r="M589" s="2"/>
      <c r="N589" s="2"/>
    </row>
    <row r="590" spans="9:14" x14ac:dyDescent="0.3">
      <c r="I590" s="2"/>
      <c r="J590" s="2"/>
      <c r="K590" s="2"/>
      <c r="L590" s="2"/>
      <c r="M590" s="2"/>
      <c r="N590" s="2"/>
    </row>
    <row r="591" spans="9:14" x14ac:dyDescent="0.3">
      <c r="I591" s="2"/>
      <c r="J591" s="2"/>
      <c r="K591" s="2"/>
      <c r="L591" s="2"/>
      <c r="M591" s="2"/>
      <c r="N591" s="2"/>
    </row>
    <row r="592" spans="9:14" x14ac:dyDescent="0.3">
      <c r="I592" s="2"/>
      <c r="J592" s="2"/>
      <c r="K592" s="2"/>
      <c r="L592" s="2"/>
      <c r="M592" s="2"/>
      <c r="N592" s="2"/>
    </row>
    <row r="593" spans="9:14" x14ac:dyDescent="0.3">
      <c r="I593" s="2"/>
      <c r="J593" s="2"/>
      <c r="K593" s="2"/>
      <c r="L593" s="2"/>
      <c r="M593" s="2"/>
      <c r="N593" s="2"/>
    </row>
    <row r="594" spans="9:14" x14ac:dyDescent="0.3">
      <c r="I594" s="2"/>
      <c r="J594" s="2"/>
      <c r="K594" s="2"/>
      <c r="L594" s="2"/>
      <c r="M594" s="2"/>
      <c r="N594" s="2"/>
    </row>
    <row r="595" spans="9:14" x14ac:dyDescent="0.3">
      <c r="I595" s="2"/>
      <c r="J595" s="2"/>
      <c r="K595" s="2"/>
      <c r="L595" s="2"/>
      <c r="M595" s="2"/>
      <c r="N595" s="2"/>
    </row>
    <row r="596" spans="9:14" x14ac:dyDescent="0.3">
      <c r="I596" s="2"/>
      <c r="J596" s="2"/>
      <c r="K596" s="2"/>
      <c r="L596" s="2"/>
      <c r="M596" s="2"/>
      <c r="N596" s="2"/>
    </row>
    <row r="597" spans="9:14" x14ac:dyDescent="0.3">
      <c r="I597" s="2"/>
      <c r="J597" s="2"/>
      <c r="K597" s="2"/>
      <c r="L597" s="2"/>
      <c r="M597" s="2"/>
      <c r="N597" s="2"/>
    </row>
    <row r="598" spans="9:14" x14ac:dyDescent="0.3">
      <c r="I598" s="2"/>
      <c r="J598" s="2"/>
      <c r="K598" s="2"/>
      <c r="L598" s="2"/>
      <c r="M598" s="2"/>
      <c r="N598" s="2"/>
    </row>
    <row r="599" spans="9:14" x14ac:dyDescent="0.3">
      <c r="I599" s="2"/>
      <c r="J599" s="2"/>
      <c r="K599" s="2"/>
      <c r="L599" s="2"/>
      <c r="M599" s="2"/>
      <c r="N599" s="2"/>
    </row>
    <row r="600" spans="9:14" x14ac:dyDescent="0.3">
      <c r="I600" s="2"/>
      <c r="J600" s="2"/>
      <c r="K600" s="2"/>
      <c r="L600" s="2"/>
      <c r="M600" s="2"/>
      <c r="N600" s="2"/>
    </row>
    <row r="601" spans="9:14" x14ac:dyDescent="0.3">
      <c r="I601" s="2"/>
      <c r="J601" s="2"/>
      <c r="K601" s="2"/>
      <c r="L601" s="2"/>
      <c r="M601" s="2"/>
      <c r="N601" s="2"/>
    </row>
    <row r="602" spans="9:14" x14ac:dyDescent="0.3">
      <c r="I602" s="2"/>
      <c r="J602" s="2"/>
      <c r="K602" s="2"/>
      <c r="L602" s="2"/>
      <c r="M602" s="2"/>
      <c r="N602" s="2"/>
    </row>
    <row r="603" spans="9:14" x14ac:dyDescent="0.3">
      <c r="I603" s="2"/>
      <c r="J603" s="2"/>
      <c r="K603" s="2"/>
      <c r="L603" s="2"/>
      <c r="M603" s="2"/>
      <c r="N603" s="2"/>
    </row>
    <row r="604" spans="9:14" x14ac:dyDescent="0.3">
      <c r="I604" s="2"/>
      <c r="J604" s="2"/>
      <c r="K604" s="2"/>
      <c r="L604" s="2"/>
      <c r="M604" s="2"/>
      <c r="N604" s="2"/>
    </row>
    <row r="605" spans="9:14" x14ac:dyDescent="0.3">
      <c r="I605" s="2"/>
      <c r="J605" s="2"/>
      <c r="K605" s="2"/>
      <c r="L605" s="2"/>
      <c r="M605" s="2"/>
      <c r="N605" s="2"/>
    </row>
    <row r="606" spans="9:14" x14ac:dyDescent="0.3">
      <c r="I606" s="2"/>
      <c r="J606" s="2"/>
      <c r="K606" s="2"/>
      <c r="L606" s="2"/>
      <c r="M606" s="2"/>
      <c r="N606" s="2"/>
    </row>
    <row r="607" spans="9:14" x14ac:dyDescent="0.3">
      <c r="I607" s="2"/>
      <c r="J607" s="2"/>
      <c r="K607" s="2"/>
      <c r="L607" s="2"/>
      <c r="M607" s="2"/>
      <c r="N607" s="2"/>
    </row>
    <row r="608" spans="9:14" x14ac:dyDescent="0.3">
      <c r="I608" s="2"/>
      <c r="J608" s="2"/>
      <c r="K608" s="2"/>
      <c r="L608" s="2"/>
      <c r="M608" s="2"/>
      <c r="N608" s="2"/>
    </row>
    <row r="609" spans="9:14" x14ac:dyDescent="0.3">
      <c r="I609" s="2"/>
      <c r="J609" s="2"/>
      <c r="K609" s="2"/>
      <c r="L609" s="2"/>
      <c r="M609" s="2"/>
      <c r="N609" s="2"/>
    </row>
    <row r="610" spans="9:14" x14ac:dyDescent="0.3">
      <c r="I610" s="2"/>
      <c r="J610" s="2"/>
      <c r="K610" s="2"/>
      <c r="L610" s="2"/>
      <c r="M610" s="2"/>
      <c r="N610" s="2"/>
    </row>
    <row r="611" spans="9:14" x14ac:dyDescent="0.3">
      <c r="I611" s="2"/>
      <c r="J611" s="2"/>
      <c r="K611" s="2"/>
      <c r="L611" s="2"/>
      <c r="M611" s="2"/>
      <c r="N611" s="2"/>
    </row>
    <row r="612" spans="9:14" x14ac:dyDescent="0.3">
      <c r="I612" s="2"/>
      <c r="J612" s="2"/>
      <c r="K612" s="2"/>
      <c r="L612" s="2"/>
      <c r="M612" s="2"/>
      <c r="N612" s="2"/>
    </row>
    <row r="613" spans="9:14" x14ac:dyDescent="0.3">
      <c r="I613" s="2"/>
      <c r="J613" s="2"/>
      <c r="K613" s="2"/>
      <c r="L613" s="2"/>
      <c r="M613" s="2"/>
      <c r="N613" s="2"/>
    </row>
    <row r="614" spans="9:14" x14ac:dyDescent="0.3">
      <c r="I614" s="2"/>
      <c r="J614" s="2"/>
      <c r="K614" s="2"/>
      <c r="L614" s="2"/>
      <c r="M614" s="2"/>
      <c r="N614" s="2"/>
    </row>
    <row r="615" spans="9:14" x14ac:dyDescent="0.3">
      <c r="I615" s="2"/>
      <c r="J615" s="2"/>
      <c r="K615" s="2"/>
      <c r="L615" s="2"/>
      <c r="M615" s="2"/>
      <c r="N615" s="2"/>
    </row>
    <row r="616" spans="9:14" x14ac:dyDescent="0.3">
      <c r="I616" s="2"/>
      <c r="J616" s="2"/>
      <c r="K616" s="2"/>
      <c r="L616" s="2"/>
      <c r="M616" s="2"/>
      <c r="N616" s="2"/>
    </row>
    <row r="617" spans="9:14" x14ac:dyDescent="0.3">
      <c r="I617" s="2"/>
      <c r="J617" s="2"/>
      <c r="K617" s="2"/>
      <c r="L617" s="2"/>
      <c r="M617" s="2"/>
      <c r="N617" s="2"/>
    </row>
    <row r="618" spans="9:14" x14ac:dyDescent="0.3">
      <c r="I618" s="2"/>
      <c r="J618" s="2"/>
      <c r="K618" s="2"/>
      <c r="L618" s="2"/>
      <c r="M618" s="2"/>
      <c r="N618" s="2"/>
    </row>
    <row r="619" spans="9:14" x14ac:dyDescent="0.3">
      <c r="I619" s="2"/>
      <c r="J619" s="2"/>
      <c r="K619" s="2"/>
      <c r="L619" s="2"/>
      <c r="M619" s="2"/>
      <c r="N619" s="2"/>
    </row>
    <row r="620" spans="9:14" x14ac:dyDescent="0.3">
      <c r="I620" s="2"/>
      <c r="J620" s="2"/>
      <c r="K620" s="2"/>
      <c r="L620" s="2"/>
      <c r="M620" s="2"/>
      <c r="N620" s="2"/>
    </row>
    <row r="621" spans="9:14" x14ac:dyDescent="0.3">
      <c r="I621" s="2"/>
      <c r="J621" s="2"/>
      <c r="K621" s="2"/>
      <c r="L621" s="2"/>
      <c r="M621" s="2"/>
      <c r="N621" s="2"/>
    </row>
    <row r="622" spans="9:14" x14ac:dyDescent="0.3">
      <c r="I622" s="2"/>
      <c r="J622" s="2"/>
      <c r="K622" s="2"/>
      <c r="L622" s="2"/>
      <c r="M622" s="2"/>
      <c r="N622" s="2"/>
    </row>
    <row r="623" spans="9:14" x14ac:dyDescent="0.3">
      <c r="I623" s="2"/>
      <c r="J623" s="2"/>
      <c r="K623" s="2"/>
      <c r="L623" s="2"/>
      <c r="M623" s="2"/>
      <c r="N623" s="2"/>
    </row>
    <row r="624" spans="9:14" x14ac:dyDescent="0.3">
      <c r="I624" s="2"/>
      <c r="J624" s="2"/>
      <c r="K624" s="2"/>
      <c r="L624" s="2"/>
      <c r="M624" s="2"/>
      <c r="N624" s="2"/>
    </row>
    <row r="625" spans="9:14" x14ac:dyDescent="0.3">
      <c r="I625" s="2"/>
      <c r="J625" s="2"/>
      <c r="K625" s="2"/>
      <c r="L625" s="2"/>
      <c r="M625" s="2"/>
      <c r="N625" s="2"/>
    </row>
    <row r="626" spans="9:14" x14ac:dyDescent="0.3">
      <c r="I626" s="2"/>
      <c r="J626" s="2"/>
      <c r="K626" s="2"/>
      <c r="L626" s="2"/>
      <c r="M626" s="2"/>
      <c r="N626" s="2"/>
    </row>
    <row r="627" spans="9:14" x14ac:dyDescent="0.3">
      <c r="I627" s="2"/>
      <c r="J627" s="2"/>
      <c r="K627" s="2"/>
      <c r="L627" s="2"/>
      <c r="M627" s="2"/>
      <c r="N627" s="2"/>
    </row>
    <row r="628" spans="9:14" x14ac:dyDescent="0.3">
      <c r="I628" s="2"/>
      <c r="J628" s="2"/>
      <c r="K628" s="2"/>
      <c r="L628" s="2"/>
      <c r="M628" s="2"/>
      <c r="N628" s="2"/>
    </row>
    <row r="629" spans="9:14" x14ac:dyDescent="0.3">
      <c r="I629" s="2"/>
      <c r="J629" s="2"/>
      <c r="K629" s="2"/>
      <c r="L629" s="2"/>
      <c r="M629" s="2"/>
      <c r="N629" s="2"/>
    </row>
    <row r="630" spans="9:14" x14ac:dyDescent="0.3">
      <c r="I630" s="2"/>
      <c r="J630" s="2"/>
      <c r="K630" s="2"/>
      <c r="L630" s="2"/>
      <c r="M630" s="2"/>
      <c r="N630" s="2"/>
    </row>
    <row r="631" spans="9:14" x14ac:dyDescent="0.3">
      <c r="I631" s="2"/>
      <c r="J631" s="2"/>
      <c r="K631" s="2"/>
      <c r="L631" s="2"/>
      <c r="M631" s="2"/>
      <c r="N631" s="2"/>
    </row>
    <row r="632" spans="9:14" x14ac:dyDescent="0.3">
      <c r="I632" s="2"/>
      <c r="J632" s="2"/>
      <c r="K632" s="2"/>
      <c r="L632" s="2"/>
      <c r="M632" s="2"/>
      <c r="N632" s="2"/>
    </row>
    <row r="633" spans="9:14" x14ac:dyDescent="0.3">
      <c r="I633" s="2"/>
      <c r="J633" s="2"/>
      <c r="K633" s="2"/>
      <c r="L633" s="2"/>
      <c r="M633" s="2"/>
      <c r="N633" s="2"/>
    </row>
    <row r="634" spans="9:14" x14ac:dyDescent="0.3">
      <c r="I634" s="2"/>
      <c r="J634" s="2"/>
      <c r="K634" s="2"/>
      <c r="L634" s="2"/>
      <c r="M634" s="2"/>
      <c r="N634" s="2"/>
    </row>
    <row r="635" spans="9:14" x14ac:dyDescent="0.3">
      <c r="I635" s="2"/>
      <c r="J635" s="2"/>
      <c r="K635" s="2"/>
      <c r="L635" s="2"/>
      <c r="M635" s="2"/>
      <c r="N635" s="2"/>
    </row>
    <row r="636" spans="9:14" x14ac:dyDescent="0.3">
      <c r="I636" s="2"/>
      <c r="J636" s="2"/>
      <c r="K636" s="2"/>
      <c r="L636" s="2"/>
      <c r="M636" s="2"/>
      <c r="N636" s="2"/>
    </row>
    <row r="637" spans="9:14" x14ac:dyDescent="0.3">
      <c r="I637" s="2"/>
      <c r="J637" s="2"/>
      <c r="K637" s="2"/>
      <c r="L637" s="2"/>
      <c r="M637" s="2"/>
      <c r="N637" s="2"/>
    </row>
    <row r="638" spans="9:14" x14ac:dyDescent="0.3">
      <c r="I638" s="2"/>
      <c r="J638" s="2"/>
      <c r="K638" s="2"/>
      <c r="L638" s="2"/>
      <c r="M638" s="2"/>
      <c r="N638" s="2"/>
    </row>
    <row r="639" spans="9:14" x14ac:dyDescent="0.3">
      <c r="I639" s="2"/>
      <c r="J639" s="2"/>
      <c r="K639" s="2"/>
      <c r="L639" s="2"/>
      <c r="M639" s="2"/>
      <c r="N639" s="2"/>
    </row>
    <row r="640" spans="9:14" x14ac:dyDescent="0.3">
      <c r="I640" s="2"/>
      <c r="J640" s="2"/>
      <c r="K640" s="2"/>
      <c r="L640" s="2"/>
      <c r="M640" s="2"/>
      <c r="N640" s="2"/>
    </row>
    <row r="641" spans="9:14" x14ac:dyDescent="0.3">
      <c r="I641" s="2"/>
      <c r="J641" s="2"/>
      <c r="K641" s="2"/>
      <c r="L641" s="2"/>
      <c r="M641" s="2"/>
      <c r="N641" s="2"/>
    </row>
    <row r="642" spans="9:14" x14ac:dyDescent="0.3">
      <c r="I642" s="2"/>
      <c r="J642" s="2"/>
      <c r="K642" s="2"/>
      <c r="L642" s="2"/>
      <c r="M642" s="2"/>
      <c r="N642" s="2"/>
    </row>
    <row r="643" spans="9:14" x14ac:dyDescent="0.3">
      <c r="I643" s="2"/>
      <c r="J643" s="2"/>
      <c r="K643" s="2"/>
      <c r="L643" s="2"/>
      <c r="M643" s="2"/>
      <c r="N643" s="2"/>
    </row>
    <row r="644" spans="9:14" x14ac:dyDescent="0.3">
      <c r="I644" s="2"/>
      <c r="J644" s="2"/>
      <c r="K644" s="2"/>
      <c r="L644" s="2"/>
      <c r="M644" s="2"/>
      <c r="N644" s="2"/>
    </row>
    <row r="645" spans="9:14" x14ac:dyDescent="0.3">
      <c r="I645" s="2"/>
      <c r="J645" s="2"/>
      <c r="K645" s="2"/>
      <c r="L645" s="2"/>
      <c r="M645" s="2"/>
      <c r="N645" s="2"/>
    </row>
    <row r="646" spans="9:14" x14ac:dyDescent="0.3">
      <c r="I646" s="2"/>
      <c r="J646" s="2"/>
      <c r="K646" s="2"/>
      <c r="L646" s="2"/>
      <c r="M646" s="2"/>
      <c r="N646" s="2"/>
    </row>
    <row r="647" spans="9:14" x14ac:dyDescent="0.3">
      <c r="I647" s="2"/>
      <c r="J647" s="2"/>
      <c r="K647" s="2"/>
      <c r="L647" s="2"/>
      <c r="M647" s="2"/>
      <c r="N647" s="2"/>
    </row>
    <row r="648" spans="9:14" x14ac:dyDescent="0.3">
      <c r="I648" s="2"/>
      <c r="J648" s="2"/>
      <c r="K648" s="2"/>
      <c r="L648" s="2"/>
      <c r="M648" s="2"/>
      <c r="N648" s="2"/>
    </row>
    <row r="649" spans="9:14" x14ac:dyDescent="0.3">
      <c r="I649" s="2"/>
      <c r="J649" s="2"/>
      <c r="K649" s="2"/>
      <c r="L649" s="2"/>
      <c r="M649" s="2"/>
      <c r="N649" s="2"/>
    </row>
    <row r="650" spans="9:14" x14ac:dyDescent="0.3">
      <c r="I650" s="2"/>
      <c r="J650" s="2"/>
      <c r="K650" s="2"/>
      <c r="L650" s="2"/>
      <c r="M650" s="2"/>
      <c r="N650" s="2"/>
    </row>
    <row r="651" spans="9:14" x14ac:dyDescent="0.3">
      <c r="I651" s="2"/>
      <c r="J651" s="2"/>
      <c r="K651" s="2"/>
      <c r="L651" s="2"/>
      <c r="M651" s="2"/>
      <c r="N651" s="2"/>
    </row>
    <row r="652" spans="9:14" x14ac:dyDescent="0.3">
      <c r="I652" s="2"/>
      <c r="J652" s="2"/>
      <c r="K652" s="2"/>
      <c r="L652" s="2"/>
      <c r="M652" s="2"/>
      <c r="N652" s="2"/>
    </row>
    <row r="653" spans="9:14" x14ac:dyDescent="0.3">
      <c r="I653" s="2"/>
      <c r="J653" s="2"/>
      <c r="K653" s="2"/>
      <c r="L653" s="2"/>
      <c r="M653" s="2"/>
      <c r="N653" s="2"/>
    </row>
    <row r="654" spans="9:14" x14ac:dyDescent="0.3">
      <c r="I654" s="2"/>
      <c r="J654" s="2"/>
      <c r="K654" s="2"/>
      <c r="L654" s="2"/>
      <c r="M654" s="2"/>
      <c r="N654" s="2"/>
    </row>
    <row r="655" spans="9:14" x14ac:dyDescent="0.3">
      <c r="I655" s="2"/>
      <c r="J655" s="2"/>
      <c r="K655" s="2"/>
      <c r="L655" s="2"/>
      <c r="M655" s="2"/>
      <c r="N655" s="2"/>
    </row>
    <row r="656" spans="9:14" x14ac:dyDescent="0.3">
      <c r="I656" s="2"/>
      <c r="J656" s="2"/>
      <c r="K656" s="2"/>
      <c r="L656" s="2"/>
      <c r="M656" s="2"/>
      <c r="N656" s="2"/>
    </row>
    <row r="657" spans="9:14" x14ac:dyDescent="0.3">
      <c r="I657" s="2"/>
      <c r="J657" s="2"/>
      <c r="K657" s="2"/>
      <c r="L657" s="2"/>
      <c r="M657" s="2"/>
      <c r="N657" s="2"/>
    </row>
    <row r="658" spans="9:14" x14ac:dyDescent="0.3">
      <c r="I658" s="2"/>
      <c r="J658" s="2"/>
      <c r="K658" s="2"/>
      <c r="L658" s="2"/>
      <c r="M658" s="2"/>
      <c r="N658" s="2"/>
    </row>
    <row r="659" spans="9:14" x14ac:dyDescent="0.3">
      <c r="I659" s="2"/>
      <c r="J659" s="2"/>
      <c r="K659" s="2"/>
      <c r="L659" s="2"/>
      <c r="M659" s="2"/>
      <c r="N659" s="2"/>
    </row>
    <row r="660" spans="9:14" x14ac:dyDescent="0.3">
      <c r="I660" s="2"/>
      <c r="J660" s="2"/>
      <c r="K660" s="2"/>
      <c r="L660" s="2"/>
      <c r="M660" s="2"/>
      <c r="N660" s="2"/>
    </row>
    <row r="661" spans="9:14" x14ac:dyDescent="0.3">
      <c r="I661" s="2"/>
      <c r="J661" s="2"/>
      <c r="K661" s="2"/>
      <c r="L661" s="2"/>
      <c r="M661" s="2"/>
      <c r="N661" s="2"/>
    </row>
    <row r="662" spans="9:14" x14ac:dyDescent="0.3">
      <c r="I662" s="2"/>
      <c r="J662" s="2"/>
      <c r="K662" s="2"/>
      <c r="L662" s="2"/>
      <c r="M662" s="2"/>
      <c r="N662" s="2"/>
    </row>
    <row r="663" spans="9:14" x14ac:dyDescent="0.3">
      <c r="I663" s="2"/>
      <c r="J663" s="2"/>
      <c r="K663" s="2"/>
      <c r="L663" s="2"/>
      <c r="M663" s="2"/>
      <c r="N663" s="2"/>
    </row>
    <row r="664" spans="9:14" x14ac:dyDescent="0.3">
      <c r="I664" s="2"/>
      <c r="J664" s="2"/>
      <c r="K664" s="2"/>
      <c r="L664" s="2"/>
      <c r="M664" s="2"/>
      <c r="N664" s="2"/>
    </row>
    <row r="665" spans="9:14" x14ac:dyDescent="0.3">
      <c r="I665" s="2"/>
      <c r="J665" s="2"/>
      <c r="K665" s="2"/>
      <c r="L665" s="2"/>
      <c r="M665" s="2"/>
      <c r="N665" s="2"/>
    </row>
    <row r="666" spans="9:14" x14ac:dyDescent="0.3">
      <c r="I666" s="2"/>
      <c r="J666" s="2"/>
      <c r="K666" s="2"/>
      <c r="L666" s="2"/>
      <c r="M666" s="2"/>
      <c r="N666" s="2"/>
    </row>
    <row r="667" spans="9:14" x14ac:dyDescent="0.3">
      <c r="I667" s="2"/>
      <c r="J667" s="2"/>
      <c r="K667" s="2"/>
      <c r="L667" s="2"/>
      <c r="M667" s="2"/>
      <c r="N667" s="2"/>
    </row>
    <row r="668" spans="9:14" x14ac:dyDescent="0.3">
      <c r="I668" s="2"/>
      <c r="J668" s="2"/>
      <c r="K668" s="2"/>
      <c r="L668" s="2"/>
      <c r="M668" s="2"/>
      <c r="N668" s="2"/>
    </row>
    <row r="669" spans="9:14" x14ac:dyDescent="0.3">
      <c r="I669" s="2"/>
      <c r="J669" s="2"/>
      <c r="K669" s="2"/>
      <c r="L669" s="2"/>
      <c r="M669" s="2"/>
      <c r="N669" s="2"/>
    </row>
    <row r="670" spans="9:14" x14ac:dyDescent="0.3">
      <c r="I670" s="2"/>
      <c r="J670" s="2"/>
      <c r="K670" s="2"/>
      <c r="L670" s="2"/>
      <c r="M670" s="2"/>
      <c r="N670" s="2"/>
    </row>
    <row r="671" spans="9:14" x14ac:dyDescent="0.3">
      <c r="I671" s="2"/>
      <c r="J671" s="2"/>
      <c r="K671" s="2"/>
      <c r="L671" s="2"/>
      <c r="M671" s="2"/>
      <c r="N671" s="2"/>
    </row>
    <row r="672" spans="9:14" x14ac:dyDescent="0.3">
      <c r="I672" s="2"/>
      <c r="J672" s="2"/>
      <c r="K672" s="2"/>
      <c r="L672" s="2"/>
      <c r="M672" s="2"/>
      <c r="N672" s="2"/>
    </row>
    <row r="673" spans="9:14" x14ac:dyDescent="0.3">
      <c r="I673" s="2"/>
      <c r="J673" s="2"/>
      <c r="K673" s="2"/>
      <c r="L673" s="2"/>
      <c r="M673" s="2"/>
      <c r="N673" s="2"/>
    </row>
    <row r="674" spans="9:14" x14ac:dyDescent="0.3">
      <c r="I674" s="2"/>
      <c r="J674" s="2"/>
      <c r="K674" s="2"/>
      <c r="L674" s="2"/>
      <c r="M674" s="2"/>
      <c r="N674" s="2"/>
    </row>
    <row r="675" spans="9:14" x14ac:dyDescent="0.3">
      <c r="I675" s="2"/>
      <c r="J675" s="2"/>
      <c r="K675" s="2"/>
      <c r="L675" s="2"/>
      <c r="M675" s="2"/>
      <c r="N675" s="2"/>
    </row>
    <row r="676" spans="9:14" x14ac:dyDescent="0.3">
      <c r="I676" s="2"/>
      <c r="J676" s="2"/>
      <c r="K676" s="2"/>
      <c r="L676" s="2"/>
      <c r="M676" s="2"/>
      <c r="N676" s="2"/>
    </row>
    <row r="677" spans="9:14" x14ac:dyDescent="0.3">
      <c r="I677" s="2"/>
      <c r="J677" s="2"/>
      <c r="K677" s="2"/>
      <c r="L677" s="2"/>
      <c r="M677" s="2"/>
      <c r="N677" s="2"/>
    </row>
    <row r="678" spans="9:14" x14ac:dyDescent="0.3">
      <c r="I678" s="2"/>
      <c r="J678" s="2"/>
      <c r="K678" s="2"/>
      <c r="L678" s="2"/>
      <c r="M678" s="2"/>
      <c r="N678" s="2"/>
    </row>
    <row r="679" spans="9:14" x14ac:dyDescent="0.3">
      <c r="I679" s="2"/>
      <c r="J679" s="2"/>
      <c r="K679" s="2"/>
      <c r="L679" s="2"/>
      <c r="M679" s="2"/>
      <c r="N679" s="2"/>
    </row>
    <row r="680" spans="9:14" x14ac:dyDescent="0.3">
      <c r="I680" s="2"/>
      <c r="J680" s="2"/>
      <c r="K680" s="2"/>
      <c r="L680" s="2"/>
      <c r="M680" s="2"/>
      <c r="N680" s="2"/>
    </row>
    <row r="681" spans="9:14" x14ac:dyDescent="0.3">
      <c r="I681" s="2"/>
      <c r="J681" s="2"/>
      <c r="K681" s="2"/>
      <c r="L681" s="2"/>
      <c r="M681" s="2"/>
      <c r="N681" s="2"/>
    </row>
    <row r="682" spans="9:14" x14ac:dyDescent="0.3">
      <c r="I682" s="2"/>
      <c r="J682" s="2"/>
      <c r="K682" s="2"/>
      <c r="L682" s="2"/>
      <c r="M682" s="2"/>
      <c r="N682" s="2"/>
    </row>
    <row r="683" spans="9:14" x14ac:dyDescent="0.3">
      <c r="I683" s="2"/>
      <c r="J683" s="2"/>
      <c r="K683" s="2"/>
      <c r="L683" s="2"/>
      <c r="M683" s="2"/>
      <c r="N683" s="2"/>
    </row>
    <row r="684" spans="9:14" x14ac:dyDescent="0.3">
      <c r="I684" s="2"/>
      <c r="J684" s="2"/>
      <c r="K684" s="2"/>
      <c r="L684" s="2"/>
      <c r="M684" s="2"/>
      <c r="N684" s="2"/>
    </row>
    <row r="685" spans="9:14" x14ac:dyDescent="0.3">
      <c r="I685" s="2"/>
      <c r="J685" s="2"/>
      <c r="K685" s="2"/>
      <c r="L685" s="2"/>
      <c r="M685" s="2"/>
      <c r="N685" s="2"/>
    </row>
    <row r="686" spans="9:14" x14ac:dyDescent="0.3">
      <c r="I686" s="2"/>
      <c r="J686" s="2"/>
      <c r="K686" s="2"/>
      <c r="L686" s="2"/>
      <c r="M686" s="2"/>
      <c r="N686" s="2"/>
    </row>
    <row r="687" spans="9:14" x14ac:dyDescent="0.3">
      <c r="I687" s="2"/>
      <c r="J687" s="2"/>
      <c r="K687" s="2"/>
      <c r="L687" s="2"/>
      <c r="M687" s="2"/>
      <c r="N687" s="2"/>
    </row>
    <row r="688" spans="9:14" x14ac:dyDescent="0.3">
      <c r="I688" s="2"/>
      <c r="J688" s="2"/>
      <c r="K688" s="2"/>
      <c r="L688" s="2"/>
      <c r="M688" s="2"/>
      <c r="N688" s="2"/>
    </row>
    <row r="689" spans="9:14" x14ac:dyDescent="0.3">
      <c r="I689" s="2"/>
      <c r="J689" s="2"/>
      <c r="K689" s="2"/>
      <c r="L689" s="2"/>
      <c r="M689" s="2"/>
      <c r="N689" s="2"/>
    </row>
    <row r="690" spans="9:14" x14ac:dyDescent="0.3">
      <c r="I690" s="2"/>
      <c r="J690" s="2"/>
      <c r="K690" s="2"/>
      <c r="L690" s="2"/>
      <c r="M690" s="2"/>
      <c r="N690" s="2"/>
    </row>
    <row r="691" spans="9:14" x14ac:dyDescent="0.3">
      <c r="I691" s="2"/>
      <c r="J691" s="2"/>
      <c r="K691" s="2"/>
      <c r="L691" s="2"/>
      <c r="M691" s="2"/>
      <c r="N691" s="2"/>
    </row>
    <row r="692" spans="9:14" x14ac:dyDescent="0.3">
      <c r="I692" s="2"/>
      <c r="J692" s="2"/>
      <c r="K692" s="2"/>
      <c r="L692" s="2"/>
      <c r="M692" s="2"/>
      <c r="N692" s="2"/>
    </row>
    <row r="693" spans="9:14" x14ac:dyDescent="0.3">
      <c r="I693" s="2"/>
      <c r="J693" s="2"/>
      <c r="K693" s="2"/>
      <c r="L693" s="2"/>
      <c r="M693" s="2"/>
      <c r="N693" s="2"/>
    </row>
    <row r="694" spans="9:14" x14ac:dyDescent="0.3">
      <c r="I694" s="2"/>
      <c r="J694" s="2"/>
      <c r="K694" s="2"/>
      <c r="L694" s="2"/>
      <c r="M694" s="2"/>
      <c r="N694" s="2"/>
    </row>
    <row r="695" spans="9:14" x14ac:dyDescent="0.3">
      <c r="I695" s="2"/>
      <c r="J695" s="2"/>
      <c r="K695" s="2"/>
      <c r="L695" s="2"/>
      <c r="M695" s="2"/>
      <c r="N695" s="2"/>
    </row>
    <row r="696" spans="9:14" x14ac:dyDescent="0.3">
      <c r="I696" s="2"/>
      <c r="J696" s="2"/>
      <c r="K696" s="2"/>
      <c r="L696" s="2"/>
      <c r="M696" s="2"/>
      <c r="N696" s="2"/>
    </row>
    <row r="697" spans="9:14" x14ac:dyDescent="0.3">
      <c r="I697" s="2"/>
      <c r="J697" s="2"/>
      <c r="K697" s="2"/>
      <c r="L697" s="2"/>
      <c r="M697" s="2"/>
      <c r="N697" s="2"/>
    </row>
    <row r="698" spans="9:14" x14ac:dyDescent="0.3">
      <c r="I698" s="2"/>
      <c r="J698" s="2"/>
      <c r="K698" s="2"/>
      <c r="L698" s="2"/>
      <c r="M698" s="2"/>
      <c r="N698" s="2"/>
    </row>
    <row r="699" spans="9:14" x14ac:dyDescent="0.3">
      <c r="I699" s="2"/>
      <c r="J699" s="2"/>
      <c r="K699" s="2"/>
      <c r="L699" s="2"/>
      <c r="M699" s="2"/>
      <c r="N699" s="2"/>
    </row>
    <row r="700" spans="9:14" x14ac:dyDescent="0.3">
      <c r="I700" s="2"/>
      <c r="J700" s="2"/>
      <c r="K700" s="2"/>
      <c r="L700" s="2"/>
      <c r="M700" s="2"/>
      <c r="N700" s="2"/>
    </row>
    <row r="701" spans="9:14" x14ac:dyDescent="0.3">
      <c r="I701" s="2"/>
      <c r="J701" s="2"/>
      <c r="K701" s="2"/>
      <c r="L701" s="2"/>
      <c r="M701" s="2"/>
      <c r="N701" s="2"/>
    </row>
    <row r="702" spans="9:14" x14ac:dyDescent="0.3">
      <c r="I702" s="2"/>
      <c r="J702" s="2"/>
      <c r="K702" s="2"/>
      <c r="L702" s="2"/>
      <c r="M702" s="2"/>
      <c r="N702" s="2"/>
    </row>
    <row r="703" spans="9:14" x14ac:dyDescent="0.3">
      <c r="I703" s="2"/>
      <c r="J703" s="2"/>
      <c r="K703" s="2"/>
      <c r="L703" s="2"/>
      <c r="M703" s="2"/>
      <c r="N703" s="2"/>
    </row>
    <row r="704" spans="9:14" x14ac:dyDescent="0.3">
      <c r="I704" s="2"/>
      <c r="J704" s="2"/>
      <c r="K704" s="2"/>
      <c r="L704" s="2"/>
      <c r="M704" s="2"/>
      <c r="N704" s="2"/>
    </row>
    <row r="705" spans="9:14" x14ac:dyDescent="0.3">
      <c r="I705" s="2"/>
      <c r="J705" s="2"/>
      <c r="K705" s="2"/>
      <c r="L705" s="2"/>
      <c r="M705" s="2"/>
      <c r="N705" s="2"/>
    </row>
    <row r="706" spans="9:14" x14ac:dyDescent="0.3">
      <c r="I706" s="2"/>
      <c r="J706" s="2"/>
      <c r="K706" s="2"/>
      <c r="L706" s="2"/>
      <c r="M706" s="2"/>
      <c r="N706" s="2"/>
    </row>
    <row r="707" spans="9:14" x14ac:dyDescent="0.3">
      <c r="I707" s="2"/>
      <c r="J707" s="2"/>
      <c r="K707" s="2"/>
      <c r="L707" s="2"/>
      <c r="M707" s="2"/>
      <c r="N707" s="2"/>
    </row>
    <row r="708" spans="9:14" x14ac:dyDescent="0.3">
      <c r="I708" s="2"/>
      <c r="J708" s="2"/>
      <c r="K708" s="2"/>
      <c r="L708" s="2"/>
      <c r="M708" s="2"/>
      <c r="N708" s="2"/>
    </row>
    <row r="709" spans="9:14" x14ac:dyDescent="0.3">
      <c r="I709" s="2"/>
      <c r="J709" s="2"/>
      <c r="K709" s="2"/>
      <c r="L709" s="2"/>
      <c r="M709" s="2"/>
      <c r="N709" s="2"/>
    </row>
    <row r="710" spans="9:14" x14ac:dyDescent="0.3">
      <c r="I710" s="2"/>
      <c r="J710" s="2"/>
      <c r="K710" s="2"/>
      <c r="L710" s="2"/>
      <c r="M710" s="2"/>
      <c r="N710" s="2"/>
    </row>
    <row r="711" spans="9:14" x14ac:dyDescent="0.3">
      <c r="I711" s="2"/>
      <c r="J711" s="2"/>
      <c r="K711" s="2"/>
      <c r="L711" s="2"/>
      <c r="M711" s="2"/>
      <c r="N711" s="2"/>
    </row>
    <row r="712" spans="9:14" x14ac:dyDescent="0.3">
      <c r="I712" s="2"/>
      <c r="J712" s="2"/>
      <c r="K712" s="2"/>
      <c r="L712" s="2"/>
      <c r="M712" s="2"/>
      <c r="N712" s="2"/>
    </row>
    <row r="713" spans="9:14" x14ac:dyDescent="0.3">
      <c r="I713" s="2"/>
      <c r="J713" s="2"/>
      <c r="K713" s="2"/>
      <c r="L713" s="2"/>
      <c r="M713" s="2"/>
      <c r="N713" s="2"/>
    </row>
    <row r="714" spans="9:14" x14ac:dyDescent="0.3">
      <c r="I714" s="2"/>
      <c r="J714" s="2"/>
      <c r="K714" s="2"/>
      <c r="L714" s="2"/>
      <c r="M714" s="2"/>
      <c r="N714" s="2"/>
    </row>
    <row r="715" spans="9:14" x14ac:dyDescent="0.3">
      <c r="I715" s="2"/>
      <c r="J715" s="2"/>
      <c r="K715" s="2"/>
      <c r="L715" s="2"/>
      <c r="M715" s="2"/>
      <c r="N715" s="2"/>
    </row>
    <row r="716" spans="9:14" x14ac:dyDescent="0.3">
      <c r="I716" s="2"/>
      <c r="J716" s="2"/>
      <c r="K716" s="2"/>
      <c r="L716" s="2"/>
      <c r="M716" s="2"/>
      <c r="N716" s="2"/>
    </row>
    <row r="717" spans="9:14" x14ac:dyDescent="0.3">
      <c r="I717" s="2"/>
      <c r="J717" s="2"/>
      <c r="K717" s="2"/>
      <c r="L717" s="2"/>
      <c r="M717" s="2"/>
      <c r="N717" s="2"/>
    </row>
    <row r="718" spans="9:14" x14ac:dyDescent="0.3">
      <c r="I718" s="2"/>
      <c r="J718" s="2"/>
      <c r="K718" s="2"/>
      <c r="L718" s="2"/>
      <c r="M718" s="2"/>
      <c r="N718" s="2"/>
    </row>
    <row r="719" spans="9:14" x14ac:dyDescent="0.3">
      <c r="I719" s="2"/>
      <c r="J719" s="2"/>
      <c r="K719" s="2"/>
      <c r="L719" s="2"/>
      <c r="M719" s="2"/>
      <c r="N719" s="2"/>
    </row>
    <row r="720" spans="9:14" x14ac:dyDescent="0.3">
      <c r="I720" s="2"/>
      <c r="J720" s="2"/>
      <c r="K720" s="2"/>
      <c r="L720" s="2"/>
      <c r="M720" s="2"/>
      <c r="N720" s="2"/>
    </row>
    <row r="721" spans="9:14" x14ac:dyDescent="0.3">
      <c r="I721" s="2"/>
      <c r="J721" s="2"/>
      <c r="K721" s="2"/>
      <c r="L721" s="2"/>
      <c r="M721" s="2"/>
      <c r="N721" s="2"/>
    </row>
    <row r="722" spans="9:14" x14ac:dyDescent="0.3">
      <c r="I722" s="2"/>
      <c r="J722" s="2"/>
      <c r="K722" s="2"/>
      <c r="L722" s="2"/>
      <c r="M722" s="2"/>
      <c r="N722" s="2"/>
    </row>
    <row r="723" spans="9:14" x14ac:dyDescent="0.3">
      <c r="I723" s="2"/>
      <c r="J723" s="2"/>
      <c r="K723" s="2"/>
      <c r="L723" s="2"/>
      <c r="M723" s="2"/>
      <c r="N723" s="2"/>
    </row>
    <row r="724" spans="9:14" x14ac:dyDescent="0.3">
      <c r="I724" s="2"/>
      <c r="J724" s="2"/>
      <c r="K724" s="2"/>
      <c r="L724" s="2"/>
      <c r="M724" s="2"/>
      <c r="N724" s="2"/>
    </row>
    <row r="725" spans="9:14" x14ac:dyDescent="0.3">
      <c r="I725" s="2"/>
      <c r="J725" s="2"/>
      <c r="K725" s="2"/>
      <c r="L725" s="2"/>
      <c r="M725" s="2"/>
      <c r="N725" s="2"/>
    </row>
    <row r="726" spans="9:14" x14ac:dyDescent="0.3">
      <c r="I726" s="2"/>
      <c r="J726" s="2"/>
      <c r="K726" s="2"/>
      <c r="L726" s="2"/>
      <c r="M726" s="2"/>
      <c r="N726" s="2"/>
    </row>
    <row r="727" spans="9:14" x14ac:dyDescent="0.3">
      <c r="I727" s="2"/>
      <c r="J727" s="2"/>
      <c r="K727" s="2"/>
      <c r="L727" s="2"/>
      <c r="M727" s="2"/>
      <c r="N727" s="2"/>
    </row>
    <row r="728" spans="9:14" x14ac:dyDescent="0.3">
      <c r="I728" s="2"/>
      <c r="J728" s="2"/>
      <c r="K728" s="2"/>
      <c r="L728" s="2"/>
      <c r="M728" s="2"/>
      <c r="N728" s="2"/>
    </row>
    <row r="729" spans="9:14" x14ac:dyDescent="0.3">
      <c r="I729" s="2"/>
      <c r="J729" s="2"/>
      <c r="K729" s="2"/>
      <c r="L729" s="2"/>
      <c r="M729" s="2"/>
      <c r="N729" s="2"/>
    </row>
    <row r="730" spans="9:14" x14ac:dyDescent="0.3">
      <c r="I730" s="2"/>
      <c r="J730" s="2"/>
      <c r="K730" s="2"/>
      <c r="L730" s="2"/>
      <c r="M730" s="2"/>
      <c r="N730" s="2"/>
    </row>
    <row r="731" spans="9:14" x14ac:dyDescent="0.3">
      <c r="I731" s="2"/>
      <c r="J731" s="2"/>
      <c r="K731" s="2"/>
      <c r="L731" s="2"/>
      <c r="M731" s="2"/>
      <c r="N731" s="2"/>
    </row>
    <row r="732" spans="9:14" x14ac:dyDescent="0.3">
      <c r="I732" s="2"/>
      <c r="J732" s="2"/>
      <c r="K732" s="2"/>
      <c r="L732" s="2"/>
      <c r="M732" s="2"/>
      <c r="N732" s="2"/>
    </row>
    <row r="733" spans="9:14" x14ac:dyDescent="0.3">
      <c r="I733" s="2"/>
      <c r="J733" s="2"/>
      <c r="K733" s="2"/>
      <c r="L733" s="2"/>
      <c r="M733" s="2"/>
      <c r="N733" s="2"/>
    </row>
    <row r="734" spans="9:14" x14ac:dyDescent="0.3">
      <c r="I734" s="2"/>
      <c r="J734" s="2"/>
      <c r="K734" s="2"/>
      <c r="L734" s="2"/>
      <c r="M734" s="2"/>
      <c r="N734" s="2"/>
    </row>
    <row r="735" spans="9:14" x14ac:dyDescent="0.3">
      <c r="I735" s="2"/>
      <c r="J735" s="2"/>
      <c r="K735" s="2"/>
      <c r="L735" s="2"/>
      <c r="M735" s="2"/>
      <c r="N735" s="2"/>
    </row>
    <row r="736" spans="9:14" x14ac:dyDescent="0.3">
      <c r="I736" s="2"/>
      <c r="J736" s="2"/>
      <c r="K736" s="2"/>
      <c r="L736" s="2"/>
      <c r="M736" s="2"/>
      <c r="N736" s="2"/>
    </row>
    <row r="737" spans="9:14" x14ac:dyDescent="0.3">
      <c r="I737" s="2"/>
      <c r="J737" s="2"/>
      <c r="K737" s="2"/>
      <c r="L737" s="2"/>
      <c r="M737" s="2"/>
      <c r="N737" s="2"/>
    </row>
    <row r="738" spans="9:14" x14ac:dyDescent="0.3">
      <c r="I738" s="2"/>
      <c r="J738" s="2"/>
      <c r="K738" s="2"/>
      <c r="L738" s="2"/>
      <c r="M738" s="2"/>
      <c r="N738" s="2"/>
    </row>
    <row r="739" spans="9:14" x14ac:dyDescent="0.3">
      <c r="I739" s="2"/>
      <c r="J739" s="2"/>
      <c r="K739" s="2"/>
      <c r="L739" s="2"/>
      <c r="M739" s="2"/>
      <c r="N739" s="2"/>
    </row>
    <row r="740" spans="9:14" x14ac:dyDescent="0.3">
      <c r="I740" s="2"/>
      <c r="J740" s="2"/>
      <c r="K740" s="2"/>
      <c r="L740" s="2"/>
      <c r="M740" s="2"/>
      <c r="N740" s="2"/>
    </row>
    <row r="741" spans="9:14" x14ac:dyDescent="0.3">
      <c r="I741" s="2"/>
      <c r="J741" s="2"/>
      <c r="K741" s="2"/>
      <c r="L741" s="2"/>
      <c r="M741" s="2"/>
      <c r="N741" s="2"/>
    </row>
    <row r="742" spans="9:14" x14ac:dyDescent="0.3">
      <c r="I742" s="2"/>
      <c r="J742" s="2"/>
      <c r="K742" s="2"/>
      <c r="L742" s="2"/>
      <c r="M742" s="2"/>
      <c r="N742" s="2"/>
    </row>
    <row r="743" spans="9:14" x14ac:dyDescent="0.3">
      <c r="I743" s="2"/>
      <c r="J743" s="2"/>
      <c r="K743" s="2"/>
      <c r="L743" s="2"/>
      <c r="M743" s="2"/>
      <c r="N743" s="2"/>
    </row>
    <row r="744" spans="9:14" x14ac:dyDescent="0.3">
      <c r="I744" s="2"/>
      <c r="J744" s="2"/>
      <c r="K744" s="2"/>
      <c r="L744" s="2"/>
      <c r="M744" s="2"/>
      <c r="N744" s="2"/>
    </row>
    <row r="745" spans="9:14" x14ac:dyDescent="0.3">
      <c r="I745" s="2"/>
      <c r="J745" s="2"/>
      <c r="K745" s="2"/>
      <c r="L745" s="2"/>
      <c r="M745" s="2"/>
      <c r="N745" s="2"/>
    </row>
    <row r="746" spans="9:14" x14ac:dyDescent="0.3">
      <c r="I746" s="2"/>
      <c r="J746" s="2"/>
      <c r="K746" s="2"/>
      <c r="L746" s="2"/>
      <c r="M746" s="2"/>
      <c r="N746" s="2"/>
    </row>
    <row r="747" spans="9:14" x14ac:dyDescent="0.3">
      <c r="I747" s="2"/>
      <c r="J747" s="2"/>
      <c r="K747" s="2"/>
      <c r="L747" s="2"/>
      <c r="M747" s="2"/>
      <c r="N747" s="2"/>
    </row>
    <row r="748" spans="9:14" x14ac:dyDescent="0.3">
      <c r="I748" s="2"/>
      <c r="J748" s="2"/>
      <c r="K748" s="2"/>
      <c r="L748" s="2"/>
      <c r="M748" s="2"/>
      <c r="N748" s="2"/>
    </row>
    <row r="749" spans="9:14" x14ac:dyDescent="0.3">
      <c r="I749" s="2"/>
      <c r="J749" s="2"/>
      <c r="K749" s="2"/>
      <c r="L749" s="2"/>
      <c r="M749" s="2"/>
      <c r="N749" s="2"/>
    </row>
    <row r="750" spans="9:14" x14ac:dyDescent="0.3">
      <c r="I750" s="2"/>
      <c r="J750" s="2"/>
      <c r="K750" s="2"/>
      <c r="L750" s="2"/>
      <c r="M750" s="2"/>
      <c r="N750" s="2"/>
    </row>
    <row r="751" spans="9:14" x14ac:dyDescent="0.3">
      <c r="I751" s="2"/>
      <c r="J751" s="2"/>
      <c r="K751" s="2"/>
      <c r="L751" s="2"/>
      <c r="M751" s="2"/>
      <c r="N751" s="2"/>
    </row>
    <row r="752" spans="9:14" x14ac:dyDescent="0.3">
      <c r="I752" s="2"/>
      <c r="J752" s="2"/>
      <c r="K752" s="2"/>
      <c r="L752" s="2"/>
      <c r="M752" s="2"/>
      <c r="N752" s="2"/>
    </row>
    <row r="753" spans="9:14" x14ac:dyDescent="0.3">
      <c r="I753" s="2"/>
      <c r="J753" s="2"/>
      <c r="K753" s="2"/>
      <c r="L753" s="2"/>
      <c r="M753" s="2"/>
      <c r="N753" s="2"/>
    </row>
    <row r="754" spans="9:14" x14ac:dyDescent="0.3">
      <c r="I754" s="2"/>
      <c r="J754" s="2"/>
      <c r="K754" s="2"/>
      <c r="L754" s="2"/>
      <c r="M754" s="2"/>
      <c r="N754" s="2"/>
    </row>
    <row r="755" spans="9:14" x14ac:dyDescent="0.3">
      <c r="I755" s="2"/>
      <c r="J755" s="2"/>
      <c r="K755" s="2"/>
      <c r="L755" s="2"/>
      <c r="M755" s="2"/>
      <c r="N755" s="2"/>
    </row>
    <row r="756" spans="9:14" x14ac:dyDescent="0.3">
      <c r="I756" s="2"/>
      <c r="J756" s="2"/>
      <c r="K756" s="2"/>
      <c r="L756" s="2"/>
      <c r="M756" s="2"/>
      <c r="N756" s="2"/>
    </row>
    <row r="757" spans="9:14" x14ac:dyDescent="0.3">
      <c r="I757" s="2"/>
      <c r="J757" s="2"/>
      <c r="K757" s="2"/>
      <c r="L757" s="2"/>
      <c r="M757" s="2"/>
      <c r="N757" s="2"/>
    </row>
    <row r="758" spans="9:14" x14ac:dyDescent="0.3">
      <c r="I758" s="2"/>
      <c r="J758" s="2"/>
      <c r="K758" s="2"/>
      <c r="L758" s="2"/>
      <c r="M758" s="2"/>
      <c r="N758" s="2"/>
    </row>
    <row r="759" spans="9:14" x14ac:dyDescent="0.3">
      <c r="I759" s="2"/>
      <c r="J759" s="2"/>
      <c r="K759" s="2"/>
      <c r="L759" s="2"/>
      <c r="M759" s="2"/>
      <c r="N759" s="2"/>
    </row>
    <row r="760" spans="9:14" x14ac:dyDescent="0.3">
      <c r="I760" s="2"/>
      <c r="J760" s="2"/>
      <c r="K760" s="2"/>
      <c r="L760" s="2"/>
      <c r="M760" s="2"/>
      <c r="N760" s="2"/>
    </row>
    <row r="761" spans="9:14" x14ac:dyDescent="0.3">
      <c r="I761" s="2"/>
      <c r="J761" s="2"/>
      <c r="K761" s="2"/>
      <c r="L761" s="2"/>
      <c r="M761" s="2"/>
      <c r="N761" s="2"/>
    </row>
    <row r="762" spans="9:14" x14ac:dyDescent="0.3">
      <c r="I762" s="2"/>
      <c r="J762" s="2"/>
      <c r="K762" s="2"/>
      <c r="L762" s="2"/>
      <c r="M762" s="2"/>
      <c r="N762" s="2"/>
    </row>
    <row r="763" spans="9:14" x14ac:dyDescent="0.3">
      <c r="I763" s="2"/>
      <c r="J763" s="2"/>
      <c r="K763" s="2"/>
      <c r="L763" s="2"/>
      <c r="M763" s="2"/>
      <c r="N763" s="2"/>
    </row>
    <row r="764" spans="9:14" x14ac:dyDescent="0.3">
      <c r="I764" s="2"/>
      <c r="J764" s="2"/>
      <c r="K764" s="2"/>
      <c r="L764" s="2"/>
      <c r="M764" s="2"/>
      <c r="N764" s="2"/>
    </row>
    <row r="765" spans="9:14" x14ac:dyDescent="0.3">
      <c r="I765" s="2"/>
      <c r="J765" s="2"/>
      <c r="K765" s="2"/>
      <c r="L765" s="2"/>
      <c r="M765" s="2"/>
      <c r="N765" s="2"/>
    </row>
    <row r="766" spans="9:14" x14ac:dyDescent="0.3">
      <c r="I766" s="2"/>
      <c r="J766" s="2"/>
      <c r="K766" s="2"/>
      <c r="L766" s="2"/>
      <c r="M766" s="2"/>
      <c r="N766" s="2"/>
    </row>
    <row r="767" spans="9:14" x14ac:dyDescent="0.3">
      <c r="I767" s="2"/>
      <c r="J767" s="2"/>
      <c r="K767" s="2"/>
      <c r="L767" s="2"/>
      <c r="M767" s="2"/>
      <c r="N767" s="2"/>
    </row>
    <row r="768" spans="9:14" x14ac:dyDescent="0.3">
      <c r="I768" s="2"/>
      <c r="J768" s="2"/>
      <c r="K768" s="2"/>
      <c r="L768" s="2"/>
      <c r="M768" s="2"/>
      <c r="N768" s="2"/>
    </row>
    <row r="769" spans="9:14" x14ac:dyDescent="0.3">
      <c r="I769" s="2"/>
      <c r="J769" s="2"/>
      <c r="K769" s="2"/>
      <c r="L769" s="2"/>
      <c r="M769" s="2"/>
      <c r="N769" s="2"/>
    </row>
    <row r="770" spans="9:14" x14ac:dyDescent="0.3">
      <c r="I770" s="2"/>
      <c r="J770" s="2"/>
      <c r="K770" s="2"/>
      <c r="L770" s="2"/>
      <c r="M770" s="2"/>
      <c r="N770" s="2"/>
    </row>
    <row r="771" spans="9:14" x14ac:dyDescent="0.3">
      <c r="I771" s="2"/>
      <c r="J771" s="2"/>
      <c r="K771" s="2"/>
      <c r="L771" s="2"/>
      <c r="M771" s="2"/>
      <c r="N771" s="2"/>
    </row>
    <row r="772" spans="9:14" x14ac:dyDescent="0.3">
      <c r="I772" s="2"/>
      <c r="J772" s="2"/>
      <c r="K772" s="2"/>
      <c r="L772" s="2"/>
      <c r="M772" s="2"/>
      <c r="N772" s="2"/>
    </row>
    <row r="773" spans="9:14" x14ac:dyDescent="0.3">
      <c r="I773" s="2"/>
      <c r="J773" s="2"/>
      <c r="K773" s="2"/>
      <c r="L773" s="2"/>
      <c r="M773" s="2"/>
      <c r="N773" s="2"/>
    </row>
    <row r="774" spans="9:14" x14ac:dyDescent="0.3">
      <c r="I774" s="2"/>
      <c r="J774" s="2"/>
      <c r="K774" s="2"/>
      <c r="L774" s="2"/>
      <c r="M774" s="2"/>
      <c r="N774" s="2"/>
    </row>
    <row r="775" spans="9:14" x14ac:dyDescent="0.3">
      <c r="I775" s="2"/>
      <c r="J775" s="2"/>
      <c r="K775" s="2"/>
      <c r="L775" s="2"/>
      <c r="M775" s="2"/>
      <c r="N775" s="2"/>
    </row>
    <row r="776" spans="9:14" x14ac:dyDescent="0.3">
      <c r="I776" s="2"/>
      <c r="J776" s="2"/>
      <c r="K776" s="2"/>
      <c r="L776" s="2"/>
      <c r="M776" s="2"/>
      <c r="N776" s="2"/>
    </row>
    <row r="777" spans="9:14" x14ac:dyDescent="0.3">
      <c r="I777" s="2"/>
      <c r="J777" s="2"/>
      <c r="K777" s="2"/>
      <c r="L777" s="2"/>
      <c r="M777" s="2"/>
      <c r="N777" s="2"/>
    </row>
    <row r="778" spans="9:14" x14ac:dyDescent="0.3">
      <c r="I778" s="2"/>
      <c r="J778" s="2"/>
      <c r="K778" s="2"/>
      <c r="L778" s="2"/>
      <c r="M778" s="2"/>
      <c r="N778" s="2"/>
    </row>
    <row r="779" spans="9:14" x14ac:dyDescent="0.3">
      <c r="I779" s="2"/>
      <c r="J779" s="2"/>
      <c r="K779" s="2"/>
      <c r="L779" s="2"/>
      <c r="M779" s="2"/>
      <c r="N779" s="2"/>
    </row>
    <row r="780" spans="9:14" x14ac:dyDescent="0.3">
      <c r="I780" s="2"/>
      <c r="J780" s="2"/>
      <c r="K780" s="2"/>
      <c r="L780" s="2"/>
      <c r="M780" s="2"/>
      <c r="N780" s="2"/>
    </row>
    <row r="781" spans="9:14" x14ac:dyDescent="0.3">
      <c r="I781" s="2"/>
      <c r="J781" s="2"/>
      <c r="K781" s="2"/>
      <c r="L781" s="2"/>
      <c r="M781" s="2"/>
      <c r="N781" s="2"/>
    </row>
    <row r="782" spans="9:14" x14ac:dyDescent="0.3">
      <c r="I782" s="2"/>
      <c r="J782" s="2"/>
      <c r="K782" s="2"/>
      <c r="L782" s="2"/>
      <c r="M782" s="2"/>
      <c r="N782" s="2"/>
    </row>
    <row r="783" spans="9:14" x14ac:dyDescent="0.3">
      <c r="I783" s="2"/>
      <c r="J783" s="2"/>
      <c r="K783" s="2"/>
      <c r="L783" s="2"/>
      <c r="M783" s="2"/>
      <c r="N783" s="2"/>
    </row>
    <row r="784" spans="9:14" x14ac:dyDescent="0.3">
      <c r="I784" s="2"/>
      <c r="J784" s="2"/>
      <c r="K784" s="2"/>
      <c r="L784" s="2"/>
      <c r="M784" s="2"/>
      <c r="N784" s="2"/>
    </row>
    <row r="785" spans="9:14" x14ac:dyDescent="0.3">
      <c r="I785" s="2"/>
      <c r="J785" s="2"/>
      <c r="K785" s="2"/>
      <c r="L785" s="2"/>
      <c r="M785" s="2"/>
      <c r="N785" s="2"/>
    </row>
    <row r="786" spans="9:14" x14ac:dyDescent="0.3">
      <c r="I786" s="2"/>
      <c r="J786" s="2"/>
      <c r="K786" s="2"/>
      <c r="L786" s="2"/>
      <c r="M786" s="2"/>
      <c r="N786" s="2"/>
    </row>
    <row r="787" spans="9:14" x14ac:dyDescent="0.3">
      <c r="I787" s="2"/>
      <c r="J787" s="2"/>
      <c r="K787" s="2"/>
      <c r="L787" s="2"/>
      <c r="M787" s="2"/>
      <c r="N787" s="2"/>
    </row>
    <row r="788" spans="9:14" x14ac:dyDescent="0.3">
      <c r="I788" s="2"/>
      <c r="J788" s="2"/>
      <c r="K788" s="2"/>
      <c r="L788" s="2"/>
      <c r="M788" s="2"/>
      <c r="N788" s="2"/>
    </row>
    <row r="789" spans="9:14" x14ac:dyDescent="0.3">
      <c r="I789" s="2"/>
      <c r="J789" s="2"/>
      <c r="K789" s="2"/>
      <c r="L789" s="2"/>
      <c r="M789" s="2"/>
      <c r="N789" s="2"/>
    </row>
    <row r="790" spans="9:14" x14ac:dyDescent="0.3">
      <c r="I790" s="2"/>
      <c r="J790" s="2"/>
      <c r="K790" s="2"/>
      <c r="L790" s="2"/>
      <c r="M790" s="2"/>
      <c r="N790" s="2"/>
    </row>
    <row r="791" spans="9:14" x14ac:dyDescent="0.3">
      <c r="I791" s="2"/>
      <c r="J791" s="2"/>
      <c r="K791" s="2"/>
      <c r="L791" s="2"/>
      <c r="M791" s="2"/>
      <c r="N791" s="2"/>
    </row>
    <row r="792" spans="9:14" x14ac:dyDescent="0.3">
      <c r="I792" s="2"/>
      <c r="J792" s="2"/>
      <c r="K792" s="2"/>
      <c r="L792" s="2"/>
      <c r="M792" s="2"/>
      <c r="N792" s="2"/>
    </row>
    <row r="793" spans="9:14" x14ac:dyDescent="0.3">
      <c r="I793" s="2"/>
      <c r="J793" s="2"/>
      <c r="K793" s="2"/>
      <c r="L793" s="2"/>
      <c r="M793" s="2"/>
      <c r="N793" s="2"/>
    </row>
    <row r="794" spans="9:14" x14ac:dyDescent="0.3">
      <c r="I794" s="2"/>
      <c r="J794" s="2"/>
      <c r="K794" s="2"/>
      <c r="L794" s="2"/>
      <c r="M794" s="2"/>
      <c r="N794" s="2"/>
    </row>
    <row r="795" spans="9:14" x14ac:dyDescent="0.3">
      <c r="I795" s="2"/>
      <c r="J795" s="2"/>
      <c r="K795" s="2"/>
      <c r="L795" s="2"/>
      <c r="M795" s="2"/>
      <c r="N795" s="2"/>
    </row>
    <row r="796" spans="9:14" x14ac:dyDescent="0.3">
      <c r="I796" s="2"/>
      <c r="J796" s="2"/>
      <c r="K796" s="2"/>
      <c r="L796" s="2"/>
      <c r="M796" s="2"/>
      <c r="N796" s="2"/>
    </row>
    <row r="797" spans="9:14" x14ac:dyDescent="0.3">
      <c r="I797" s="2"/>
      <c r="J797" s="2"/>
      <c r="K797" s="2"/>
      <c r="L797" s="2"/>
      <c r="M797" s="2"/>
      <c r="N797" s="2"/>
    </row>
    <row r="798" spans="9:14" x14ac:dyDescent="0.3">
      <c r="I798" s="2"/>
      <c r="J798" s="2"/>
      <c r="K798" s="2"/>
      <c r="L798" s="2"/>
      <c r="M798" s="2"/>
      <c r="N798" s="2"/>
    </row>
    <row r="799" spans="9:14" x14ac:dyDescent="0.3">
      <c r="I799" s="2"/>
      <c r="J799" s="2"/>
      <c r="K799" s="2"/>
      <c r="L799" s="2"/>
      <c r="M799" s="2"/>
      <c r="N799" s="2"/>
    </row>
    <row r="800" spans="9:14" x14ac:dyDescent="0.3">
      <c r="I800" s="2"/>
      <c r="J800" s="2"/>
      <c r="K800" s="2"/>
      <c r="L800" s="2"/>
      <c r="M800" s="2"/>
      <c r="N800" s="2"/>
    </row>
    <row r="801" spans="9:14" x14ac:dyDescent="0.3">
      <c r="I801" s="2"/>
      <c r="J801" s="2"/>
      <c r="K801" s="2"/>
      <c r="L801" s="2"/>
      <c r="M801" s="2"/>
      <c r="N801" s="2"/>
    </row>
    <row r="802" spans="9:14" x14ac:dyDescent="0.3">
      <c r="I802" s="2"/>
      <c r="J802" s="2"/>
      <c r="K802" s="2"/>
      <c r="L802" s="2"/>
      <c r="M802" s="2"/>
      <c r="N802" s="2"/>
    </row>
    <row r="803" spans="9:14" x14ac:dyDescent="0.3">
      <c r="I803" s="2"/>
      <c r="J803" s="2"/>
      <c r="K803" s="2"/>
      <c r="L803" s="2"/>
      <c r="M803" s="2"/>
      <c r="N803" s="2"/>
    </row>
    <row r="804" spans="9:14" x14ac:dyDescent="0.3">
      <c r="I804" s="2"/>
      <c r="J804" s="2"/>
      <c r="K804" s="2"/>
      <c r="L804" s="2"/>
      <c r="M804" s="2"/>
      <c r="N804" s="2"/>
    </row>
    <row r="805" spans="9:14" x14ac:dyDescent="0.3">
      <c r="I805" s="2"/>
      <c r="J805" s="2"/>
      <c r="K805" s="2"/>
      <c r="L805" s="2"/>
      <c r="M805" s="2"/>
      <c r="N805" s="2"/>
    </row>
    <row r="806" spans="9:14" x14ac:dyDescent="0.3">
      <c r="I806" s="2"/>
      <c r="J806" s="2"/>
      <c r="K806" s="2"/>
      <c r="L806" s="2"/>
      <c r="M806" s="2"/>
      <c r="N806" s="2"/>
    </row>
    <row r="807" spans="9:14" x14ac:dyDescent="0.3">
      <c r="I807" s="2"/>
      <c r="J807" s="2"/>
      <c r="K807" s="2"/>
      <c r="L807" s="2"/>
      <c r="M807" s="2"/>
      <c r="N807" s="2"/>
    </row>
    <row r="808" spans="9:14" x14ac:dyDescent="0.3">
      <c r="I808" s="2"/>
      <c r="J808" s="2"/>
      <c r="K808" s="2"/>
      <c r="L808" s="2"/>
      <c r="M808" s="2"/>
      <c r="N808" s="2"/>
    </row>
    <row r="809" spans="9:14" x14ac:dyDescent="0.3">
      <c r="I809" s="2"/>
      <c r="J809" s="2"/>
      <c r="K809" s="2"/>
      <c r="L809" s="2"/>
      <c r="M809" s="2"/>
      <c r="N809" s="2"/>
    </row>
    <row r="810" spans="9:14" x14ac:dyDescent="0.3">
      <c r="I810" s="2"/>
      <c r="J810" s="2"/>
      <c r="K810" s="2"/>
      <c r="L810" s="2"/>
      <c r="M810" s="2"/>
      <c r="N810" s="2"/>
    </row>
    <row r="811" spans="9:14" x14ac:dyDescent="0.3">
      <c r="I811" s="2"/>
      <c r="J811" s="2"/>
      <c r="K811" s="2"/>
      <c r="L811" s="2"/>
      <c r="M811" s="2"/>
      <c r="N811" s="2"/>
    </row>
    <row r="812" spans="9:14" x14ac:dyDescent="0.3">
      <c r="I812" s="2"/>
      <c r="J812" s="2"/>
      <c r="K812" s="2"/>
      <c r="L812" s="2"/>
      <c r="M812" s="2"/>
      <c r="N812" s="2"/>
    </row>
    <row r="813" spans="9:14" x14ac:dyDescent="0.3">
      <c r="I813" s="2"/>
      <c r="J813" s="2"/>
      <c r="K813" s="2"/>
      <c r="L813" s="2"/>
      <c r="M813" s="2"/>
      <c r="N813" s="2"/>
    </row>
    <row r="814" spans="9:14" x14ac:dyDescent="0.3">
      <c r="I814" s="2"/>
      <c r="J814" s="2"/>
      <c r="K814" s="2"/>
      <c r="L814" s="2"/>
      <c r="M814" s="2"/>
      <c r="N814" s="2"/>
    </row>
    <row r="815" spans="9:14" x14ac:dyDescent="0.3">
      <c r="I815" s="2"/>
      <c r="J815" s="2"/>
      <c r="K815" s="2"/>
      <c r="L815" s="2"/>
      <c r="M815" s="2"/>
      <c r="N815" s="2"/>
    </row>
    <row r="816" spans="9:14" x14ac:dyDescent="0.3">
      <c r="I816" s="2"/>
      <c r="J816" s="2"/>
      <c r="K816" s="2"/>
      <c r="L816" s="2"/>
      <c r="M816" s="2"/>
      <c r="N816" s="2"/>
    </row>
    <row r="817" spans="9:14" x14ac:dyDescent="0.3">
      <c r="I817" s="2"/>
      <c r="J817" s="2"/>
      <c r="K817" s="2"/>
      <c r="L817" s="2"/>
      <c r="M817" s="2"/>
      <c r="N817" s="2"/>
    </row>
    <row r="818" spans="9:14" x14ac:dyDescent="0.3">
      <c r="I818" s="2"/>
      <c r="J818" s="2"/>
      <c r="K818" s="2"/>
      <c r="L818" s="2"/>
      <c r="M818" s="2"/>
      <c r="N818" s="2"/>
    </row>
    <row r="819" spans="9:14" x14ac:dyDescent="0.3">
      <c r="I819" s="2"/>
      <c r="J819" s="2"/>
      <c r="K819" s="2"/>
      <c r="L819" s="2"/>
      <c r="M819" s="2"/>
      <c r="N819" s="2"/>
    </row>
    <row r="820" spans="9:14" x14ac:dyDescent="0.3">
      <c r="I820" s="2"/>
      <c r="J820" s="2"/>
      <c r="K820" s="2"/>
      <c r="L820" s="2"/>
      <c r="M820" s="2"/>
      <c r="N820" s="2"/>
    </row>
    <row r="821" spans="9:14" x14ac:dyDescent="0.3">
      <c r="I821" s="2"/>
      <c r="J821" s="2"/>
      <c r="K821" s="2"/>
      <c r="L821" s="2"/>
      <c r="M821" s="2"/>
      <c r="N821" s="2"/>
    </row>
    <row r="822" spans="9:14" x14ac:dyDescent="0.3">
      <c r="I822" s="2"/>
      <c r="J822" s="2"/>
      <c r="K822" s="2"/>
      <c r="L822" s="2"/>
      <c r="M822" s="2"/>
      <c r="N822" s="2"/>
    </row>
    <row r="823" spans="9:14" x14ac:dyDescent="0.3">
      <c r="I823" s="2"/>
      <c r="J823" s="2"/>
      <c r="K823" s="2"/>
      <c r="L823" s="2"/>
      <c r="M823" s="2"/>
      <c r="N823" s="2"/>
    </row>
    <row r="824" spans="9:14" x14ac:dyDescent="0.3">
      <c r="I824" s="2"/>
      <c r="J824" s="2"/>
      <c r="K824" s="2"/>
      <c r="L824" s="2"/>
      <c r="M824" s="2"/>
      <c r="N824" s="2"/>
    </row>
    <row r="825" spans="9:14" x14ac:dyDescent="0.3">
      <c r="I825" s="2"/>
      <c r="J825" s="2"/>
      <c r="K825" s="2"/>
      <c r="L825" s="2"/>
      <c r="M825" s="2"/>
      <c r="N825" s="2"/>
    </row>
    <row r="826" spans="9:14" x14ac:dyDescent="0.3">
      <c r="I826" s="2"/>
      <c r="J826" s="2"/>
      <c r="K826" s="2"/>
      <c r="L826" s="2"/>
      <c r="M826" s="2"/>
      <c r="N826" s="2"/>
    </row>
    <row r="827" spans="9:14" x14ac:dyDescent="0.3">
      <c r="I827" s="2"/>
      <c r="J827" s="2"/>
      <c r="K827" s="2"/>
      <c r="L827" s="2"/>
      <c r="M827" s="2"/>
      <c r="N827" s="2"/>
    </row>
    <row r="828" spans="9:14" x14ac:dyDescent="0.3">
      <c r="I828" s="2"/>
      <c r="J828" s="2"/>
      <c r="K828" s="2"/>
      <c r="L828" s="2"/>
      <c r="M828" s="2"/>
      <c r="N828" s="2"/>
    </row>
    <row r="829" spans="9:14" x14ac:dyDescent="0.3">
      <c r="I829" s="2"/>
      <c r="J829" s="2"/>
      <c r="K829" s="2"/>
      <c r="L829" s="2"/>
      <c r="M829" s="2"/>
      <c r="N829" s="2"/>
    </row>
    <row r="830" spans="9:14" x14ac:dyDescent="0.3">
      <c r="I830" s="2"/>
      <c r="J830" s="2"/>
      <c r="K830" s="2"/>
      <c r="L830" s="2"/>
      <c r="M830" s="2"/>
      <c r="N830" s="2"/>
    </row>
    <row r="831" spans="9:14" x14ac:dyDescent="0.3">
      <c r="I831" s="2"/>
      <c r="J831" s="2"/>
      <c r="K831" s="2"/>
      <c r="L831" s="2"/>
      <c r="M831" s="2"/>
      <c r="N831" s="2"/>
    </row>
    <row r="832" spans="9:14" x14ac:dyDescent="0.3">
      <c r="I832" s="2"/>
      <c r="J832" s="2"/>
      <c r="K832" s="2"/>
      <c r="L832" s="2"/>
      <c r="M832" s="2"/>
      <c r="N832" s="2"/>
    </row>
    <row r="833" spans="9:14" x14ac:dyDescent="0.3">
      <c r="I833" s="2"/>
      <c r="J833" s="2"/>
      <c r="K833" s="2"/>
      <c r="L833" s="2"/>
      <c r="M833" s="2"/>
      <c r="N833" s="2"/>
    </row>
    <row r="834" spans="9:14" x14ac:dyDescent="0.3">
      <c r="I834" s="2"/>
      <c r="J834" s="2"/>
      <c r="K834" s="2"/>
      <c r="L834" s="2"/>
      <c r="M834" s="2"/>
      <c r="N834" s="2"/>
    </row>
    <row r="835" spans="9:14" x14ac:dyDescent="0.3">
      <c r="I835" s="2"/>
      <c r="J835" s="2"/>
      <c r="K835" s="2"/>
      <c r="L835" s="2"/>
      <c r="M835" s="2"/>
      <c r="N835" s="2"/>
    </row>
    <row r="836" spans="9:14" x14ac:dyDescent="0.3">
      <c r="I836" s="2"/>
      <c r="J836" s="2"/>
      <c r="K836" s="2"/>
      <c r="L836" s="2"/>
      <c r="M836" s="2"/>
      <c r="N836" s="2"/>
    </row>
    <row r="837" spans="9:14" x14ac:dyDescent="0.3">
      <c r="I837" s="2"/>
      <c r="J837" s="2"/>
      <c r="K837" s="2"/>
      <c r="L837" s="2"/>
      <c r="M837" s="2"/>
      <c r="N837" s="2"/>
    </row>
    <row r="838" spans="9:14" x14ac:dyDescent="0.3">
      <c r="I838" s="2"/>
      <c r="J838" s="2"/>
      <c r="K838" s="2"/>
      <c r="L838" s="2"/>
      <c r="M838" s="2"/>
      <c r="N838" s="2"/>
    </row>
    <row r="839" spans="9:14" x14ac:dyDescent="0.3">
      <c r="I839" s="2"/>
      <c r="J839" s="2"/>
      <c r="K839" s="2"/>
      <c r="L839" s="2"/>
      <c r="M839" s="2"/>
      <c r="N839" s="2"/>
    </row>
    <row r="840" spans="9:14" x14ac:dyDescent="0.3">
      <c r="I840" s="2"/>
      <c r="J840" s="2"/>
      <c r="K840" s="2"/>
      <c r="L840" s="2"/>
      <c r="M840" s="2"/>
      <c r="N840" s="2"/>
    </row>
    <row r="841" spans="9:14" x14ac:dyDescent="0.3">
      <c r="I841" s="2"/>
      <c r="J841" s="2"/>
      <c r="K841" s="2"/>
      <c r="L841" s="2"/>
      <c r="M841" s="2"/>
      <c r="N841" s="2"/>
    </row>
    <row r="842" spans="9:14" x14ac:dyDescent="0.3">
      <c r="I842" s="2"/>
      <c r="J842" s="2"/>
      <c r="K842" s="2"/>
      <c r="L842" s="2"/>
      <c r="M842" s="2"/>
      <c r="N842" s="2"/>
    </row>
    <row r="843" spans="9:14" x14ac:dyDescent="0.3">
      <c r="I843" s="2"/>
      <c r="J843" s="2"/>
      <c r="K843" s="2"/>
      <c r="L843" s="2"/>
      <c r="M843" s="2"/>
      <c r="N843" s="2"/>
    </row>
    <row r="844" spans="9:14" x14ac:dyDescent="0.3">
      <c r="I844" s="2"/>
      <c r="J844" s="2"/>
      <c r="K844" s="2"/>
      <c r="L844" s="2"/>
      <c r="M844" s="2"/>
      <c r="N844" s="2"/>
    </row>
    <row r="845" spans="9:14" x14ac:dyDescent="0.3">
      <c r="I845" s="2"/>
      <c r="J845" s="2"/>
      <c r="K845" s="2"/>
      <c r="L845" s="2"/>
      <c r="M845" s="2"/>
      <c r="N845" s="2"/>
    </row>
    <row r="846" spans="9:14" x14ac:dyDescent="0.3">
      <c r="I846" s="2"/>
      <c r="J846" s="2"/>
      <c r="K846" s="2"/>
      <c r="L846" s="2"/>
      <c r="M846" s="2"/>
      <c r="N846" s="2"/>
    </row>
    <row r="847" spans="9:14" x14ac:dyDescent="0.3">
      <c r="I847" s="2"/>
      <c r="J847" s="2"/>
      <c r="K847" s="2"/>
      <c r="L847" s="2"/>
      <c r="M847" s="2"/>
      <c r="N847" s="2"/>
    </row>
    <row r="848" spans="9:14" x14ac:dyDescent="0.3">
      <c r="I848" s="2"/>
      <c r="J848" s="2"/>
      <c r="K848" s="2"/>
      <c r="L848" s="2"/>
      <c r="M848" s="2"/>
      <c r="N848" s="2"/>
    </row>
    <row r="849" spans="9:14" x14ac:dyDescent="0.3">
      <c r="I849" s="2"/>
      <c r="J849" s="2"/>
      <c r="K849" s="2"/>
      <c r="L849" s="2"/>
      <c r="M849" s="2"/>
      <c r="N849" s="2"/>
    </row>
    <row r="850" spans="9:14" x14ac:dyDescent="0.3">
      <c r="I850" s="2"/>
      <c r="J850" s="2"/>
      <c r="K850" s="2"/>
      <c r="L850" s="2"/>
      <c r="M850" s="2"/>
      <c r="N850" s="2"/>
    </row>
    <row r="851" spans="9:14" x14ac:dyDescent="0.3">
      <c r="I851" s="2"/>
      <c r="J851" s="2"/>
      <c r="K851" s="2"/>
      <c r="L851" s="2"/>
      <c r="M851" s="2"/>
      <c r="N851" s="2"/>
    </row>
    <row r="852" spans="9:14" x14ac:dyDescent="0.3">
      <c r="I852" s="2"/>
      <c r="J852" s="2"/>
      <c r="K852" s="2"/>
      <c r="L852" s="2"/>
      <c r="M852" s="2"/>
      <c r="N852" s="2"/>
    </row>
    <row r="853" spans="9:14" x14ac:dyDescent="0.3">
      <c r="I853" s="2"/>
      <c r="J853" s="2"/>
      <c r="K853" s="2"/>
      <c r="L853" s="2"/>
      <c r="M853" s="2"/>
      <c r="N853" s="2"/>
    </row>
    <row r="854" spans="9:14" x14ac:dyDescent="0.3">
      <c r="I854" s="2"/>
      <c r="J854" s="2"/>
      <c r="K854" s="2"/>
      <c r="L854" s="2"/>
      <c r="M854" s="2"/>
      <c r="N854" s="2"/>
    </row>
    <row r="855" spans="9:14" x14ac:dyDescent="0.3">
      <c r="I855" s="2"/>
      <c r="J855" s="2"/>
      <c r="K855" s="2"/>
      <c r="L855" s="2"/>
      <c r="M855" s="2"/>
      <c r="N855" s="2"/>
    </row>
    <row r="856" spans="9:14" x14ac:dyDescent="0.3">
      <c r="I856" s="2"/>
      <c r="J856" s="2"/>
      <c r="K856" s="2"/>
      <c r="L856" s="2"/>
      <c r="M856" s="2"/>
      <c r="N856" s="2"/>
    </row>
    <row r="857" spans="9:14" x14ac:dyDescent="0.3">
      <c r="I857" s="2"/>
      <c r="J857" s="2"/>
      <c r="K857" s="2"/>
      <c r="L857" s="2"/>
      <c r="M857" s="2"/>
      <c r="N857" s="2"/>
    </row>
    <row r="858" spans="9:14" x14ac:dyDescent="0.3">
      <c r="I858" s="2"/>
      <c r="J858" s="2"/>
      <c r="K858" s="2"/>
      <c r="L858" s="2"/>
      <c r="M858" s="2"/>
      <c r="N858" s="2"/>
    </row>
    <row r="859" spans="9:14" x14ac:dyDescent="0.3">
      <c r="I859" s="2"/>
      <c r="J859" s="2"/>
      <c r="K859" s="2"/>
      <c r="L859" s="2"/>
      <c r="M859" s="2"/>
      <c r="N859" s="2"/>
    </row>
    <row r="860" spans="9:14" x14ac:dyDescent="0.3">
      <c r="I860" s="2"/>
      <c r="J860" s="2"/>
      <c r="K860" s="2"/>
      <c r="L860" s="2"/>
      <c r="M860" s="2"/>
      <c r="N860" s="2"/>
    </row>
    <row r="861" spans="9:14" x14ac:dyDescent="0.3">
      <c r="I861" s="2"/>
      <c r="J861" s="2"/>
      <c r="K861" s="2"/>
      <c r="L861" s="2"/>
      <c r="M861" s="2"/>
      <c r="N861" s="2"/>
    </row>
    <row r="862" spans="9:14" x14ac:dyDescent="0.3">
      <c r="I862" s="2"/>
      <c r="J862" s="2"/>
      <c r="K862" s="2"/>
      <c r="L862" s="2"/>
      <c r="M862" s="2"/>
      <c r="N862" s="2"/>
    </row>
    <row r="863" spans="9:14" x14ac:dyDescent="0.3">
      <c r="I863" s="2"/>
      <c r="J863" s="2"/>
      <c r="K863" s="2"/>
      <c r="L863" s="2"/>
      <c r="M863" s="2"/>
      <c r="N863" s="2"/>
    </row>
    <row r="864" spans="9:14" x14ac:dyDescent="0.3">
      <c r="I864" s="2"/>
      <c r="J864" s="2"/>
      <c r="K864" s="2"/>
      <c r="L864" s="2"/>
      <c r="M864" s="2"/>
      <c r="N864" s="2"/>
    </row>
    <row r="865" spans="9:14" x14ac:dyDescent="0.3">
      <c r="I865" s="2"/>
      <c r="J865" s="2"/>
      <c r="K865" s="2"/>
      <c r="L865" s="2"/>
      <c r="M865" s="2"/>
      <c r="N865" s="2"/>
    </row>
    <row r="866" spans="9:14" x14ac:dyDescent="0.3">
      <c r="I866" s="2"/>
      <c r="J866" s="2"/>
      <c r="K866" s="2"/>
      <c r="L866" s="2"/>
      <c r="M866" s="2"/>
      <c r="N866" s="2"/>
    </row>
    <row r="867" spans="9:14" x14ac:dyDescent="0.3">
      <c r="I867" s="2"/>
      <c r="J867" s="2"/>
      <c r="K867" s="2"/>
      <c r="L867" s="2"/>
      <c r="M867" s="2"/>
      <c r="N867" s="2"/>
    </row>
    <row r="868" spans="9:14" x14ac:dyDescent="0.3">
      <c r="I868" s="2"/>
      <c r="J868" s="2"/>
      <c r="K868" s="2"/>
      <c r="L868" s="2"/>
      <c r="M868" s="2"/>
      <c r="N868" s="2"/>
    </row>
    <row r="869" spans="9:14" x14ac:dyDescent="0.3">
      <c r="I869" s="2"/>
      <c r="J869" s="2"/>
      <c r="K869" s="2"/>
      <c r="L869" s="2"/>
      <c r="M869" s="2"/>
      <c r="N869" s="2"/>
    </row>
    <row r="870" spans="9:14" x14ac:dyDescent="0.3">
      <c r="I870" s="2"/>
      <c r="J870" s="2"/>
      <c r="K870" s="2"/>
      <c r="L870" s="2"/>
      <c r="M870" s="2"/>
      <c r="N870" s="2"/>
    </row>
    <row r="871" spans="9:14" x14ac:dyDescent="0.3">
      <c r="I871" s="2"/>
      <c r="J871" s="2"/>
      <c r="K871" s="2"/>
      <c r="L871" s="2"/>
      <c r="M871" s="2"/>
      <c r="N871" s="2"/>
    </row>
    <row r="872" spans="9:14" x14ac:dyDescent="0.3">
      <c r="I872" s="2"/>
      <c r="J872" s="2"/>
      <c r="K872" s="2"/>
      <c r="L872" s="2"/>
      <c r="M872" s="2"/>
      <c r="N872" s="2"/>
    </row>
    <row r="873" spans="9:14" x14ac:dyDescent="0.3">
      <c r="I873" s="2"/>
      <c r="J873" s="2"/>
      <c r="K873" s="2"/>
      <c r="L873" s="2"/>
      <c r="M873" s="2"/>
      <c r="N873" s="2"/>
    </row>
    <row r="874" spans="9:14" x14ac:dyDescent="0.3">
      <c r="I874" s="2"/>
      <c r="J874" s="2"/>
      <c r="K874" s="2"/>
      <c r="L874" s="2"/>
      <c r="M874" s="2"/>
      <c r="N874" s="2"/>
    </row>
    <row r="875" spans="9:14" x14ac:dyDescent="0.3">
      <c r="I875" s="2"/>
      <c r="J875" s="2"/>
      <c r="K875" s="2"/>
      <c r="L875" s="2"/>
      <c r="M875" s="2"/>
      <c r="N875" s="2"/>
    </row>
    <row r="876" spans="9:14" x14ac:dyDescent="0.3">
      <c r="I876" s="2"/>
      <c r="J876" s="2"/>
      <c r="K876" s="2"/>
      <c r="L876" s="2"/>
      <c r="M876" s="2"/>
      <c r="N876" s="2"/>
    </row>
    <row r="877" spans="9:14" x14ac:dyDescent="0.3">
      <c r="I877" s="2"/>
      <c r="J877" s="2"/>
      <c r="K877" s="2"/>
      <c r="L877" s="2"/>
      <c r="M877" s="2"/>
      <c r="N877" s="2"/>
    </row>
    <row r="878" spans="9:14" x14ac:dyDescent="0.3">
      <c r="I878" s="2"/>
      <c r="J878" s="2"/>
      <c r="K878" s="2"/>
      <c r="L878" s="2"/>
      <c r="M878" s="2"/>
      <c r="N878" s="2"/>
    </row>
    <row r="879" spans="9:14" x14ac:dyDescent="0.3">
      <c r="I879" s="2"/>
      <c r="J879" s="2"/>
      <c r="K879" s="2"/>
      <c r="L879" s="2"/>
      <c r="M879" s="2"/>
      <c r="N879" s="2"/>
    </row>
    <row r="880" spans="9:14" x14ac:dyDescent="0.3">
      <c r="I880" s="2"/>
      <c r="J880" s="2"/>
      <c r="K880" s="2"/>
      <c r="L880" s="2"/>
      <c r="M880" s="2"/>
      <c r="N880" s="2"/>
    </row>
    <row r="881" spans="9:14" x14ac:dyDescent="0.3">
      <c r="I881" s="2"/>
      <c r="J881" s="2"/>
      <c r="K881" s="2"/>
      <c r="L881" s="2"/>
      <c r="M881" s="2"/>
      <c r="N881" s="2"/>
    </row>
    <row r="882" spans="9:14" x14ac:dyDescent="0.3">
      <c r="I882" s="2"/>
      <c r="J882" s="2"/>
      <c r="K882" s="2"/>
      <c r="L882" s="2"/>
      <c r="M882" s="2"/>
      <c r="N882" s="2"/>
    </row>
    <row r="883" spans="9:14" x14ac:dyDescent="0.3">
      <c r="I883" s="2"/>
      <c r="J883" s="2"/>
      <c r="K883" s="2"/>
      <c r="L883" s="2"/>
      <c r="M883" s="2"/>
      <c r="N883" s="2"/>
    </row>
    <row r="884" spans="9:14" x14ac:dyDescent="0.3">
      <c r="I884" s="2"/>
      <c r="J884" s="2"/>
      <c r="K884" s="2"/>
      <c r="L884" s="2"/>
      <c r="M884" s="2"/>
      <c r="N884" s="2"/>
    </row>
    <row r="885" spans="9:14" x14ac:dyDescent="0.3">
      <c r="I885" s="2"/>
      <c r="J885" s="2"/>
      <c r="K885" s="2"/>
      <c r="L885" s="2"/>
      <c r="M885" s="2"/>
      <c r="N885" s="2"/>
    </row>
    <row r="886" spans="9:14" x14ac:dyDescent="0.3">
      <c r="I886" s="2"/>
      <c r="J886" s="2"/>
      <c r="K886" s="2"/>
      <c r="L886" s="2"/>
      <c r="M886" s="2"/>
      <c r="N886" s="2"/>
    </row>
    <row r="887" spans="9:14" x14ac:dyDescent="0.3">
      <c r="I887" s="2"/>
      <c r="J887" s="2"/>
      <c r="K887" s="2"/>
      <c r="L887" s="2"/>
      <c r="M887" s="2"/>
      <c r="N887" s="2"/>
    </row>
    <row r="888" spans="9:14" x14ac:dyDescent="0.3">
      <c r="I888" s="2"/>
      <c r="J888" s="2"/>
      <c r="K888" s="2"/>
      <c r="L888" s="2"/>
      <c r="M888" s="2"/>
      <c r="N888" s="2"/>
    </row>
    <row r="889" spans="9:14" x14ac:dyDescent="0.3">
      <c r="I889" s="2"/>
      <c r="J889" s="2"/>
      <c r="K889" s="2"/>
      <c r="L889" s="2"/>
      <c r="M889" s="2"/>
      <c r="N889" s="2"/>
    </row>
    <row r="890" spans="9:14" x14ac:dyDescent="0.3">
      <c r="I890" s="2"/>
      <c r="J890" s="2"/>
      <c r="K890" s="2"/>
      <c r="L890" s="2"/>
      <c r="M890" s="2"/>
      <c r="N890" s="2"/>
    </row>
    <row r="891" spans="9:14" x14ac:dyDescent="0.3">
      <c r="I891" s="2"/>
      <c r="J891" s="2"/>
      <c r="K891" s="2"/>
      <c r="L891" s="2"/>
      <c r="M891" s="2"/>
      <c r="N891" s="2"/>
    </row>
    <row r="892" spans="9:14" x14ac:dyDescent="0.3">
      <c r="I892" s="2"/>
      <c r="J892" s="2"/>
      <c r="K892" s="2"/>
      <c r="L892" s="2"/>
      <c r="M892" s="2"/>
      <c r="N892" s="2"/>
    </row>
    <row r="893" spans="9:14" x14ac:dyDescent="0.3">
      <c r="I893" s="2"/>
      <c r="J893" s="2"/>
      <c r="K893" s="2"/>
      <c r="L893" s="2"/>
      <c r="M893" s="2"/>
      <c r="N893" s="2"/>
    </row>
    <row r="894" spans="9:14" x14ac:dyDescent="0.3">
      <c r="I894" s="2"/>
      <c r="J894" s="2"/>
      <c r="K894" s="2"/>
      <c r="L894" s="2"/>
      <c r="M894" s="2"/>
      <c r="N894" s="2"/>
    </row>
    <row r="895" spans="9:14" x14ac:dyDescent="0.3">
      <c r="I895" s="2"/>
      <c r="J895" s="2"/>
      <c r="K895" s="2"/>
      <c r="L895" s="2"/>
      <c r="M895" s="2"/>
      <c r="N895" s="2"/>
    </row>
    <row r="896" spans="9:14" x14ac:dyDescent="0.3">
      <c r="I896" s="2"/>
      <c r="J896" s="2"/>
      <c r="K896" s="2"/>
      <c r="L896" s="2"/>
      <c r="M896" s="2"/>
      <c r="N896" s="2"/>
    </row>
    <row r="897" spans="9:14" x14ac:dyDescent="0.3">
      <c r="I897" s="2"/>
      <c r="J897" s="2"/>
      <c r="K897" s="2"/>
      <c r="L897" s="2"/>
      <c r="M897" s="2"/>
      <c r="N897" s="2"/>
    </row>
    <row r="898" spans="9:14" x14ac:dyDescent="0.3">
      <c r="I898" s="2"/>
      <c r="J898" s="2"/>
      <c r="K898" s="2"/>
      <c r="L898" s="2"/>
      <c r="M898" s="2"/>
      <c r="N898" s="2"/>
    </row>
    <row r="899" spans="9:14" x14ac:dyDescent="0.3">
      <c r="I899" s="2"/>
      <c r="J899" s="2"/>
      <c r="K899" s="2"/>
      <c r="L899" s="2"/>
      <c r="M899" s="2"/>
      <c r="N899" s="2"/>
    </row>
    <row r="900" spans="9:14" x14ac:dyDescent="0.3">
      <c r="I900" s="2"/>
      <c r="J900" s="2"/>
      <c r="K900" s="2"/>
      <c r="L900" s="2"/>
      <c r="M900" s="2"/>
      <c r="N900" s="2"/>
    </row>
    <row r="901" spans="9:14" x14ac:dyDescent="0.3">
      <c r="I901" s="2"/>
      <c r="J901" s="2"/>
      <c r="K901" s="2"/>
      <c r="L901" s="2"/>
      <c r="M901" s="2"/>
      <c r="N901" s="2"/>
    </row>
    <row r="902" spans="9:14" x14ac:dyDescent="0.3">
      <c r="I902" s="2"/>
      <c r="J902" s="2"/>
      <c r="K902" s="2"/>
      <c r="L902" s="2"/>
      <c r="M902" s="2"/>
      <c r="N902" s="2"/>
    </row>
    <row r="903" spans="9:14" x14ac:dyDescent="0.3">
      <c r="I903" s="2"/>
      <c r="J903" s="2"/>
      <c r="K903" s="2"/>
      <c r="L903" s="2"/>
      <c r="M903" s="2"/>
      <c r="N903" s="2"/>
    </row>
    <row r="904" spans="9:14" x14ac:dyDescent="0.3">
      <c r="I904" s="2"/>
      <c r="J904" s="2"/>
      <c r="K904" s="2"/>
      <c r="L904" s="2"/>
      <c r="M904" s="2"/>
      <c r="N904" s="2"/>
    </row>
    <row r="905" spans="9:14" x14ac:dyDescent="0.3">
      <c r="I905" s="2"/>
      <c r="J905" s="2"/>
      <c r="K905" s="2"/>
      <c r="L905" s="2"/>
      <c r="M905" s="2"/>
      <c r="N905" s="2"/>
    </row>
    <row r="906" spans="9:14" x14ac:dyDescent="0.3">
      <c r="I906" s="2"/>
      <c r="J906" s="2"/>
      <c r="K906" s="2"/>
      <c r="L906" s="2"/>
      <c r="M906" s="2"/>
      <c r="N906" s="2"/>
    </row>
    <row r="907" spans="9:14" x14ac:dyDescent="0.3">
      <c r="I907" s="2"/>
      <c r="J907" s="2"/>
      <c r="K907" s="2"/>
      <c r="L907" s="2"/>
      <c r="M907" s="2"/>
      <c r="N907" s="2"/>
    </row>
    <row r="908" spans="9:14" x14ac:dyDescent="0.3">
      <c r="I908" s="2"/>
      <c r="J908" s="2"/>
      <c r="K908" s="2"/>
      <c r="L908" s="2"/>
      <c r="M908" s="2"/>
      <c r="N908" s="2"/>
    </row>
    <row r="909" spans="9:14" x14ac:dyDescent="0.3">
      <c r="I909" s="2"/>
      <c r="J909" s="2"/>
      <c r="K909" s="2"/>
      <c r="L909" s="2"/>
      <c r="M909" s="2"/>
      <c r="N909" s="2"/>
    </row>
    <row r="910" spans="9:14" x14ac:dyDescent="0.3">
      <c r="I910" s="2"/>
      <c r="J910" s="2"/>
      <c r="K910" s="2"/>
      <c r="L910" s="2"/>
      <c r="M910" s="2"/>
      <c r="N910" s="2"/>
    </row>
    <row r="911" spans="9:14" x14ac:dyDescent="0.3">
      <c r="I911" s="2"/>
      <c r="J911" s="2"/>
      <c r="K911" s="2"/>
      <c r="L911" s="2"/>
      <c r="M911" s="2"/>
      <c r="N911" s="2"/>
    </row>
    <row r="912" spans="9:14" x14ac:dyDescent="0.3">
      <c r="I912" s="2"/>
      <c r="J912" s="2"/>
      <c r="K912" s="2"/>
      <c r="L912" s="2"/>
      <c r="M912" s="2"/>
      <c r="N912" s="2"/>
    </row>
    <row r="913" spans="9:14" x14ac:dyDescent="0.3">
      <c r="I913" s="2"/>
      <c r="J913" s="2"/>
      <c r="K913" s="2"/>
      <c r="L913" s="2"/>
      <c r="M913" s="2"/>
      <c r="N913" s="2"/>
    </row>
    <row r="914" spans="9:14" x14ac:dyDescent="0.3">
      <c r="I914" s="2"/>
      <c r="J914" s="2"/>
      <c r="K914" s="2"/>
      <c r="L914" s="2"/>
      <c r="M914" s="2"/>
      <c r="N914" s="2"/>
    </row>
    <row r="915" spans="9:14" x14ac:dyDescent="0.3">
      <c r="I915" s="2"/>
      <c r="J915" s="2"/>
      <c r="K915" s="2"/>
      <c r="L915" s="2"/>
      <c r="M915" s="2"/>
      <c r="N915" s="2"/>
    </row>
    <row r="916" spans="9:14" x14ac:dyDescent="0.3">
      <c r="I916" s="2"/>
      <c r="J916" s="2"/>
      <c r="K916" s="2"/>
      <c r="L916" s="2"/>
      <c r="M916" s="2"/>
      <c r="N916" s="2"/>
    </row>
    <row r="917" spans="9:14" x14ac:dyDescent="0.3">
      <c r="I917" s="2"/>
      <c r="J917" s="2"/>
      <c r="K917" s="2"/>
      <c r="L917" s="2"/>
      <c r="M917" s="2"/>
      <c r="N917" s="2"/>
    </row>
    <row r="918" spans="9:14" x14ac:dyDescent="0.3">
      <c r="I918" s="2"/>
      <c r="J918" s="2"/>
      <c r="K918" s="2"/>
      <c r="L918" s="2"/>
      <c r="M918" s="2"/>
      <c r="N918" s="2"/>
    </row>
    <row r="919" spans="9:14" x14ac:dyDescent="0.3">
      <c r="I919" s="2"/>
      <c r="J919" s="2"/>
      <c r="K919" s="2"/>
      <c r="L919" s="2"/>
      <c r="M919" s="2"/>
      <c r="N919" s="2"/>
    </row>
    <row r="920" spans="9:14" x14ac:dyDescent="0.3">
      <c r="I920" s="2"/>
      <c r="J920" s="2"/>
      <c r="K920" s="2"/>
      <c r="L920" s="2"/>
      <c r="M920" s="2"/>
      <c r="N920" s="2"/>
    </row>
    <row r="921" spans="9:14" x14ac:dyDescent="0.3">
      <c r="I921" s="2"/>
      <c r="J921" s="2"/>
      <c r="K921" s="2"/>
      <c r="L921" s="2"/>
      <c r="M921" s="2"/>
      <c r="N921" s="2"/>
    </row>
    <row r="922" spans="9:14" x14ac:dyDescent="0.3">
      <c r="I922" s="2"/>
      <c r="J922" s="2"/>
      <c r="K922" s="2"/>
      <c r="L922" s="2"/>
      <c r="M922" s="2"/>
      <c r="N922" s="2"/>
    </row>
    <row r="923" spans="9:14" x14ac:dyDescent="0.3">
      <c r="I923" s="2"/>
      <c r="J923" s="2"/>
      <c r="K923" s="2"/>
      <c r="L923" s="2"/>
      <c r="M923" s="2"/>
      <c r="N923" s="2"/>
    </row>
    <row r="924" spans="9:14" x14ac:dyDescent="0.3">
      <c r="I924" s="2"/>
      <c r="J924" s="2"/>
      <c r="K924" s="2"/>
      <c r="L924" s="2"/>
      <c r="M924" s="2"/>
      <c r="N924" s="2"/>
    </row>
    <row r="925" spans="9:14" x14ac:dyDescent="0.3">
      <c r="I925" s="2"/>
      <c r="J925" s="2"/>
      <c r="K925" s="2"/>
      <c r="L925" s="2"/>
      <c r="M925" s="2"/>
      <c r="N925" s="2"/>
    </row>
    <row r="926" spans="9:14" x14ac:dyDescent="0.3">
      <c r="I926" s="2"/>
      <c r="J926" s="2"/>
      <c r="K926" s="2"/>
      <c r="L926" s="2"/>
      <c r="M926" s="2"/>
      <c r="N926" s="2"/>
    </row>
    <row r="927" spans="9:14" x14ac:dyDescent="0.3">
      <c r="I927" s="2"/>
      <c r="J927" s="2"/>
      <c r="K927" s="2"/>
      <c r="L927" s="2"/>
      <c r="M927" s="2"/>
      <c r="N927" s="2"/>
    </row>
    <row r="928" spans="9:14" x14ac:dyDescent="0.3">
      <c r="I928" s="2"/>
      <c r="J928" s="2"/>
      <c r="K928" s="2"/>
      <c r="L928" s="2"/>
      <c r="M928" s="2"/>
      <c r="N928" s="2"/>
    </row>
    <row r="929" spans="9:14" x14ac:dyDescent="0.3">
      <c r="I929" s="2"/>
      <c r="J929" s="2"/>
      <c r="K929" s="2"/>
      <c r="L929" s="2"/>
      <c r="M929" s="2"/>
      <c r="N929" s="2"/>
    </row>
    <row r="930" spans="9:14" x14ac:dyDescent="0.3">
      <c r="I930" s="2"/>
      <c r="J930" s="2"/>
      <c r="K930" s="2"/>
      <c r="L930" s="2"/>
      <c r="M930" s="2"/>
      <c r="N930" s="2"/>
    </row>
    <row r="931" spans="9:14" x14ac:dyDescent="0.3">
      <c r="I931" s="2"/>
      <c r="J931" s="2"/>
      <c r="K931" s="2"/>
      <c r="L931" s="2"/>
      <c r="M931" s="2"/>
      <c r="N931" s="2"/>
    </row>
    <row r="932" spans="9:14" x14ac:dyDescent="0.3">
      <c r="I932" s="2"/>
      <c r="J932" s="2"/>
      <c r="K932" s="2"/>
      <c r="L932" s="2"/>
      <c r="M932" s="2"/>
      <c r="N932" s="2"/>
    </row>
    <row r="933" spans="9:14" x14ac:dyDescent="0.3">
      <c r="I933" s="2"/>
      <c r="J933" s="2"/>
      <c r="K933" s="2"/>
      <c r="L933" s="2"/>
      <c r="M933" s="2"/>
      <c r="N933" s="2"/>
    </row>
    <row r="934" spans="9:14" x14ac:dyDescent="0.3">
      <c r="I934" s="2"/>
      <c r="J934" s="2"/>
      <c r="K934" s="2"/>
      <c r="L934" s="2"/>
      <c r="M934" s="2"/>
      <c r="N934" s="2"/>
    </row>
    <row r="935" spans="9:14" x14ac:dyDescent="0.3">
      <c r="I935" s="2"/>
      <c r="J935" s="2"/>
      <c r="K935" s="2"/>
      <c r="L935" s="2"/>
      <c r="M935" s="2"/>
      <c r="N935" s="2"/>
    </row>
    <row r="936" spans="9:14" x14ac:dyDescent="0.3">
      <c r="I936" s="2"/>
      <c r="J936" s="2"/>
      <c r="K936" s="2"/>
      <c r="L936" s="2"/>
      <c r="M936" s="2"/>
      <c r="N936" s="2"/>
    </row>
    <row r="937" spans="9:14" x14ac:dyDescent="0.3">
      <c r="I937" s="2"/>
      <c r="J937" s="2"/>
      <c r="K937" s="2"/>
      <c r="L937" s="2"/>
      <c r="M937" s="2"/>
      <c r="N937" s="2"/>
    </row>
    <row r="938" spans="9:14" x14ac:dyDescent="0.3">
      <c r="I938" s="2"/>
      <c r="J938" s="2"/>
      <c r="K938" s="2"/>
      <c r="L938" s="2"/>
      <c r="M938" s="2"/>
      <c r="N938" s="2"/>
    </row>
    <row r="939" spans="9:14" x14ac:dyDescent="0.3">
      <c r="I939" s="2"/>
      <c r="J939" s="2"/>
      <c r="K939" s="2"/>
      <c r="L939" s="2"/>
      <c r="M939" s="2"/>
      <c r="N939" s="2"/>
    </row>
    <row r="940" spans="9:14" x14ac:dyDescent="0.3">
      <c r="I940" s="2"/>
      <c r="J940" s="2"/>
      <c r="K940" s="2"/>
      <c r="L940" s="2"/>
      <c r="M940" s="2"/>
      <c r="N940" s="2"/>
    </row>
    <row r="941" spans="9:14" x14ac:dyDescent="0.3">
      <c r="I941" s="2"/>
      <c r="J941" s="2"/>
      <c r="K941" s="2"/>
      <c r="L941" s="2"/>
      <c r="M941" s="2"/>
      <c r="N941" s="2"/>
    </row>
    <row r="942" spans="9:14" x14ac:dyDescent="0.3">
      <c r="I942" s="2"/>
      <c r="J942" s="2"/>
      <c r="K942" s="2"/>
      <c r="L942" s="2"/>
      <c r="M942" s="2"/>
      <c r="N942" s="2"/>
    </row>
    <row r="943" spans="9:14" x14ac:dyDescent="0.3">
      <c r="I943" s="2"/>
      <c r="J943" s="2"/>
      <c r="K943" s="2"/>
      <c r="L943" s="2"/>
      <c r="M943" s="2"/>
      <c r="N943" s="2"/>
    </row>
    <row r="944" spans="9:14" x14ac:dyDescent="0.3">
      <c r="I944" s="2"/>
      <c r="J944" s="2"/>
      <c r="K944" s="2"/>
      <c r="L944" s="2"/>
      <c r="M944" s="2"/>
      <c r="N944" s="2"/>
    </row>
    <row r="945" spans="9:14" x14ac:dyDescent="0.3">
      <c r="I945" s="2"/>
      <c r="J945" s="2"/>
      <c r="K945" s="2"/>
      <c r="L945" s="2"/>
      <c r="M945" s="2"/>
      <c r="N945" s="2"/>
    </row>
    <row r="946" spans="9:14" x14ac:dyDescent="0.3">
      <c r="I946" s="2"/>
      <c r="J946" s="2"/>
      <c r="K946" s="2"/>
      <c r="L946" s="2"/>
      <c r="M946" s="2"/>
      <c r="N946" s="2"/>
    </row>
    <row r="947" spans="9:14" x14ac:dyDescent="0.3">
      <c r="I947" s="2"/>
      <c r="J947" s="2"/>
      <c r="K947" s="2"/>
      <c r="L947" s="2"/>
      <c r="M947" s="2"/>
      <c r="N947" s="2"/>
    </row>
    <row r="948" spans="9:14" x14ac:dyDescent="0.3">
      <c r="I948" s="2"/>
      <c r="J948" s="2"/>
      <c r="K948" s="2"/>
      <c r="L948" s="2"/>
      <c r="M948" s="2"/>
      <c r="N948" s="2"/>
    </row>
    <row r="949" spans="9:14" x14ac:dyDescent="0.3">
      <c r="I949" s="2"/>
      <c r="J949" s="2"/>
      <c r="K949" s="2"/>
      <c r="L949" s="2"/>
      <c r="M949" s="2"/>
      <c r="N949" s="2"/>
    </row>
    <row r="950" spans="9:14" x14ac:dyDescent="0.3">
      <c r="I950" s="2"/>
      <c r="J950" s="2"/>
      <c r="K950" s="2"/>
      <c r="L950" s="2"/>
      <c r="M950" s="2"/>
      <c r="N950" s="2"/>
    </row>
    <row r="951" spans="9:14" x14ac:dyDescent="0.3">
      <c r="I951" s="2"/>
      <c r="J951" s="2"/>
      <c r="K951" s="2"/>
      <c r="L951" s="2"/>
      <c r="M951" s="2"/>
      <c r="N951" s="2"/>
    </row>
    <row r="952" spans="9:14" x14ac:dyDescent="0.3">
      <c r="I952" s="2"/>
      <c r="J952" s="2"/>
      <c r="K952" s="2"/>
      <c r="L952" s="2"/>
      <c r="M952" s="2"/>
      <c r="N952" s="2"/>
    </row>
    <row r="953" spans="9:14" x14ac:dyDescent="0.3">
      <c r="I953" s="2"/>
      <c r="J953" s="2"/>
      <c r="K953" s="2"/>
      <c r="L953" s="2"/>
      <c r="M953" s="2"/>
      <c r="N953" s="2"/>
    </row>
    <row r="954" spans="9:14" x14ac:dyDescent="0.3">
      <c r="I954" s="2"/>
      <c r="J954" s="2"/>
      <c r="K954" s="2"/>
      <c r="L954" s="2"/>
      <c r="M954" s="2"/>
      <c r="N954" s="2"/>
    </row>
    <row r="955" spans="9:14" x14ac:dyDescent="0.3">
      <c r="I955" s="2"/>
      <c r="J955" s="2"/>
      <c r="K955" s="2"/>
      <c r="L955" s="2"/>
      <c r="M955" s="2"/>
      <c r="N955" s="2"/>
    </row>
    <row r="956" spans="9:14" x14ac:dyDescent="0.3">
      <c r="I956" s="2"/>
      <c r="J956" s="2"/>
      <c r="K956" s="2"/>
      <c r="L956" s="2"/>
      <c r="M956" s="2"/>
      <c r="N956" s="2"/>
    </row>
    <row r="957" spans="9:14" x14ac:dyDescent="0.3">
      <c r="I957" s="2"/>
      <c r="J957" s="2"/>
      <c r="K957" s="2"/>
      <c r="L957" s="2"/>
      <c r="M957" s="2"/>
      <c r="N957" s="2"/>
    </row>
    <row r="958" spans="9:14" x14ac:dyDescent="0.3">
      <c r="I958" s="2"/>
      <c r="J958" s="2"/>
      <c r="K958" s="2"/>
      <c r="L958" s="2"/>
      <c r="M958" s="2"/>
      <c r="N958" s="2"/>
    </row>
    <row r="959" spans="9:14" x14ac:dyDescent="0.3">
      <c r="I959" s="2"/>
      <c r="J959" s="2"/>
      <c r="K959" s="2"/>
      <c r="L959" s="2"/>
      <c r="M959" s="2"/>
      <c r="N959" s="2"/>
    </row>
    <row r="960" spans="9:14" x14ac:dyDescent="0.3">
      <c r="I960" s="2"/>
      <c r="J960" s="2"/>
      <c r="K960" s="2"/>
      <c r="L960" s="2"/>
      <c r="M960" s="2"/>
      <c r="N960" s="2"/>
    </row>
    <row r="961" spans="9:14" x14ac:dyDescent="0.3">
      <c r="I961" s="2"/>
      <c r="J961" s="2"/>
      <c r="K961" s="2"/>
      <c r="L961" s="2"/>
      <c r="M961" s="2"/>
      <c r="N961" s="2"/>
    </row>
    <row r="962" spans="9:14" x14ac:dyDescent="0.3">
      <c r="I962" s="2"/>
      <c r="J962" s="2"/>
      <c r="K962" s="2"/>
      <c r="L962" s="2"/>
      <c r="M962" s="2"/>
      <c r="N962" s="2"/>
    </row>
    <row r="963" spans="9:14" x14ac:dyDescent="0.3">
      <c r="I963" s="2"/>
      <c r="J963" s="2"/>
      <c r="K963" s="2"/>
      <c r="L963" s="2"/>
      <c r="M963" s="2"/>
      <c r="N963" s="2"/>
    </row>
    <row r="964" spans="9:14" x14ac:dyDescent="0.3">
      <c r="I964" s="2"/>
      <c r="J964" s="2"/>
      <c r="K964" s="2"/>
      <c r="L964" s="2"/>
      <c r="M964" s="2"/>
      <c r="N964" s="2"/>
    </row>
    <row r="965" spans="9:14" x14ac:dyDescent="0.3">
      <c r="I965" s="2"/>
      <c r="J965" s="2"/>
      <c r="K965" s="2"/>
      <c r="L965" s="2"/>
      <c r="M965" s="2"/>
      <c r="N965" s="2"/>
    </row>
    <row r="966" spans="9:14" x14ac:dyDescent="0.3">
      <c r="I966" s="2"/>
      <c r="J966" s="2"/>
      <c r="K966" s="2"/>
      <c r="L966" s="2"/>
      <c r="M966" s="2"/>
      <c r="N966" s="2"/>
    </row>
    <row r="967" spans="9:14" x14ac:dyDescent="0.3">
      <c r="I967" s="2"/>
      <c r="J967" s="2"/>
      <c r="K967" s="2"/>
      <c r="L967" s="2"/>
      <c r="M967" s="2"/>
      <c r="N967" s="2"/>
    </row>
    <row r="968" spans="9:14" x14ac:dyDescent="0.3">
      <c r="I968" s="2"/>
      <c r="J968" s="2"/>
      <c r="K968" s="2"/>
      <c r="L968" s="2"/>
      <c r="M968" s="2"/>
      <c r="N968" s="2"/>
    </row>
    <row r="969" spans="9:14" x14ac:dyDescent="0.3">
      <c r="I969" s="2"/>
      <c r="J969" s="2"/>
      <c r="K969" s="2"/>
      <c r="L969" s="2"/>
      <c r="M969" s="2"/>
      <c r="N969" s="2"/>
    </row>
    <row r="970" spans="9:14" x14ac:dyDescent="0.3">
      <c r="I970" s="2"/>
      <c r="J970" s="2"/>
      <c r="K970" s="2"/>
      <c r="L970" s="2"/>
      <c r="M970" s="2"/>
      <c r="N970" s="2"/>
    </row>
    <row r="971" spans="9:14" x14ac:dyDescent="0.3">
      <c r="I971" s="2"/>
      <c r="J971" s="2"/>
      <c r="K971" s="2"/>
      <c r="L971" s="2"/>
      <c r="M971" s="2"/>
      <c r="N971" s="2"/>
    </row>
    <row r="972" spans="9:14" x14ac:dyDescent="0.3">
      <c r="I972" s="2"/>
      <c r="J972" s="2"/>
      <c r="K972" s="2"/>
      <c r="L972" s="2"/>
      <c r="M972" s="2"/>
      <c r="N972" s="2"/>
    </row>
    <row r="973" spans="9:14" x14ac:dyDescent="0.3">
      <c r="I973" s="2"/>
      <c r="J973" s="2"/>
      <c r="K973" s="2"/>
      <c r="L973" s="2"/>
      <c r="M973" s="2"/>
      <c r="N973" s="2"/>
    </row>
    <row r="974" spans="9:14" x14ac:dyDescent="0.3">
      <c r="I974" s="2"/>
      <c r="J974" s="2"/>
      <c r="K974" s="2"/>
      <c r="L974" s="2"/>
      <c r="M974" s="2"/>
      <c r="N974" s="2"/>
    </row>
    <row r="975" spans="9:14" x14ac:dyDescent="0.3">
      <c r="I975" s="2"/>
      <c r="J975" s="2"/>
      <c r="K975" s="2"/>
      <c r="L975" s="2"/>
      <c r="M975" s="2"/>
      <c r="N975" s="2"/>
    </row>
    <row r="976" spans="9:14" x14ac:dyDescent="0.3">
      <c r="I976" s="2"/>
      <c r="J976" s="2"/>
      <c r="K976" s="2"/>
      <c r="L976" s="2"/>
      <c r="M976" s="2"/>
      <c r="N976" s="2"/>
    </row>
    <row r="977" spans="9:14" x14ac:dyDescent="0.3">
      <c r="I977" s="2"/>
      <c r="J977" s="2"/>
      <c r="K977" s="2"/>
      <c r="L977" s="2"/>
      <c r="M977" s="2"/>
      <c r="N977" s="2"/>
    </row>
    <row r="978" spans="9:14" x14ac:dyDescent="0.3">
      <c r="I978" s="2"/>
      <c r="J978" s="2"/>
      <c r="K978" s="2"/>
      <c r="L978" s="2"/>
      <c r="M978" s="2"/>
      <c r="N978" s="2"/>
    </row>
    <row r="979" spans="9:14" x14ac:dyDescent="0.3">
      <c r="I979" s="2"/>
      <c r="J979" s="2"/>
      <c r="K979" s="2"/>
      <c r="L979" s="2"/>
      <c r="M979" s="2"/>
      <c r="N979" s="2"/>
    </row>
    <row r="980" spans="9:14" x14ac:dyDescent="0.3">
      <c r="I980" s="2"/>
      <c r="J980" s="2"/>
      <c r="K980" s="2"/>
      <c r="L980" s="2"/>
      <c r="M980" s="2"/>
      <c r="N980" s="2"/>
    </row>
    <row r="981" spans="9:14" x14ac:dyDescent="0.3">
      <c r="I981" s="2"/>
      <c r="J981" s="2"/>
      <c r="K981" s="2"/>
      <c r="L981" s="2"/>
      <c r="M981" s="2"/>
      <c r="N981" s="2"/>
    </row>
    <row r="982" spans="9:14" x14ac:dyDescent="0.3">
      <c r="I982" s="2"/>
      <c r="J982" s="2"/>
      <c r="K982" s="2"/>
      <c r="L982" s="2"/>
      <c r="M982" s="2"/>
      <c r="N982" s="2"/>
    </row>
    <row r="983" spans="9:14" x14ac:dyDescent="0.3">
      <c r="I983" s="2"/>
      <c r="J983" s="2"/>
      <c r="K983" s="2"/>
      <c r="L983" s="2"/>
      <c r="M983" s="2"/>
      <c r="N983" s="2"/>
    </row>
    <row r="984" spans="9:14" x14ac:dyDescent="0.3">
      <c r="I984" s="2"/>
      <c r="J984" s="2"/>
      <c r="K984" s="2"/>
      <c r="L984" s="2"/>
      <c r="M984" s="2"/>
      <c r="N984" s="2"/>
    </row>
    <row r="985" spans="9:14" x14ac:dyDescent="0.3">
      <c r="I985" s="2"/>
      <c r="J985" s="2"/>
      <c r="K985" s="2"/>
      <c r="L985" s="2"/>
      <c r="M985" s="2"/>
      <c r="N985" s="2"/>
    </row>
    <row r="986" spans="9:14" x14ac:dyDescent="0.3">
      <c r="I986" s="2"/>
      <c r="J986" s="2"/>
      <c r="K986" s="2"/>
      <c r="L986" s="2"/>
      <c r="M986" s="2"/>
      <c r="N986" s="2"/>
    </row>
    <row r="987" spans="9:14" x14ac:dyDescent="0.3">
      <c r="I987" s="2"/>
      <c r="J987" s="2"/>
      <c r="K987" s="2"/>
      <c r="L987" s="2"/>
      <c r="M987" s="2"/>
      <c r="N987" s="2"/>
    </row>
    <row r="988" spans="9:14" x14ac:dyDescent="0.3">
      <c r="I988" s="2"/>
      <c r="J988" s="2"/>
      <c r="K988" s="2"/>
      <c r="L988" s="2"/>
      <c r="M988" s="2"/>
      <c r="N988" s="2"/>
    </row>
    <row r="989" spans="9:14" x14ac:dyDescent="0.3">
      <c r="I989" s="2"/>
      <c r="J989" s="2"/>
      <c r="K989" s="2"/>
      <c r="L989" s="2"/>
      <c r="M989" s="2"/>
      <c r="N989" s="2"/>
    </row>
    <row r="990" spans="9:14" x14ac:dyDescent="0.3">
      <c r="I990" s="2"/>
      <c r="J990" s="2"/>
      <c r="K990" s="2"/>
      <c r="L990" s="2"/>
      <c r="M990" s="2"/>
      <c r="N990" s="2"/>
    </row>
    <row r="991" spans="9:14" x14ac:dyDescent="0.3">
      <c r="I991" s="2"/>
      <c r="J991" s="2"/>
      <c r="K991" s="2"/>
      <c r="L991" s="2"/>
      <c r="M991" s="2"/>
      <c r="N991" s="2"/>
    </row>
    <row r="992" spans="9:14" x14ac:dyDescent="0.3">
      <c r="I992" s="2"/>
      <c r="J992" s="2"/>
      <c r="K992" s="2"/>
      <c r="L992" s="2"/>
      <c r="M992" s="2"/>
      <c r="N992" s="2"/>
    </row>
    <row r="993" spans="9:14" x14ac:dyDescent="0.3">
      <c r="I993" s="2"/>
      <c r="J993" s="2"/>
      <c r="K993" s="2"/>
      <c r="L993" s="2"/>
      <c r="M993" s="2"/>
      <c r="N993" s="2"/>
    </row>
    <row r="994" spans="9:14" x14ac:dyDescent="0.3">
      <c r="I994" s="2"/>
      <c r="J994" s="2"/>
      <c r="K994" s="2"/>
      <c r="L994" s="2"/>
      <c r="M994" s="2"/>
      <c r="N994" s="2"/>
    </row>
    <row r="995" spans="9:14" x14ac:dyDescent="0.3">
      <c r="I995" s="2"/>
      <c r="J995" s="2"/>
      <c r="K995" s="2"/>
      <c r="L995" s="2"/>
      <c r="M995" s="2"/>
      <c r="N995" s="2"/>
    </row>
    <row r="996" spans="9:14" x14ac:dyDescent="0.3">
      <c r="I996" s="2"/>
      <c r="J996" s="2"/>
      <c r="K996" s="2"/>
      <c r="L996" s="2"/>
      <c r="M996" s="2"/>
      <c r="N996" s="2"/>
    </row>
    <row r="997" spans="9:14" x14ac:dyDescent="0.3">
      <c r="I997" s="2"/>
      <c r="J997" s="2"/>
      <c r="K997" s="2"/>
      <c r="L997" s="2"/>
      <c r="M997" s="2"/>
      <c r="N997" s="2"/>
    </row>
    <row r="998" spans="9:14" x14ac:dyDescent="0.3">
      <c r="I998" s="2"/>
      <c r="J998" s="2"/>
      <c r="K998" s="2"/>
      <c r="L998" s="2"/>
      <c r="M998" s="2"/>
      <c r="N998" s="2"/>
    </row>
    <row r="999" spans="9:14" x14ac:dyDescent="0.3">
      <c r="I999" s="2"/>
      <c r="J999" s="2"/>
      <c r="K999" s="2"/>
      <c r="L999" s="2"/>
      <c r="M999" s="2"/>
      <c r="N999" s="2"/>
    </row>
    <row r="1000" spans="9:14" x14ac:dyDescent="0.3">
      <c r="I1000" s="2"/>
      <c r="J1000" s="2"/>
      <c r="K1000" s="2"/>
      <c r="L1000" s="2"/>
      <c r="M1000" s="2"/>
      <c r="N1000" s="2"/>
    </row>
    <row r="1001" spans="9:14" x14ac:dyDescent="0.3">
      <c r="I1001" s="2"/>
      <c r="J1001" s="2"/>
      <c r="K1001" s="2"/>
      <c r="L1001" s="2"/>
      <c r="M1001" s="2"/>
      <c r="N1001" s="2"/>
    </row>
    <row r="1002" spans="9:14" x14ac:dyDescent="0.3">
      <c r="I1002" s="2"/>
      <c r="J1002" s="2"/>
      <c r="K1002" s="2"/>
      <c r="L1002" s="2"/>
      <c r="M1002" s="2"/>
      <c r="N1002" s="2"/>
    </row>
    <row r="1003" spans="9:14" x14ac:dyDescent="0.3">
      <c r="I1003" s="2"/>
      <c r="J1003" s="2"/>
      <c r="K1003" s="2"/>
      <c r="L1003" s="2"/>
      <c r="M1003" s="2"/>
      <c r="N1003" s="2"/>
    </row>
    <row r="1004" spans="9:14" x14ac:dyDescent="0.3">
      <c r="I1004" s="2"/>
      <c r="J1004" s="2"/>
      <c r="K1004" s="2"/>
      <c r="L1004" s="2"/>
      <c r="M1004" s="2"/>
      <c r="N1004" s="2"/>
    </row>
    <row r="1005" spans="9:14" x14ac:dyDescent="0.3">
      <c r="I1005" s="2"/>
      <c r="J1005" s="2"/>
      <c r="K1005" s="2"/>
      <c r="L1005" s="2"/>
      <c r="M1005" s="2"/>
      <c r="N1005" s="2"/>
    </row>
    <row r="1006" spans="9:14" x14ac:dyDescent="0.3">
      <c r="I1006" s="2"/>
      <c r="J1006" s="2"/>
      <c r="K1006" s="2"/>
      <c r="L1006" s="2"/>
      <c r="M1006" s="2"/>
      <c r="N1006" s="2"/>
    </row>
    <row r="1007" spans="9:14" x14ac:dyDescent="0.3">
      <c r="I1007" s="2"/>
      <c r="J1007" s="2"/>
      <c r="K1007" s="2"/>
      <c r="L1007" s="2"/>
      <c r="M1007" s="2"/>
      <c r="N1007" s="2"/>
    </row>
    <row r="1008" spans="9:14" x14ac:dyDescent="0.3">
      <c r="I1008" s="2"/>
      <c r="J1008" s="2"/>
      <c r="K1008" s="2"/>
      <c r="L1008" s="2"/>
      <c r="M1008" s="2"/>
      <c r="N1008" s="2"/>
    </row>
    <row r="1009" spans="9:14" x14ac:dyDescent="0.3">
      <c r="I1009" s="2"/>
      <c r="J1009" s="2"/>
      <c r="K1009" s="2"/>
      <c r="L1009" s="2"/>
      <c r="M1009" s="2"/>
      <c r="N1009" s="2"/>
    </row>
    <row r="1010" spans="9:14" x14ac:dyDescent="0.3">
      <c r="I1010" s="2"/>
      <c r="J1010" s="2"/>
      <c r="K1010" s="2"/>
      <c r="L1010" s="2"/>
      <c r="M1010" s="2"/>
      <c r="N1010" s="2"/>
    </row>
    <row r="1011" spans="9:14" x14ac:dyDescent="0.3">
      <c r="I1011" s="2"/>
      <c r="J1011" s="2"/>
      <c r="K1011" s="2"/>
      <c r="L1011" s="2"/>
      <c r="M1011" s="2"/>
      <c r="N1011" s="2"/>
    </row>
    <row r="1012" spans="9:14" x14ac:dyDescent="0.3">
      <c r="I1012" s="2"/>
      <c r="J1012" s="2"/>
      <c r="K1012" s="2"/>
      <c r="L1012" s="2"/>
      <c r="M1012" s="2"/>
      <c r="N1012" s="2"/>
    </row>
    <row r="1013" spans="9:14" x14ac:dyDescent="0.3">
      <c r="I1013" s="2"/>
      <c r="J1013" s="2"/>
      <c r="K1013" s="2"/>
      <c r="L1013" s="2"/>
      <c r="M1013" s="2"/>
      <c r="N1013" s="2"/>
    </row>
    <row r="1014" spans="9:14" x14ac:dyDescent="0.3">
      <c r="I1014" s="2"/>
      <c r="J1014" s="2"/>
      <c r="K1014" s="2"/>
      <c r="L1014" s="2"/>
      <c r="M1014" s="2"/>
      <c r="N1014" s="2"/>
    </row>
    <row r="1015" spans="9:14" x14ac:dyDescent="0.3">
      <c r="I1015" s="2"/>
      <c r="J1015" s="2"/>
      <c r="K1015" s="2"/>
      <c r="L1015" s="2"/>
      <c r="M1015" s="2"/>
      <c r="N1015" s="2"/>
    </row>
    <row r="1016" spans="9:14" x14ac:dyDescent="0.3">
      <c r="I1016" s="2"/>
      <c r="J1016" s="2"/>
      <c r="K1016" s="2"/>
      <c r="L1016" s="2"/>
      <c r="M1016" s="2"/>
      <c r="N1016" s="2"/>
    </row>
    <row r="1017" spans="9:14" x14ac:dyDescent="0.3">
      <c r="I1017" s="2"/>
      <c r="J1017" s="2"/>
      <c r="K1017" s="2"/>
      <c r="L1017" s="2"/>
      <c r="M1017" s="2"/>
      <c r="N1017" s="2"/>
    </row>
    <row r="1018" spans="9:14" x14ac:dyDescent="0.3">
      <c r="I1018" s="2"/>
      <c r="J1018" s="2"/>
      <c r="K1018" s="2"/>
      <c r="L1018" s="2"/>
      <c r="M1018" s="2"/>
      <c r="N1018" s="2"/>
    </row>
    <row r="1019" spans="9:14" x14ac:dyDescent="0.3">
      <c r="I1019" s="2"/>
      <c r="J1019" s="2"/>
      <c r="K1019" s="2"/>
      <c r="L1019" s="2"/>
      <c r="M1019" s="2"/>
      <c r="N1019" s="2"/>
    </row>
    <row r="1020" spans="9:14" x14ac:dyDescent="0.3">
      <c r="I1020" s="2"/>
      <c r="J1020" s="2"/>
      <c r="K1020" s="2"/>
      <c r="L1020" s="2"/>
      <c r="M1020" s="2"/>
      <c r="N1020" s="2"/>
    </row>
    <row r="1021" spans="9:14" x14ac:dyDescent="0.3">
      <c r="I1021" s="2"/>
      <c r="J1021" s="2"/>
      <c r="K1021" s="2"/>
      <c r="L1021" s="2"/>
      <c r="M1021" s="2"/>
      <c r="N1021" s="2"/>
    </row>
    <row r="1022" spans="9:14" x14ac:dyDescent="0.3">
      <c r="I1022" s="2"/>
      <c r="J1022" s="2"/>
      <c r="K1022" s="2"/>
      <c r="L1022" s="2"/>
      <c r="M1022" s="2"/>
      <c r="N1022" s="2"/>
    </row>
    <row r="1023" spans="9:14" x14ac:dyDescent="0.3">
      <c r="I1023" s="2"/>
      <c r="J1023" s="2"/>
      <c r="K1023" s="2"/>
      <c r="L1023" s="2"/>
      <c r="M1023" s="2"/>
      <c r="N1023" s="2"/>
    </row>
    <row r="1024" spans="9:14" x14ac:dyDescent="0.3">
      <c r="I1024" s="2"/>
      <c r="J1024" s="2"/>
      <c r="K1024" s="2"/>
      <c r="L1024" s="2"/>
      <c r="M1024" s="2"/>
      <c r="N1024" s="2"/>
    </row>
    <row r="1025" spans="9:14" x14ac:dyDescent="0.3">
      <c r="I1025" s="2"/>
      <c r="J1025" s="2"/>
      <c r="K1025" s="2"/>
      <c r="L1025" s="2"/>
      <c r="M1025" s="2"/>
      <c r="N1025" s="2"/>
    </row>
    <row r="1026" spans="9:14" x14ac:dyDescent="0.3">
      <c r="I1026" s="2"/>
      <c r="J1026" s="2"/>
      <c r="K1026" s="2"/>
      <c r="L1026" s="2"/>
      <c r="M1026" s="2"/>
      <c r="N1026" s="2"/>
    </row>
    <row r="1027" spans="9:14" x14ac:dyDescent="0.3">
      <c r="I1027" s="2"/>
      <c r="J1027" s="2"/>
      <c r="K1027" s="2"/>
      <c r="L1027" s="2"/>
      <c r="M1027" s="2"/>
      <c r="N1027" s="2"/>
    </row>
    <row r="1028" spans="9:14" x14ac:dyDescent="0.3">
      <c r="I1028" s="2"/>
      <c r="J1028" s="2"/>
      <c r="K1028" s="2"/>
      <c r="L1028" s="2"/>
      <c r="M1028" s="2"/>
      <c r="N1028" s="2"/>
    </row>
    <row r="1029" spans="9:14" x14ac:dyDescent="0.3">
      <c r="I1029" s="2"/>
      <c r="J1029" s="2"/>
      <c r="K1029" s="2"/>
      <c r="L1029" s="2"/>
      <c r="M1029" s="2"/>
      <c r="N1029" s="2"/>
    </row>
    <row r="1030" spans="9:14" x14ac:dyDescent="0.3">
      <c r="I1030" s="2"/>
      <c r="J1030" s="2"/>
      <c r="K1030" s="2"/>
      <c r="L1030" s="2"/>
      <c r="M1030" s="2"/>
      <c r="N1030" s="2"/>
    </row>
    <row r="1031" spans="9:14" x14ac:dyDescent="0.3">
      <c r="I1031" s="2"/>
      <c r="J1031" s="2"/>
      <c r="K1031" s="2"/>
      <c r="L1031" s="2"/>
      <c r="M1031" s="2"/>
      <c r="N1031" s="2"/>
    </row>
    <row r="1032" spans="9:14" x14ac:dyDescent="0.3">
      <c r="I1032" s="2"/>
      <c r="J1032" s="2"/>
      <c r="K1032" s="2"/>
      <c r="L1032" s="2"/>
      <c r="M1032" s="2"/>
      <c r="N1032" s="2"/>
    </row>
    <row r="1033" spans="9:14" x14ac:dyDescent="0.3">
      <c r="I1033" s="2"/>
      <c r="J1033" s="2"/>
      <c r="K1033" s="2"/>
      <c r="L1033" s="2"/>
      <c r="M1033" s="2"/>
      <c r="N1033" s="2"/>
    </row>
    <row r="1034" spans="9:14" x14ac:dyDescent="0.3">
      <c r="I1034" s="2"/>
      <c r="J1034" s="2"/>
      <c r="K1034" s="2"/>
      <c r="L1034" s="2"/>
      <c r="M1034" s="2"/>
      <c r="N1034" s="2"/>
    </row>
    <row r="1035" spans="9:14" x14ac:dyDescent="0.3">
      <c r="I1035" s="2"/>
      <c r="J1035" s="2"/>
      <c r="K1035" s="2"/>
      <c r="L1035" s="2"/>
      <c r="M1035" s="2"/>
      <c r="N1035" s="2"/>
    </row>
    <row r="1036" spans="9:14" x14ac:dyDescent="0.3">
      <c r="I1036" s="2"/>
      <c r="J1036" s="2"/>
      <c r="K1036" s="2"/>
      <c r="L1036" s="2"/>
      <c r="M1036" s="2"/>
      <c r="N1036" s="2"/>
    </row>
    <row r="1037" spans="9:14" x14ac:dyDescent="0.3">
      <c r="I1037" s="2"/>
      <c r="J1037" s="2"/>
      <c r="K1037" s="2"/>
      <c r="L1037" s="2"/>
      <c r="M1037" s="2"/>
      <c r="N1037" s="2"/>
    </row>
    <row r="1038" spans="9:14" x14ac:dyDescent="0.3">
      <c r="I1038" s="2"/>
      <c r="J1038" s="2"/>
      <c r="K1038" s="2"/>
      <c r="L1038" s="2"/>
      <c r="M1038" s="2"/>
      <c r="N1038" s="2"/>
    </row>
    <row r="1039" spans="9:14" x14ac:dyDescent="0.3">
      <c r="I1039" s="2"/>
      <c r="J1039" s="2"/>
      <c r="K1039" s="2"/>
      <c r="L1039" s="2"/>
      <c r="M1039" s="2"/>
      <c r="N1039" s="2"/>
    </row>
    <row r="1040" spans="9:14" x14ac:dyDescent="0.3">
      <c r="I1040" s="2"/>
      <c r="J1040" s="2"/>
      <c r="K1040" s="2"/>
      <c r="L1040" s="2"/>
      <c r="M1040" s="2"/>
      <c r="N1040" s="2"/>
    </row>
    <row r="1041" spans="9:14" x14ac:dyDescent="0.3">
      <c r="I1041" s="2"/>
      <c r="J1041" s="2"/>
      <c r="K1041" s="2"/>
      <c r="L1041" s="2"/>
      <c r="M1041" s="2"/>
      <c r="N1041" s="2"/>
    </row>
    <row r="1042" spans="9:14" x14ac:dyDescent="0.3">
      <c r="I1042" s="2"/>
      <c r="J1042" s="2"/>
      <c r="K1042" s="2"/>
      <c r="L1042" s="2"/>
      <c r="M1042" s="2"/>
      <c r="N1042" s="2"/>
    </row>
    <row r="1043" spans="9:14" x14ac:dyDescent="0.3">
      <c r="I1043" s="2"/>
      <c r="J1043" s="2"/>
      <c r="K1043" s="2"/>
      <c r="L1043" s="2"/>
      <c r="M1043" s="2"/>
      <c r="N1043" s="2"/>
    </row>
    <row r="1044" spans="9:14" x14ac:dyDescent="0.3">
      <c r="I1044" s="2"/>
      <c r="J1044" s="2"/>
      <c r="K1044" s="2"/>
      <c r="L1044" s="2"/>
      <c r="M1044" s="2"/>
      <c r="N1044" s="2"/>
    </row>
    <row r="1045" spans="9:14" x14ac:dyDescent="0.3">
      <c r="I1045" s="2"/>
      <c r="J1045" s="2"/>
      <c r="K1045" s="2"/>
      <c r="L1045" s="2"/>
      <c r="M1045" s="2"/>
      <c r="N1045" s="2"/>
    </row>
    <row r="1046" spans="9:14" x14ac:dyDescent="0.3">
      <c r="I1046" s="2"/>
      <c r="J1046" s="2"/>
      <c r="K1046" s="2"/>
      <c r="L1046" s="2"/>
      <c r="M1046" s="2"/>
      <c r="N1046" s="2"/>
    </row>
    <row r="1047" spans="9:14" x14ac:dyDescent="0.3">
      <c r="I1047" s="2"/>
      <c r="J1047" s="2"/>
      <c r="K1047" s="2"/>
      <c r="L1047" s="2"/>
      <c r="M1047" s="2"/>
      <c r="N1047" s="2"/>
    </row>
    <row r="1048" spans="9:14" x14ac:dyDescent="0.3">
      <c r="I1048" s="2"/>
      <c r="J1048" s="2"/>
      <c r="K1048" s="2"/>
      <c r="L1048" s="2"/>
      <c r="M1048" s="2"/>
      <c r="N1048" s="2"/>
    </row>
    <row r="1049" spans="9:14" x14ac:dyDescent="0.3">
      <c r="I1049" s="2"/>
      <c r="J1049" s="2"/>
      <c r="K1049" s="2"/>
      <c r="L1049" s="2"/>
      <c r="M1049" s="2"/>
      <c r="N1049" s="2"/>
    </row>
    <row r="1050" spans="9:14" x14ac:dyDescent="0.3">
      <c r="I1050" s="2"/>
      <c r="J1050" s="2"/>
      <c r="K1050" s="2"/>
      <c r="L1050" s="2"/>
      <c r="M1050" s="2"/>
      <c r="N1050" s="2"/>
    </row>
    <row r="1051" spans="9:14" x14ac:dyDescent="0.3">
      <c r="I1051" s="2"/>
      <c r="J1051" s="2"/>
      <c r="K1051" s="2"/>
      <c r="L1051" s="2"/>
      <c r="M1051" s="2"/>
      <c r="N1051" s="2"/>
    </row>
    <row r="1052" spans="9:14" x14ac:dyDescent="0.3">
      <c r="I1052" s="2"/>
      <c r="J1052" s="2"/>
      <c r="K1052" s="2"/>
      <c r="L1052" s="2"/>
      <c r="M1052" s="2"/>
      <c r="N1052" s="2"/>
    </row>
    <row r="1053" spans="9:14" x14ac:dyDescent="0.3">
      <c r="I1053" s="2"/>
      <c r="J1053" s="2"/>
      <c r="K1053" s="2"/>
      <c r="L1053" s="2"/>
      <c r="M1053" s="2"/>
      <c r="N1053" s="2"/>
    </row>
    <row r="1054" spans="9:14" x14ac:dyDescent="0.3">
      <c r="I1054" s="2"/>
      <c r="J1054" s="2"/>
      <c r="K1054" s="2"/>
      <c r="L1054" s="2"/>
      <c r="M1054" s="2"/>
      <c r="N1054" s="2"/>
    </row>
    <row r="1055" spans="9:14" x14ac:dyDescent="0.3">
      <c r="I1055" s="2"/>
      <c r="J1055" s="2"/>
      <c r="K1055" s="2"/>
      <c r="L1055" s="2"/>
      <c r="M1055" s="2"/>
      <c r="N1055" s="2"/>
    </row>
    <row r="1056" spans="9:14" x14ac:dyDescent="0.3">
      <c r="I1056" s="2"/>
      <c r="J1056" s="2"/>
      <c r="K1056" s="2"/>
      <c r="L1056" s="2"/>
      <c r="M1056" s="2"/>
      <c r="N1056" s="2"/>
    </row>
    <row r="1057" spans="9:14" x14ac:dyDescent="0.3">
      <c r="I1057" s="2"/>
      <c r="J1057" s="2"/>
      <c r="K1057" s="2"/>
      <c r="L1057" s="2"/>
      <c r="M1057" s="2"/>
      <c r="N1057" s="2"/>
    </row>
    <row r="1058" spans="9:14" x14ac:dyDescent="0.3">
      <c r="I1058" s="2"/>
      <c r="J1058" s="2"/>
      <c r="K1058" s="2"/>
      <c r="L1058" s="2"/>
      <c r="M1058" s="2"/>
      <c r="N1058" s="2"/>
    </row>
    <row r="1059" spans="9:14" x14ac:dyDescent="0.3">
      <c r="I1059" s="2"/>
      <c r="J1059" s="2"/>
      <c r="K1059" s="2"/>
      <c r="L1059" s="2"/>
      <c r="M1059" s="2"/>
      <c r="N1059" s="2"/>
    </row>
    <row r="1060" spans="9:14" x14ac:dyDescent="0.3">
      <c r="I1060" s="2"/>
      <c r="J1060" s="2"/>
      <c r="K1060" s="2"/>
      <c r="L1060" s="2"/>
      <c r="M1060" s="2"/>
      <c r="N1060" s="2"/>
    </row>
    <row r="1061" spans="9:14" x14ac:dyDescent="0.3">
      <c r="I1061" s="2"/>
      <c r="J1061" s="2"/>
      <c r="K1061" s="2"/>
      <c r="L1061" s="2"/>
      <c r="M1061" s="2"/>
      <c r="N1061" s="2"/>
    </row>
    <row r="1062" spans="9:14" x14ac:dyDescent="0.3">
      <c r="I1062" s="2"/>
      <c r="J1062" s="2"/>
      <c r="K1062" s="2"/>
      <c r="L1062" s="2"/>
      <c r="M1062" s="2"/>
      <c r="N1062" s="2"/>
    </row>
    <row r="1063" spans="9:14" x14ac:dyDescent="0.3">
      <c r="I1063" s="2"/>
      <c r="J1063" s="2"/>
      <c r="K1063" s="2"/>
      <c r="L1063" s="2"/>
      <c r="M1063" s="2"/>
      <c r="N1063" s="2"/>
    </row>
    <row r="1064" spans="9:14" x14ac:dyDescent="0.3">
      <c r="I1064" s="2"/>
      <c r="J1064" s="2"/>
      <c r="K1064" s="2"/>
      <c r="L1064" s="2"/>
      <c r="M1064" s="2"/>
      <c r="N1064" s="2"/>
    </row>
    <row r="1065" spans="9:14" x14ac:dyDescent="0.3">
      <c r="I1065" s="2"/>
      <c r="J1065" s="2"/>
      <c r="K1065" s="2"/>
      <c r="L1065" s="2"/>
      <c r="M1065" s="2"/>
      <c r="N1065" s="2"/>
    </row>
    <row r="1066" spans="9:14" x14ac:dyDescent="0.3">
      <c r="I1066" s="2"/>
      <c r="J1066" s="2"/>
      <c r="K1066" s="2"/>
      <c r="L1066" s="2"/>
      <c r="M1066" s="2"/>
      <c r="N1066" s="2"/>
    </row>
    <row r="1067" spans="9:14" x14ac:dyDescent="0.3">
      <c r="I1067" s="2"/>
      <c r="J1067" s="2"/>
      <c r="K1067" s="2"/>
      <c r="L1067" s="2"/>
      <c r="M1067" s="2"/>
      <c r="N1067" s="2"/>
    </row>
    <row r="1068" spans="9:14" x14ac:dyDescent="0.3">
      <c r="I1068" s="2"/>
      <c r="J1068" s="2"/>
      <c r="K1068" s="2"/>
      <c r="L1068" s="2"/>
      <c r="M1068" s="2"/>
      <c r="N1068" s="2"/>
    </row>
    <row r="1069" spans="9:14" x14ac:dyDescent="0.3">
      <c r="I1069" s="2"/>
      <c r="J1069" s="2"/>
      <c r="K1069" s="2"/>
      <c r="L1069" s="2"/>
      <c r="M1069" s="2"/>
      <c r="N1069" s="2"/>
    </row>
    <row r="1070" spans="9:14" x14ac:dyDescent="0.3">
      <c r="I1070" s="2"/>
      <c r="J1070" s="2"/>
      <c r="K1070" s="2"/>
      <c r="L1070" s="2"/>
      <c r="M1070" s="2"/>
      <c r="N1070" s="2"/>
    </row>
    <row r="1071" spans="9:14" x14ac:dyDescent="0.3">
      <c r="I1071" s="2"/>
      <c r="J1071" s="2"/>
      <c r="K1071" s="2"/>
      <c r="L1071" s="2"/>
      <c r="M1071" s="2"/>
      <c r="N1071" s="2"/>
    </row>
    <row r="1072" spans="9:14" x14ac:dyDescent="0.3">
      <c r="I1072" s="2"/>
      <c r="J1072" s="2"/>
      <c r="K1072" s="2"/>
      <c r="L1072" s="2"/>
      <c r="M1072" s="2"/>
      <c r="N1072" s="2"/>
    </row>
    <row r="1073" spans="9:14" x14ac:dyDescent="0.3">
      <c r="I1073" s="2"/>
      <c r="J1073" s="2"/>
      <c r="K1073" s="2"/>
      <c r="L1073" s="2"/>
      <c r="M1073" s="2"/>
      <c r="N1073" s="2"/>
    </row>
    <row r="1074" spans="9:14" x14ac:dyDescent="0.3">
      <c r="I1074" s="2"/>
      <c r="J1074" s="2"/>
      <c r="K1074" s="2"/>
      <c r="L1074" s="2"/>
      <c r="M1074" s="2"/>
      <c r="N1074" s="2"/>
    </row>
    <row r="1075" spans="9:14" x14ac:dyDescent="0.3">
      <c r="I1075" s="2"/>
      <c r="J1075" s="2"/>
      <c r="K1075" s="2"/>
      <c r="L1075" s="2"/>
      <c r="M1075" s="2"/>
      <c r="N1075" s="2"/>
    </row>
    <row r="1076" spans="9:14" x14ac:dyDescent="0.3">
      <c r="I1076" s="2"/>
      <c r="J1076" s="2"/>
      <c r="K1076" s="2"/>
      <c r="L1076" s="2"/>
      <c r="M1076" s="2"/>
      <c r="N1076" s="2"/>
    </row>
    <row r="1077" spans="9:14" x14ac:dyDescent="0.3">
      <c r="I1077" s="2"/>
      <c r="J1077" s="2"/>
      <c r="K1077" s="2"/>
      <c r="L1077" s="2"/>
      <c r="M1077" s="2"/>
      <c r="N1077" s="2"/>
    </row>
    <row r="1078" spans="9:14" x14ac:dyDescent="0.3">
      <c r="I1078" s="2"/>
      <c r="J1078" s="2"/>
      <c r="K1078" s="2"/>
      <c r="L1078" s="2"/>
      <c r="M1078" s="2"/>
      <c r="N1078" s="2"/>
    </row>
    <row r="1079" spans="9:14" x14ac:dyDescent="0.3">
      <c r="I1079" s="2"/>
      <c r="J1079" s="2"/>
      <c r="K1079" s="2"/>
      <c r="L1079" s="2"/>
      <c r="M1079" s="2"/>
      <c r="N1079" s="2"/>
    </row>
    <row r="1080" spans="9:14" x14ac:dyDescent="0.3">
      <c r="I1080" s="2"/>
      <c r="J1080" s="2"/>
      <c r="K1080" s="2"/>
      <c r="L1080" s="2"/>
      <c r="M1080" s="2"/>
      <c r="N1080" s="2"/>
    </row>
    <row r="1081" spans="9:14" x14ac:dyDescent="0.3">
      <c r="I1081" s="2"/>
      <c r="J1081" s="2"/>
      <c r="K1081" s="2"/>
      <c r="L1081" s="2"/>
      <c r="M1081" s="2"/>
      <c r="N1081" s="2"/>
    </row>
    <row r="1082" spans="9:14" x14ac:dyDescent="0.3">
      <c r="I1082" s="2"/>
      <c r="J1082" s="2"/>
      <c r="K1082" s="2"/>
      <c r="L1082" s="2"/>
      <c r="M1082" s="2"/>
      <c r="N1082" s="2"/>
    </row>
    <row r="1083" spans="9:14" x14ac:dyDescent="0.3">
      <c r="I1083" s="2"/>
      <c r="J1083" s="2"/>
      <c r="K1083" s="2"/>
      <c r="L1083" s="2"/>
      <c r="M1083" s="2"/>
      <c r="N1083" s="2"/>
    </row>
    <row r="1084" spans="9:14" x14ac:dyDescent="0.3">
      <c r="I1084" s="2"/>
      <c r="J1084" s="2"/>
      <c r="K1084" s="2"/>
      <c r="L1084" s="2"/>
      <c r="M1084" s="2"/>
      <c r="N1084" s="2"/>
    </row>
    <row r="1085" spans="9:14" x14ac:dyDescent="0.3">
      <c r="I1085" s="2"/>
      <c r="J1085" s="2"/>
      <c r="K1085" s="2"/>
      <c r="L1085" s="2"/>
      <c r="M1085" s="2"/>
      <c r="N1085" s="2"/>
    </row>
    <row r="1086" spans="9:14" x14ac:dyDescent="0.3">
      <c r="I1086" s="2"/>
      <c r="J1086" s="2"/>
      <c r="K1086" s="2"/>
      <c r="L1086" s="2"/>
      <c r="M1086" s="2"/>
      <c r="N1086" s="2"/>
    </row>
    <row r="1087" spans="9:14" x14ac:dyDescent="0.3">
      <c r="I1087" s="2"/>
      <c r="J1087" s="2"/>
      <c r="K1087" s="2"/>
      <c r="L1087" s="2"/>
      <c r="M1087" s="2"/>
      <c r="N1087" s="2"/>
    </row>
    <row r="1088" spans="9:14" x14ac:dyDescent="0.3">
      <c r="I1088" s="2"/>
      <c r="J1088" s="2"/>
      <c r="K1088" s="2"/>
      <c r="L1088" s="2"/>
      <c r="M1088" s="2"/>
      <c r="N1088" s="2"/>
    </row>
    <row r="1089" spans="9:14" x14ac:dyDescent="0.3">
      <c r="I1089" s="2"/>
      <c r="J1089" s="2"/>
      <c r="K1089" s="2"/>
      <c r="L1089" s="2"/>
      <c r="M1089" s="2"/>
      <c r="N1089" s="2"/>
    </row>
    <row r="1090" spans="9:14" x14ac:dyDescent="0.3">
      <c r="I1090" s="2"/>
      <c r="J1090" s="2"/>
      <c r="K1090" s="2"/>
      <c r="L1090" s="2"/>
      <c r="M1090" s="2"/>
      <c r="N1090" s="2"/>
    </row>
    <row r="1091" spans="9:14" x14ac:dyDescent="0.3">
      <c r="I1091" s="2"/>
      <c r="J1091" s="2"/>
      <c r="K1091" s="2"/>
      <c r="L1091" s="2"/>
      <c r="M1091" s="2"/>
      <c r="N1091" s="2"/>
    </row>
    <row r="1092" spans="9:14" x14ac:dyDescent="0.3">
      <c r="I1092" s="2"/>
      <c r="J1092" s="2"/>
      <c r="K1092" s="2"/>
      <c r="L1092" s="2"/>
      <c r="M1092" s="2"/>
      <c r="N1092" s="2"/>
    </row>
    <row r="1093" spans="9:14" x14ac:dyDescent="0.3">
      <c r="I1093" s="2"/>
      <c r="J1093" s="2"/>
      <c r="K1093" s="2"/>
      <c r="L1093" s="2"/>
      <c r="M1093" s="2"/>
      <c r="N1093" s="2"/>
    </row>
    <row r="1094" spans="9:14" x14ac:dyDescent="0.3">
      <c r="I1094" s="2"/>
      <c r="J1094" s="2"/>
      <c r="K1094" s="2"/>
      <c r="L1094" s="2"/>
      <c r="M1094" s="2"/>
      <c r="N1094" s="2"/>
    </row>
    <row r="1095" spans="9:14" x14ac:dyDescent="0.3">
      <c r="I1095" s="2"/>
      <c r="J1095" s="2"/>
      <c r="K1095" s="2"/>
      <c r="L1095" s="2"/>
      <c r="M1095" s="2"/>
      <c r="N1095" s="2"/>
    </row>
    <row r="1096" spans="9:14" x14ac:dyDescent="0.3">
      <c r="I1096" s="2"/>
      <c r="J1096" s="2"/>
      <c r="K1096" s="2"/>
      <c r="L1096" s="2"/>
      <c r="M1096" s="2"/>
      <c r="N1096" s="2"/>
    </row>
    <row r="1097" spans="9:14" x14ac:dyDescent="0.3">
      <c r="I1097" s="2"/>
      <c r="J1097" s="2"/>
      <c r="K1097" s="2"/>
      <c r="L1097" s="2"/>
      <c r="M1097" s="2"/>
      <c r="N1097" s="2"/>
    </row>
    <row r="1098" spans="9:14" x14ac:dyDescent="0.3">
      <c r="I1098" s="2"/>
      <c r="J1098" s="2"/>
      <c r="K1098" s="2"/>
      <c r="L1098" s="2"/>
      <c r="M1098" s="2"/>
      <c r="N1098" s="2"/>
    </row>
    <row r="1099" spans="9:14" x14ac:dyDescent="0.3">
      <c r="I1099" s="2"/>
      <c r="J1099" s="2"/>
      <c r="K1099" s="2"/>
      <c r="L1099" s="2"/>
      <c r="M1099" s="2"/>
      <c r="N1099" s="2"/>
    </row>
    <row r="1100" spans="9:14" x14ac:dyDescent="0.3">
      <c r="I1100" s="2"/>
      <c r="J1100" s="2"/>
      <c r="K1100" s="2"/>
      <c r="L1100" s="2"/>
      <c r="M1100" s="2"/>
      <c r="N1100" s="2"/>
    </row>
    <row r="1101" spans="9:14" x14ac:dyDescent="0.3">
      <c r="I1101" s="2"/>
      <c r="J1101" s="2"/>
      <c r="K1101" s="2"/>
      <c r="L1101" s="2"/>
      <c r="M1101" s="2"/>
      <c r="N1101" s="2"/>
    </row>
    <row r="1102" spans="9:14" x14ac:dyDescent="0.3">
      <c r="I1102" s="2"/>
      <c r="J1102" s="2"/>
      <c r="K1102" s="2"/>
      <c r="L1102" s="2"/>
      <c r="M1102" s="2"/>
      <c r="N1102" s="2"/>
    </row>
    <row r="1103" spans="9:14" x14ac:dyDescent="0.3">
      <c r="I1103" s="2"/>
      <c r="J1103" s="2"/>
      <c r="K1103" s="2"/>
      <c r="L1103" s="2"/>
      <c r="M1103" s="2"/>
      <c r="N1103" s="2"/>
    </row>
    <row r="1104" spans="9:14" x14ac:dyDescent="0.3">
      <c r="I1104" s="2"/>
      <c r="J1104" s="2"/>
      <c r="K1104" s="2"/>
      <c r="L1104" s="2"/>
      <c r="M1104" s="2"/>
      <c r="N1104" s="2"/>
    </row>
    <row r="1105" spans="9:14" x14ac:dyDescent="0.3">
      <c r="I1105" s="2"/>
      <c r="J1105" s="2"/>
      <c r="K1105" s="2"/>
      <c r="L1105" s="2"/>
      <c r="M1105" s="2"/>
      <c r="N1105" s="2"/>
    </row>
    <row r="1106" spans="9:14" x14ac:dyDescent="0.3">
      <c r="I1106" s="2"/>
      <c r="J1106" s="2"/>
      <c r="K1106" s="2"/>
      <c r="L1106" s="2"/>
      <c r="M1106" s="2"/>
      <c r="N1106" s="2"/>
    </row>
    <row r="1107" spans="9:14" x14ac:dyDescent="0.3">
      <c r="I1107" s="2"/>
      <c r="J1107" s="2"/>
      <c r="K1107" s="2"/>
      <c r="L1107" s="2"/>
      <c r="M1107" s="2"/>
      <c r="N1107" s="2"/>
    </row>
    <row r="1108" spans="9:14" x14ac:dyDescent="0.3">
      <c r="I1108" s="2"/>
      <c r="J1108" s="2"/>
      <c r="K1108" s="2"/>
      <c r="L1108" s="2"/>
      <c r="M1108" s="2"/>
      <c r="N1108" s="2"/>
    </row>
    <row r="1109" spans="9:14" x14ac:dyDescent="0.3">
      <c r="I1109" s="2"/>
      <c r="J1109" s="2"/>
      <c r="K1109" s="2"/>
      <c r="L1109" s="2"/>
      <c r="M1109" s="2"/>
      <c r="N1109" s="2"/>
    </row>
    <row r="1110" spans="9:14" x14ac:dyDescent="0.3">
      <c r="I1110" s="2"/>
      <c r="J1110" s="2"/>
      <c r="K1110" s="2"/>
      <c r="L1110" s="2"/>
      <c r="M1110" s="2"/>
      <c r="N1110" s="2"/>
    </row>
    <row r="1111" spans="9:14" x14ac:dyDescent="0.3">
      <c r="I1111" s="2"/>
      <c r="J1111" s="2"/>
      <c r="K1111" s="2"/>
      <c r="L1111" s="2"/>
      <c r="M1111" s="2"/>
      <c r="N1111" s="2"/>
    </row>
    <row r="1112" spans="9:14" x14ac:dyDescent="0.3">
      <c r="I1112" s="2"/>
      <c r="J1112" s="2"/>
      <c r="K1112" s="2"/>
      <c r="L1112" s="2"/>
      <c r="M1112" s="2"/>
      <c r="N1112" s="2"/>
    </row>
    <row r="1113" spans="9:14" x14ac:dyDescent="0.3">
      <c r="I1113" s="2"/>
      <c r="J1113" s="2"/>
      <c r="K1113" s="2"/>
      <c r="L1113" s="2"/>
      <c r="M1113" s="2"/>
      <c r="N1113" s="2"/>
    </row>
    <row r="1114" spans="9:14" x14ac:dyDescent="0.3">
      <c r="I1114" s="2"/>
      <c r="J1114" s="2"/>
      <c r="K1114" s="2"/>
      <c r="L1114" s="2"/>
      <c r="M1114" s="2"/>
      <c r="N1114" s="2"/>
    </row>
    <row r="1115" spans="9:14" x14ac:dyDescent="0.3">
      <c r="I1115" s="2"/>
      <c r="J1115" s="2"/>
      <c r="K1115" s="2"/>
      <c r="L1115" s="2"/>
      <c r="M1115" s="2"/>
      <c r="N1115" s="2"/>
    </row>
    <row r="1116" spans="9:14" x14ac:dyDescent="0.3">
      <c r="I1116" s="2"/>
      <c r="J1116" s="2"/>
      <c r="K1116" s="2"/>
      <c r="L1116" s="2"/>
      <c r="M1116" s="2"/>
      <c r="N1116" s="2"/>
    </row>
  </sheetData>
  <autoFilter ref="A12:W178" xr:uid="{00000000-0009-0000-0000-000001000000}"/>
  <mergeCells count="21">
    <mergeCell ref="O8:Q8"/>
    <mergeCell ref="V12:V13"/>
    <mergeCell ref="A10:W10"/>
    <mergeCell ref="U12:U13"/>
    <mergeCell ref="E12:E13"/>
    <mergeCell ref="W12:W13"/>
    <mergeCell ref="A11:W11"/>
    <mergeCell ref="S12:S13"/>
    <mergeCell ref="N12:N13"/>
    <mergeCell ref="R12:R13"/>
    <mergeCell ref="A12:A13"/>
    <mergeCell ref="C12:C13"/>
    <mergeCell ref="T12:T13"/>
    <mergeCell ref="M12:M13"/>
    <mergeCell ref="O12:O13"/>
    <mergeCell ref="D12:D13"/>
    <mergeCell ref="G12:H12"/>
    <mergeCell ref="B12:B13"/>
    <mergeCell ref="F12:F13"/>
    <mergeCell ref="L12:L13"/>
    <mergeCell ref="G178:H178"/>
  </mergeCells>
  <printOptions horizontalCentered="1" verticalCentered="1"/>
  <pageMargins left="0.39370078740157483" right="0.39370078740157483" top="0.39370078740157483" bottom="0.39370078740157483" header="0" footer="0"/>
  <pageSetup scale="3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947C-ED30-4F62-8137-0F93874FA3C0}">
  <sheetPr filterMode="1"/>
  <dimension ref="A1:W1054"/>
  <sheetViews>
    <sheetView view="pageBreakPreview" topLeftCell="U11" zoomScale="77" zoomScaleNormal="78" zoomScaleSheetLayoutView="100" workbookViewId="0">
      <selection activeCell="F114" sqref="F114"/>
    </sheetView>
  </sheetViews>
  <sheetFormatPr baseColWidth="10" defaultColWidth="11.44140625" defaultRowHeight="15.6" x14ac:dyDescent="0.3"/>
  <cols>
    <col min="1" max="1" width="10" style="2" customWidth="1"/>
    <col min="2" max="2" width="20" style="2" bestFit="1" customWidth="1"/>
    <col min="3" max="3" width="60" style="3" bestFit="1" customWidth="1"/>
    <col min="4" max="4" width="22" style="2" customWidth="1"/>
    <col min="5" max="5" width="42" style="3" customWidth="1"/>
    <col min="6" max="6" width="70" style="2" customWidth="1"/>
    <col min="7" max="7" width="14" style="3" customWidth="1"/>
    <col min="8" max="8" width="14" customWidth="1"/>
    <col min="9" max="11" width="18.33203125" style="62" bestFit="1" customWidth="1"/>
    <col min="12" max="12" width="23.44140625" style="62" bestFit="1" customWidth="1"/>
    <col min="13" max="13" width="17.6640625" style="62" bestFit="1" customWidth="1"/>
    <col min="14" max="14" width="24.33203125" style="62" bestFit="1" customWidth="1"/>
    <col min="15" max="15" width="18" style="2" bestFit="1" customWidth="1"/>
    <col min="16" max="16" width="29.5546875" style="2" bestFit="1" customWidth="1"/>
    <col min="17" max="17" width="22.33203125" style="2" bestFit="1" customWidth="1"/>
    <col min="18" max="18" width="19.88671875" style="2" bestFit="1" customWidth="1"/>
    <col min="19" max="19" width="19.109375" style="2" bestFit="1" customWidth="1"/>
    <col min="20" max="20" width="24.33203125" style="2" bestFit="1" customWidth="1"/>
    <col min="21" max="21" width="23.109375" style="2" customWidth="1"/>
    <col min="22" max="22" width="21.109375" style="64" bestFit="1" customWidth="1"/>
    <col min="23" max="26" width="18" style="5" customWidth="1"/>
    <col min="27" max="32" width="11.44140625" style="5" customWidth="1"/>
    <col min="33" max="16384" width="11.44140625" style="5"/>
  </cols>
  <sheetData>
    <row r="1" spans="1:23" x14ac:dyDescent="0.3">
      <c r="I1" s="2"/>
      <c r="J1" s="2"/>
      <c r="K1" s="2"/>
      <c r="L1" s="2"/>
      <c r="M1" s="2"/>
      <c r="N1" s="2"/>
    </row>
    <row r="2" spans="1:23" x14ac:dyDescent="0.3">
      <c r="A2" s="1"/>
      <c r="B2" s="1"/>
      <c r="I2" s="2"/>
      <c r="J2" s="2"/>
      <c r="K2" s="2"/>
      <c r="L2" s="2"/>
      <c r="M2" s="2"/>
      <c r="N2" s="2"/>
    </row>
    <row r="3" spans="1:23" x14ac:dyDescent="0.3">
      <c r="A3" s="1"/>
      <c r="B3" s="1"/>
      <c r="I3" s="2"/>
      <c r="J3" s="2"/>
      <c r="K3" s="2"/>
      <c r="L3" s="2"/>
      <c r="M3" s="2"/>
      <c r="N3" s="2"/>
    </row>
    <row r="4" spans="1:23" x14ac:dyDescent="0.3">
      <c r="A4" s="1"/>
      <c r="B4" s="1"/>
      <c r="F4" s="3"/>
      <c r="I4" s="2"/>
      <c r="J4" s="2"/>
      <c r="K4" s="2"/>
      <c r="L4" s="2"/>
      <c r="M4" s="2"/>
      <c r="N4" s="2"/>
    </row>
    <row r="5" spans="1:23" x14ac:dyDescent="0.3">
      <c r="A5" s="1"/>
      <c r="C5" s="2"/>
      <c r="E5" s="2"/>
      <c r="I5" s="2"/>
      <c r="J5" s="2"/>
      <c r="K5" s="2"/>
      <c r="L5" s="2"/>
      <c r="M5" s="2"/>
      <c r="N5" s="2"/>
    </row>
    <row r="6" spans="1:23" x14ac:dyDescent="0.3">
      <c r="C6" s="2"/>
      <c r="E6" s="2"/>
      <c r="I6" s="2"/>
      <c r="J6" s="2"/>
      <c r="K6" s="2"/>
      <c r="L6" s="2"/>
      <c r="M6" s="2"/>
      <c r="N6" s="2"/>
      <c r="R6" s="5"/>
    </row>
    <row r="7" spans="1:23" x14ac:dyDescent="0.3">
      <c r="C7" s="2"/>
      <c r="E7" s="2"/>
      <c r="I7" s="2"/>
      <c r="J7" s="2"/>
      <c r="K7" s="2"/>
      <c r="L7" s="2"/>
      <c r="M7" s="2"/>
      <c r="N7" s="2"/>
    </row>
    <row r="8" spans="1:23" ht="33.75" customHeight="1" x14ac:dyDescent="0.3">
      <c r="C8" s="2"/>
      <c r="E8" s="2"/>
      <c r="I8" s="2"/>
      <c r="J8" s="2"/>
      <c r="K8" s="2"/>
      <c r="L8" s="2"/>
      <c r="M8" s="2"/>
      <c r="N8" s="2"/>
      <c r="O8" s="144" t="s">
        <v>606</v>
      </c>
      <c r="P8" s="145"/>
      <c r="Q8" s="145"/>
    </row>
    <row r="9" spans="1:23" x14ac:dyDescent="0.3">
      <c r="I9" s="2"/>
      <c r="J9" s="2"/>
      <c r="K9" s="2"/>
      <c r="L9" s="2"/>
      <c r="M9" s="2"/>
      <c r="N9" s="2"/>
      <c r="S9" s="7">
        <v>0.16</v>
      </c>
    </row>
    <row r="10" spans="1:23" s="11" customFormat="1" ht="10.199999999999999" customHeight="1" x14ac:dyDescent="0.3">
      <c r="A10" s="14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2"/>
    </row>
    <row r="11" spans="1:23" s="12" customFormat="1" ht="31.95" customHeight="1" x14ac:dyDescent="0.3">
      <c r="A11" s="148" t="s">
        <v>264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</row>
    <row r="12" spans="1:23" s="17" customFormat="1" ht="31.2" customHeight="1" x14ac:dyDescent="0.3">
      <c r="A12" s="150" t="s">
        <v>33</v>
      </c>
      <c r="B12" s="137" t="s">
        <v>38</v>
      </c>
      <c r="C12" s="137" t="s">
        <v>39</v>
      </c>
      <c r="D12" s="137" t="s">
        <v>266</v>
      </c>
      <c r="E12" s="137" t="s">
        <v>267</v>
      </c>
      <c r="F12" s="137" t="s">
        <v>268</v>
      </c>
      <c r="G12" s="137" t="s">
        <v>270</v>
      </c>
      <c r="H12" s="142"/>
      <c r="I12" s="76" t="s">
        <v>273</v>
      </c>
      <c r="J12" s="76" t="s">
        <v>273</v>
      </c>
      <c r="K12" s="76" t="s">
        <v>273</v>
      </c>
      <c r="L12" s="143" t="s">
        <v>276</v>
      </c>
      <c r="M12" s="143" t="s">
        <v>277</v>
      </c>
      <c r="N12" s="143" t="s">
        <v>278</v>
      </c>
      <c r="O12" s="137" t="s">
        <v>607</v>
      </c>
      <c r="P12" s="67" t="s">
        <v>275</v>
      </c>
      <c r="Q12" s="67" t="s">
        <v>275</v>
      </c>
      <c r="R12" s="137" t="s">
        <v>276</v>
      </c>
      <c r="S12" s="137" t="s">
        <v>277</v>
      </c>
      <c r="T12" s="137" t="s">
        <v>278</v>
      </c>
      <c r="U12" s="137" t="s">
        <v>282</v>
      </c>
      <c r="V12" s="137" t="s">
        <v>283</v>
      </c>
      <c r="W12" s="139" t="s">
        <v>608</v>
      </c>
    </row>
    <row r="13" spans="1:23" s="26" customFormat="1" ht="25.5" hidden="1" customHeight="1" x14ac:dyDescent="0.3">
      <c r="A13" s="138"/>
      <c r="B13" s="138"/>
      <c r="C13" s="138"/>
      <c r="D13" s="138"/>
      <c r="E13" s="138"/>
      <c r="F13" s="138"/>
      <c r="G13" s="21">
        <v>2026</v>
      </c>
      <c r="H13" s="21">
        <v>2027</v>
      </c>
      <c r="I13" s="90">
        <v>2026</v>
      </c>
      <c r="J13" s="90" t="s">
        <v>609</v>
      </c>
      <c r="K13" s="90" t="s">
        <v>610</v>
      </c>
      <c r="L13" s="138"/>
      <c r="M13" s="138"/>
      <c r="N13" s="138"/>
      <c r="O13" s="138"/>
      <c r="P13" s="22">
        <v>2026</v>
      </c>
      <c r="Q13" s="23">
        <v>2027</v>
      </c>
      <c r="R13" s="138"/>
      <c r="S13" s="138"/>
      <c r="T13" s="138"/>
      <c r="U13" s="138"/>
      <c r="V13" s="138"/>
      <c r="W13" s="140"/>
    </row>
    <row r="14" spans="1:23" s="29" customFormat="1" ht="28.2" hidden="1" customHeight="1" x14ac:dyDescent="0.3">
      <c r="A14" s="86">
        <v>6</v>
      </c>
      <c r="B14" s="87" t="s">
        <v>47</v>
      </c>
      <c r="C14" s="107" t="s">
        <v>81</v>
      </c>
      <c r="D14" s="88" t="s">
        <v>82</v>
      </c>
      <c r="E14" s="108" t="s">
        <v>80</v>
      </c>
      <c r="F14" s="109" t="s">
        <v>286</v>
      </c>
      <c r="G14" s="79">
        <v>1</v>
      </c>
      <c r="H14" s="80">
        <v>2</v>
      </c>
      <c r="I14" s="48">
        <v>80000</v>
      </c>
      <c r="J14" s="48">
        <f>I14</f>
        <v>80000</v>
      </c>
      <c r="K14" s="48">
        <f>J14</f>
        <v>80000</v>
      </c>
      <c r="L14" s="48">
        <f>SUM(I14:K14)</f>
        <v>240000</v>
      </c>
      <c r="M14" s="48">
        <f>L14*0.16</f>
        <v>38400</v>
      </c>
      <c r="N14" s="48">
        <f>SUM(L14:M14)</f>
        <v>278400</v>
      </c>
      <c r="O14" s="77">
        <v>150000</v>
      </c>
      <c r="P14" s="77">
        <f t="shared" ref="P14:P74" si="0">G14*O14</f>
        <v>150000</v>
      </c>
      <c r="Q14" s="77">
        <f t="shared" ref="Q14:Q74" si="1">H14*O14</f>
        <v>300000</v>
      </c>
      <c r="R14" s="77">
        <f>SUM(P14:Q14)</f>
        <v>450000</v>
      </c>
      <c r="S14" s="77">
        <f t="shared" ref="S14:S74" si="2">R14*$S$9</f>
        <v>72000</v>
      </c>
      <c r="T14" s="77">
        <f t="shared" ref="T14:T74" si="3">SUM(R14:S14)</f>
        <v>522000</v>
      </c>
      <c r="U14" s="78" t="s">
        <v>50</v>
      </c>
      <c r="V14" s="82" t="s">
        <v>292</v>
      </c>
      <c r="W14" s="83" t="s">
        <v>608</v>
      </c>
    </row>
    <row r="15" spans="1:23" s="29" customFormat="1" ht="28.2" hidden="1" customHeight="1" x14ac:dyDescent="0.3">
      <c r="A15" s="86">
        <v>16</v>
      </c>
      <c r="B15" s="68" t="s">
        <v>172</v>
      </c>
      <c r="C15" s="72" t="s">
        <v>173</v>
      </c>
      <c r="D15" s="73" t="s">
        <v>174</v>
      </c>
      <c r="E15" s="72" t="s">
        <v>171</v>
      </c>
      <c r="F15" s="109" t="s">
        <v>294</v>
      </c>
      <c r="G15" s="79">
        <v>1</v>
      </c>
      <c r="H15" s="80">
        <v>2</v>
      </c>
      <c r="I15" s="48">
        <v>77500</v>
      </c>
      <c r="J15" s="48">
        <f t="shared" ref="J15:K29" si="4">I15</f>
        <v>77500</v>
      </c>
      <c r="K15" s="48">
        <f t="shared" si="4"/>
        <v>77500</v>
      </c>
      <c r="L15" s="48">
        <f>SUM(I15:K15)</f>
        <v>232500</v>
      </c>
      <c r="M15" s="48">
        <f>L15*0.16</f>
        <v>37200</v>
      </c>
      <c r="N15" s="48">
        <f t="shared" ref="N15:N28" si="5">SUM(L15:M15)</f>
        <v>269700</v>
      </c>
      <c r="O15" s="77">
        <v>180000</v>
      </c>
      <c r="P15" s="77">
        <f t="shared" si="0"/>
        <v>180000</v>
      </c>
      <c r="Q15" s="77">
        <f t="shared" si="1"/>
        <v>360000</v>
      </c>
      <c r="R15" s="77">
        <f t="shared" ref="R15:R42" si="6">SUM(P15:Q15)</f>
        <v>540000</v>
      </c>
      <c r="S15" s="77">
        <f t="shared" si="2"/>
        <v>86400</v>
      </c>
      <c r="T15" s="77">
        <f t="shared" si="3"/>
        <v>626400</v>
      </c>
      <c r="U15" s="78" t="s">
        <v>50</v>
      </c>
      <c r="V15" s="82" t="s">
        <v>295</v>
      </c>
      <c r="W15" s="83" t="s">
        <v>608</v>
      </c>
    </row>
    <row r="16" spans="1:23" s="29" customFormat="1" ht="28.2" hidden="1" customHeight="1" x14ac:dyDescent="0.3">
      <c r="A16" s="86">
        <v>17</v>
      </c>
      <c r="B16" s="68" t="s">
        <v>172</v>
      </c>
      <c r="C16" s="69" t="s">
        <v>117</v>
      </c>
      <c r="D16" s="70" t="s">
        <v>175</v>
      </c>
      <c r="E16" s="71" t="s">
        <v>171</v>
      </c>
      <c r="F16" s="109" t="s">
        <v>297</v>
      </c>
      <c r="G16" s="79">
        <v>1</v>
      </c>
      <c r="H16" s="80">
        <v>2</v>
      </c>
      <c r="I16" s="48">
        <v>122850</v>
      </c>
      <c r="J16" s="48">
        <f t="shared" si="4"/>
        <v>122850</v>
      </c>
      <c r="K16" s="48">
        <f t="shared" si="4"/>
        <v>122850</v>
      </c>
      <c r="L16" s="48">
        <f>SUM(I16:K16)</f>
        <v>368550</v>
      </c>
      <c r="M16" s="48">
        <f>L16*0.16</f>
        <v>58968</v>
      </c>
      <c r="N16" s="48">
        <f t="shared" si="5"/>
        <v>427518</v>
      </c>
      <c r="O16" s="77">
        <v>225000</v>
      </c>
      <c r="P16" s="77">
        <f t="shared" si="0"/>
        <v>225000</v>
      </c>
      <c r="Q16" s="77">
        <f t="shared" si="1"/>
        <v>450000</v>
      </c>
      <c r="R16" s="77">
        <f t="shared" si="6"/>
        <v>675000</v>
      </c>
      <c r="S16" s="77">
        <f t="shared" si="2"/>
        <v>108000</v>
      </c>
      <c r="T16" s="77">
        <f t="shared" si="3"/>
        <v>783000</v>
      </c>
      <c r="U16" s="78" t="s">
        <v>50</v>
      </c>
      <c r="V16" s="82" t="s">
        <v>295</v>
      </c>
      <c r="W16" s="83" t="s">
        <v>608</v>
      </c>
    </row>
    <row r="17" spans="1:23" s="29" customFormat="1" ht="28.2" hidden="1" customHeight="1" x14ac:dyDescent="0.3">
      <c r="A17" s="86">
        <v>19</v>
      </c>
      <c r="B17" s="68" t="s">
        <v>47</v>
      </c>
      <c r="C17" s="72" t="s">
        <v>48</v>
      </c>
      <c r="D17" s="73" t="s">
        <v>49</v>
      </c>
      <c r="E17" s="72" t="s">
        <v>46</v>
      </c>
      <c r="F17" s="109" t="s">
        <v>299</v>
      </c>
      <c r="G17" s="79">
        <v>1</v>
      </c>
      <c r="H17" s="80">
        <v>2</v>
      </c>
      <c r="I17" s="48">
        <v>75000</v>
      </c>
      <c r="J17" s="48">
        <f t="shared" si="4"/>
        <v>75000</v>
      </c>
      <c r="K17" s="48">
        <f t="shared" si="4"/>
        <v>75000</v>
      </c>
      <c r="L17" s="48">
        <f t="shared" ref="L17:L28" si="7">SUM(I17:K17)</f>
        <v>225000</v>
      </c>
      <c r="M17" s="48">
        <f t="shared" ref="M17:M28" si="8">L17*0.16</f>
        <v>36000</v>
      </c>
      <c r="N17" s="48">
        <f t="shared" si="5"/>
        <v>261000</v>
      </c>
      <c r="O17" s="77">
        <v>160000</v>
      </c>
      <c r="P17" s="77">
        <f t="shared" si="0"/>
        <v>160000</v>
      </c>
      <c r="Q17" s="77">
        <f t="shared" si="1"/>
        <v>320000</v>
      </c>
      <c r="R17" s="77">
        <f t="shared" si="6"/>
        <v>480000</v>
      </c>
      <c r="S17" s="77">
        <f t="shared" si="2"/>
        <v>76800</v>
      </c>
      <c r="T17" s="77">
        <f t="shared" si="3"/>
        <v>556800</v>
      </c>
      <c r="U17" s="78" t="s">
        <v>50</v>
      </c>
      <c r="V17" s="82" t="s">
        <v>300</v>
      </c>
      <c r="W17" s="83" t="s">
        <v>608</v>
      </c>
    </row>
    <row r="18" spans="1:23" s="29" customFormat="1" ht="28.2" hidden="1" customHeight="1" x14ac:dyDescent="0.3">
      <c r="A18" s="86">
        <v>20</v>
      </c>
      <c r="B18" s="68" t="s">
        <v>47</v>
      </c>
      <c r="C18" s="72" t="s">
        <v>48</v>
      </c>
      <c r="D18" s="68" t="s">
        <v>53</v>
      </c>
      <c r="E18" s="69" t="s">
        <v>46</v>
      </c>
      <c r="F18" s="109" t="s">
        <v>301</v>
      </c>
      <c r="G18" s="79">
        <v>1</v>
      </c>
      <c r="H18" s="80">
        <v>2</v>
      </c>
      <c r="I18" s="48">
        <v>75000</v>
      </c>
      <c r="J18" s="48">
        <f t="shared" si="4"/>
        <v>75000</v>
      </c>
      <c r="K18" s="48">
        <f t="shared" si="4"/>
        <v>75000</v>
      </c>
      <c r="L18" s="48">
        <f t="shared" si="7"/>
        <v>225000</v>
      </c>
      <c r="M18" s="48">
        <f t="shared" si="8"/>
        <v>36000</v>
      </c>
      <c r="N18" s="48">
        <f t="shared" si="5"/>
        <v>261000</v>
      </c>
      <c r="O18" s="77">
        <v>160000</v>
      </c>
      <c r="P18" s="77">
        <f t="shared" si="0"/>
        <v>160000</v>
      </c>
      <c r="Q18" s="77">
        <f t="shared" si="1"/>
        <v>320000</v>
      </c>
      <c r="R18" s="77">
        <f t="shared" si="6"/>
        <v>480000</v>
      </c>
      <c r="S18" s="77">
        <f t="shared" si="2"/>
        <v>76800</v>
      </c>
      <c r="T18" s="77">
        <f t="shared" si="3"/>
        <v>556800</v>
      </c>
      <c r="U18" s="78" t="s">
        <v>50</v>
      </c>
      <c r="V18" s="82" t="s">
        <v>300</v>
      </c>
      <c r="W18" s="83" t="s">
        <v>608</v>
      </c>
    </row>
    <row r="19" spans="1:23" s="29" customFormat="1" ht="28.2" hidden="1" customHeight="1" x14ac:dyDescent="0.3">
      <c r="A19" s="86">
        <v>21</v>
      </c>
      <c r="B19" s="68" t="s">
        <v>47</v>
      </c>
      <c r="C19" s="72" t="s">
        <v>48</v>
      </c>
      <c r="D19" s="73" t="s">
        <v>54</v>
      </c>
      <c r="E19" s="72" t="s">
        <v>46</v>
      </c>
      <c r="F19" s="110" t="s">
        <v>303</v>
      </c>
      <c r="G19" s="79">
        <v>1</v>
      </c>
      <c r="H19" s="80">
        <v>2</v>
      </c>
      <c r="I19" s="48">
        <v>75000</v>
      </c>
      <c r="J19" s="48">
        <f t="shared" si="4"/>
        <v>75000</v>
      </c>
      <c r="K19" s="48">
        <f t="shared" si="4"/>
        <v>75000</v>
      </c>
      <c r="L19" s="48">
        <f t="shared" si="7"/>
        <v>225000</v>
      </c>
      <c r="M19" s="48">
        <f t="shared" si="8"/>
        <v>36000</v>
      </c>
      <c r="N19" s="48">
        <f t="shared" si="5"/>
        <v>261000</v>
      </c>
      <c r="O19" s="77">
        <v>160000</v>
      </c>
      <c r="P19" s="77">
        <f t="shared" si="0"/>
        <v>160000</v>
      </c>
      <c r="Q19" s="77">
        <f t="shared" si="1"/>
        <v>320000</v>
      </c>
      <c r="R19" s="77">
        <f t="shared" si="6"/>
        <v>480000</v>
      </c>
      <c r="S19" s="77">
        <f t="shared" si="2"/>
        <v>76800</v>
      </c>
      <c r="T19" s="77">
        <f t="shared" si="3"/>
        <v>556800</v>
      </c>
      <c r="U19" s="78" t="s">
        <v>50</v>
      </c>
      <c r="V19" s="82" t="s">
        <v>300</v>
      </c>
      <c r="W19" s="83" t="s">
        <v>608</v>
      </c>
    </row>
    <row r="20" spans="1:23" s="29" customFormat="1" ht="28.2" hidden="1" customHeight="1" x14ac:dyDescent="0.3">
      <c r="A20" s="86">
        <v>22</v>
      </c>
      <c r="B20" s="68" t="s">
        <v>47</v>
      </c>
      <c r="C20" s="72" t="s">
        <v>48</v>
      </c>
      <c r="D20" s="68" t="s">
        <v>55</v>
      </c>
      <c r="E20" s="69" t="s">
        <v>46</v>
      </c>
      <c r="F20" s="109" t="s">
        <v>304</v>
      </c>
      <c r="G20" s="79">
        <v>1</v>
      </c>
      <c r="H20" s="80">
        <v>2</v>
      </c>
      <c r="I20" s="48">
        <v>75000</v>
      </c>
      <c r="J20" s="48">
        <f t="shared" si="4"/>
        <v>75000</v>
      </c>
      <c r="K20" s="48">
        <f t="shared" si="4"/>
        <v>75000</v>
      </c>
      <c r="L20" s="48">
        <f t="shared" si="7"/>
        <v>225000</v>
      </c>
      <c r="M20" s="48">
        <f t="shared" si="8"/>
        <v>36000</v>
      </c>
      <c r="N20" s="48">
        <f t="shared" si="5"/>
        <v>261000</v>
      </c>
      <c r="O20" s="77">
        <v>160000</v>
      </c>
      <c r="P20" s="77">
        <f t="shared" si="0"/>
        <v>160000</v>
      </c>
      <c r="Q20" s="77">
        <f t="shared" si="1"/>
        <v>320000</v>
      </c>
      <c r="R20" s="77">
        <f t="shared" si="6"/>
        <v>480000</v>
      </c>
      <c r="S20" s="77">
        <f t="shared" si="2"/>
        <v>76800</v>
      </c>
      <c r="T20" s="77">
        <f t="shared" si="3"/>
        <v>556800</v>
      </c>
      <c r="U20" s="78" t="s">
        <v>50</v>
      </c>
      <c r="V20" s="82" t="s">
        <v>300</v>
      </c>
      <c r="W20" s="83" t="s">
        <v>608</v>
      </c>
    </row>
    <row r="21" spans="1:23" s="29" customFormat="1" ht="28.2" hidden="1" customHeight="1" x14ac:dyDescent="0.3">
      <c r="A21" s="86">
        <v>23</v>
      </c>
      <c r="B21" s="68" t="s">
        <v>47</v>
      </c>
      <c r="C21" s="72" t="s">
        <v>56</v>
      </c>
      <c r="D21" s="73" t="s">
        <v>57</v>
      </c>
      <c r="E21" s="72" t="s">
        <v>46</v>
      </c>
      <c r="F21" s="109" t="s">
        <v>305</v>
      </c>
      <c r="G21" s="79">
        <v>1</v>
      </c>
      <c r="H21" s="80">
        <v>2</v>
      </c>
      <c r="I21" s="48">
        <v>120000</v>
      </c>
      <c r="J21" s="48">
        <f t="shared" si="4"/>
        <v>120000</v>
      </c>
      <c r="K21" s="48">
        <f t="shared" si="4"/>
        <v>120000</v>
      </c>
      <c r="L21" s="48">
        <f t="shared" si="7"/>
        <v>360000</v>
      </c>
      <c r="M21" s="48">
        <f t="shared" si="8"/>
        <v>57600</v>
      </c>
      <c r="N21" s="48">
        <f t="shared" si="5"/>
        <v>417600</v>
      </c>
      <c r="O21" s="77">
        <v>350000</v>
      </c>
      <c r="P21" s="77">
        <f t="shared" si="0"/>
        <v>350000</v>
      </c>
      <c r="Q21" s="77">
        <f t="shared" si="1"/>
        <v>700000</v>
      </c>
      <c r="R21" s="77">
        <f t="shared" si="6"/>
        <v>1050000</v>
      </c>
      <c r="S21" s="77">
        <f t="shared" si="2"/>
        <v>168000</v>
      </c>
      <c r="T21" s="77">
        <f t="shared" si="3"/>
        <v>1218000</v>
      </c>
      <c r="U21" s="78" t="s">
        <v>50</v>
      </c>
      <c r="V21" s="82" t="s">
        <v>300</v>
      </c>
      <c r="W21" s="83" t="s">
        <v>608</v>
      </c>
    </row>
    <row r="22" spans="1:23" s="29" customFormat="1" ht="28.2" hidden="1" customHeight="1" x14ac:dyDescent="0.3">
      <c r="A22" s="86">
        <v>24</v>
      </c>
      <c r="B22" s="68" t="s">
        <v>47</v>
      </c>
      <c r="C22" s="72" t="s">
        <v>56</v>
      </c>
      <c r="D22" s="73" t="s">
        <v>65</v>
      </c>
      <c r="E22" s="72" t="s">
        <v>46</v>
      </c>
      <c r="F22" s="110" t="s">
        <v>307</v>
      </c>
      <c r="G22" s="79">
        <v>1</v>
      </c>
      <c r="H22" s="80">
        <v>2</v>
      </c>
      <c r="I22" s="48">
        <v>120000</v>
      </c>
      <c r="J22" s="48">
        <f t="shared" si="4"/>
        <v>120000</v>
      </c>
      <c r="K22" s="48">
        <f t="shared" si="4"/>
        <v>120000</v>
      </c>
      <c r="L22" s="48">
        <f t="shared" si="7"/>
        <v>360000</v>
      </c>
      <c r="M22" s="48">
        <f t="shared" si="8"/>
        <v>57600</v>
      </c>
      <c r="N22" s="48">
        <f t="shared" si="5"/>
        <v>417600</v>
      </c>
      <c r="O22" s="77">
        <v>350000</v>
      </c>
      <c r="P22" s="77">
        <f t="shared" si="0"/>
        <v>350000</v>
      </c>
      <c r="Q22" s="77">
        <f t="shared" si="1"/>
        <v>700000</v>
      </c>
      <c r="R22" s="77">
        <f t="shared" si="6"/>
        <v>1050000</v>
      </c>
      <c r="S22" s="77">
        <f t="shared" si="2"/>
        <v>168000</v>
      </c>
      <c r="T22" s="77">
        <f t="shared" si="3"/>
        <v>1218000</v>
      </c>
      <c r="U22" s="78" t="s">
        <v>50</v>
      </c>
      <c r="V22" s="82" t="s">
        <v>300</v>
      </c>
      <c r="W22" s="83" t="s">
        <v>608</v>
      </c>
    </row>
    <row r="23" spans="1:23" s="29" customFormat="1" ht="28.2" hidden="1" customHeight="1" x14ac:dyDescent="0.3">
      <c r="A23" s="86">
        <v>25</v>
      </c>
      <c r="B23" s="68" t="s">
        <v>47</v>
      </c>
      <c r="C23" s="72" t="s">
        <v>56</v>
      </c>
      <c r="D23" s="68" t="s">
        <v>66</v>
      </c>
      <c r="E23" s="69" t="s">
        <v>46</v>
      </c>
      <c r="F23" s="109" t="s">
        <v>308</v>
      </c>
      <c r="G23" s="79">
        <v>1</v>
      </c>
      <c r="H23" s="80">
        <v>2</v>
      </c>
      <c r="I23" s="48">
        <v>120000</v>
      </c>
      <c r="J23" s="48">
        <f t="shared" si="4"/>
        <v>120000</v>
      </c>
      <c r="K23" s="48">
        <f t="shared" si="4"/>
        <v>120000</v>
      </c>
      <c r="L23" s="48">
        <f t="shared" si="7"/>
        <v>360000</v>
      </c>
      <c r="M23" s="48">
        <f t="shared" si="8"/>
        <v>57600</v>
      </c>
      <c r="N23" s="48">
        <f t="shared" si="5"/>
        <v>417600</v>
      </c>
      <c r="O23" s="77">
        <v>350000</v>
      </c>
      <c r="P23" s="77">
        <f t="shared" si="0"/>
        <v>350000</v>
      </c>
      <c r="Q23" s="77">
        <f t="shared" si="1"/>
        <v>700000</v>
      </c>
      <c r="R23" s="77">
        <f t="shared" si="6"/>
        <v>1050000</v>
      </c>
      <c r="S23" s="77">
        <f t="shared" si="2"/>
        <v>168000</v>
      </c>
      <c r="T23" s="77">
        <f t="shared" si="3"/>
        <v>1218000</v>
      </c>
      <c r="U23" s="78" t="s">
        <v>50</v>
      </c>
      <c r="V23" s="82" t="s">
        <v>300</v>
      </c>
      <c r="W23" s="83" t="s">
        <v>608</v>
      </c>
    </row>
    <row r="24" spans="1:23" s="29" customFormat="1" ht="28.2" hidden="1" customHeight="1" x14ac:dyDescent="0.3">
      <c r="A24" s="86">
        <v>26</v>
      </c>
      <c r="B24" s="68" t="s">
        <v>47</v>
      </c>
      <c r="C24" s="72" t="s">
        <v>130</v>
      </c>
      <c r="D24" s="68" t="s">
        <v>131</v>
      </c>
      <c r="E24" s="69" t="s">
        <v>46</v>
      </c>
      <c r="F24" s="109" t="s">
        <v>310</v>
      </c>
      <c r="G24" s="79">
        <v>1</v>
      </c>
      <c r="H24" s="80">
        <v>2</v>
      </c>
      <c r="I24" s="48">
        <v>100000</v>
      </c>
      <c r="J24" s="48">
        <f t="shared" si="4"/>
        <v>100000</v>
      </c>
      <c r="K24" s="48">
        <f t="shared" si="4"/>
        <v>100000</v>
      </c>
      <c r="L24" s="48">
        <f t="shared" si="7"/>
        <v>300000</v>
      </c>
      <c r="M24" s="48">
        <f t="shared" si="8"/>
        <v>48000</v>
      </c>
      <c r="N24" s="48">
        <f t="shared" si="5"/>
        <v>348000</v>
      </c>
      <c r="O24" s="77">
        <v>500000</v>
      </c>
      <c r="P24" s="77">
        <f t="shared" si="0"/>
        <v>500000</v>
      </c>
      <c r="Q24" s="77">
        <f t="shared" si="1"/>
        <v>1000000</v>
      </c>
      <c r="R24" s="77">
        <f t="shared" si="6"/>
        <v>1500000</v>
      </c>
      <c r="S24" s="77">
        <f t="shared" si="2"/>
        <v>240000</v>
      </c>
      <c r="T24" s="77">
        <f t="shared" si="3"/>
        <v>1740000</v>
      </c>
      <c r="U24" s="78" t="s">
        <v>50</v>
      </c>
      <c r="V24" s="82" t="s">
        <v>311</v>
      </c>
      <c r="W24" s="83" t="s">
        <v>608</v>
      </c>
    </row>
    <row r="25" spans="1:23" s="29" customFormat="1" ht="28.2" hidden="1" customHeight="1" x14ac:dyDescent="0.3">
      <c r="A25" s="86">
        <v>27</v>
      </c>
      <c r="B25" s="68" t="s">
        <v>47</v>
      </c>
      <c r="C25" s="72" t="s">
        <v>83</v>
      </c>
      <c r="D25" s="73" t="s">
        <v>84</v>
      </c>
      <c r="E25" s="72" t="s">
        <v>46</v>
      </c>
      <c r="F25" s="109" t="s">
        <v>312</v>
      </c>
      <c r="G25" s="79">
        <v>1</v>
      </c>
      <c r="H25" s="80">
        <v>2</v>
      </c>
      <c r="I25" s="48">
        <v>150000</v>
      </c>
      <c r="J25" s="48">
        <f t="shared" si="4"/>
        <v>150000</v>
      </c>
      <c r="K25" s="48">
        <f t="shared" si="4"/>
        <v>150000</v>
      </c>
      <c r="L25" s="48">
        <f t="shared" si="7"/>
        <v>450000</v>
      </c>
      <c r="M25" s="48">
        <f t="shared" si="8"/>
        <v>72000</v>
      </c>
      <c r="N25" s="48">
        <f t="shared" si="5"/>
        <v>522000</v>
      </c>
      <c r="O25" s="77">
        <v>420000</v>
      </c>
      <c r="P25" s="77">
        <f t="shared" si="0"/>
        <v>420000</v>
      </c>
      <c r="Q25" s="77">
        <f t="shared" si="1"/>
        <v>840000</v>
      </c>
      <c r="R25" s="77">
        <f t="shared" si="6"/>
        <v>1260000</v>
      </c>
      <c r="S25" s="77">
        <f t="shared" si="2"/>
        <v>201600</v>
      </c>
      <c r="T25" s="77">
        <f t="shared" si="3"/>
        <v>1461600</v>
      </c>
      <c r="U25" s="78" t="s">
        <v>50</v>
      </c>
      <c r="V25" s="82" t="s">
        <v>295</v>
      </c>
      <c r="W25" s="83" t="s">
        <v>608</v>
      </c>
    </row>
    <row r="26" spans="1:23" s="29" customFormat="1" ht="28.2" hidden="1" customHeight="1" x14ac:dyDescent="0.3">
      <c r="A26" s="86">
        <v>28</v>
      </c>
      <c r="B26" s="68" t="s">
        <v>47</v>
      </c>
      <c r="C26" s="72" t="s">
        <v>83</v>
      </c>
      <c r="D26" s="68" t="s">
        <v>85</v>
      </c>
      <c r="E26" s="69" t="s">
        <v>46</v>
      </c>
      <c r="F26" s="109" t="s">
        <v>313</v>
      </c>
      <c r="G26" s="79">
        <v>1</v>
      </c>
      <c r="H26" s="80">
        <v>2</v>
      </c>
      <c r="I26" s="48">
        <v>150000</v>
      </c>
      <c r="J26" s="48">
        <f t="shared" si="4"/>
        <v>150000</v>
      </c>
      <c r="K26" s="48">
        <f t="shared" si="4"/>
        <v>150000</v>
      </c>
      <c r="L26" s="48">
        <f t="shared" si="7"/>
        <v>450000</v>
      </c>
      <c r="M26" s="48">
        <f t="shared" si="8"/>
        <v>72000</v>
      </c>
      <c r="N26" s="48">
        <f t="shared" si="5"/>
        <v>522000</v>
      </c>
      <c r="O26" s="77">
        <v>420000</v>
      </c>
      <c r="P26" s="77">
        <f t="shared" si="0"/>
        <v>420000</v>
      </c>
      <c r="Q26" s="77">
        <f t="shared" si="1"/>
        <v>840000</v>
      </c>
      <c r="R26" s="77">
        <f t="shared" si="6"/>
        <v>1260000</v>
      </c>
      <c r="S26" s="77">
        <f t="shared" si="2"/>
        <v>201600</v>
      </c>
      <c r="T26" s="77">
        <f t="shared" si="3"/>
        <v>1461600</v>
      </c>
      <c r="U26" s="78" t="s">
        <v>50</v>
      </c>
      <c r="V26" s="82" t="s">
        <v>295</v>
      </c>
      <c r="W26" s="83" t="s">
        <v>608</v>
      </c>
    </row>
    <row r="27" spans="1:23" s="29" customFormat="1" ht="28.2" hidden="1" customHeight="1" x14ac:dyDescent="0.3">
      <c r="A27" s="86">
        <v>29</v>
      </c>
      <c r="B27" s="68" t="s">
        <v>47</v>
      </c>
      <c r="C27" s="72" t="s">
        <v>86</v>
      </c>
      <c r="D27" s="68" t="s">
        <v>87</v>
      </c>
      <c r="E27" s="69" t="s">
        <v>46</v>
      </c>
      <c r="F27" s="109" t="s">
        <v>314</v>
      </c>
      <c r="G27" s="79">
        <v>1</v>
      </c>
      <c r="H27" s="80">
        <v>2</v>
      </c>
      <c r="I27" s="48">
        <v>75000</v>
      </c>
      <c r="J27" s="48">
        <f t="shared" si="4"/>
        <v>75000</v>
      </c>
      <c r="K27" s="48">
        <f t="shared" si="4"/>
        <v>75000</v>
      </c>
      <c r="L27" s="48">
        <f t="shared" si="7"/>
        <v>225000</v>
      </c>
      <c r="M27" s="48">
        <f t="shared" si="8"/>
        <v>36000</v>
      </c>
      <c r="N27" s="48">
        <f t="shared" si="5"/>
        <v>261000</v>
      </c>
      <c r="O27" s="77">
        <v>150000</v>
      </c>
      <c r="P27" s="77">
        <f t="shared" si="0"/>
        <v>150000</v>
      </c>
      <c r="Q27" s="77">
        <f t="shared" si="1"/>
        <v>300000</v>
      </c>
      <c r="R27" s="77">
        <f t="shared" si="6"/>
        <v>450000</v>
      </c>
      <c r="S27" s="77">
        <f t="shared" si="2"/>
        <v>72000</v>
      </c>
      <c r="T27" s="77">
        <f t="shared" si="3"/>
        <v>522000</v>
      </c>
      <c r="U27" s="78" t="s">
        <v>50</v>
      </c>
      <c r="V27" s="82" t="s">
        <v>295</v>
      </c>
      <c r="W27" s="83" t="s">
        <v>608</v>
      </c>
    </row>
    <row r="28" spans="1:23" s="29" customFormat="1" ht="28.2" hidden="1" customHeight="1" x14ac:dyDescent="0.3">
      <c r="A28" s="86">
        <v>30</v>
      </c>
      <c r="B28" s="68" t="s">
        <v>47</v>
      </c>
      <c r="C28" s="72" t="s">
        <v>232</v>
      </c>
      <c r="D28" s="73" t="s">
        <v>233</v>
      </c>
      <c r="E28" s="72" t="s">
        <v>46</v>
      </c>
      <c r="F28" s="109" t="s">
        <v>315</v>
      </c>
      <c r="G28" s="79">
        <v>1</v>
      </c>
      <c r="H28" s="79">
        <v>2</v>
      </c>
      <c r="I28" s="48">
        <v>50000</v>
      </c>
      <c r="J28" s="48">
        <f t="shared" si="4"/>
        <v>50000</v>
      </c>
      <c r="K28" s="48">
        <f t="shared" si="4"/>
        <v>50000</v>
      </c>
      <c r="L28" s="48">
        <f t="shared" si="7"/>
        <v>150000</v>
      </c>
      <c r="M28" s="48">
        <f t="shared" si="8"/>
        <v>24000</v>
      </c>
      <c r="N28" s="48">
        <f t="shared" si="5"/>
        <v>174000</v>
      </c>
      <c r="O28" s="77">
        <v>150000</v>
      </c>
      <c r="P28" s="77">
        <f t="shared" si="0"/>
        <v>150000</v>
      </c>
      <c r="Q28" s="77">
        <f t="shared" si="1"/>
        <v>300000</v>
      </c>
      <c r="R28" s="77">
        <f t="shared" si="6"/>
        <v>450000</v>
      </c>
      <c r="S28" s="77">
        <f t="shared" si="2"/>
        <v>72000</v>
      </c>
      <c r="T28" s="77">
        <f t="shared" si="3"/>
        <v>522000</v>
      </c>
      <c r="U28" s="78" t="s">
        <v>50</v>
      </c>
      <c r="V28" s="82" t="s">
        <v>316</v>
      </c>
      <c r="W28" s="83" t="s">
        <v>608</v>
      </c>
    </row>
    <row r="29" spans="1:23" s="29" customFormat="1" ht="28.2" hidden="1" customHeight="1" x14ac:dyDescent="0.3">
      <c r="A29" s="86">
        <v>32</v>
      </c>
      <c r="B29" s="68" t="s">
        <v>47</v>
      </c>
      <c r="C29" s="72" t="s">
        <v>234</v>
      </c>
      <c r="D29" s="73" t="s">
        <v>235</v>
      </c>
      <c r="E29" s="72" t="s">
        <v>46</v>
      </c>
      <c r="F29" s="109" t="s">
        <v>321</v>
      </c>
      <c r="G29" s="79">
        <v>1</v>
      </c>
      <c r="H29" s="79">
        <v>2</v>
      </c>
      <c r="I29" s="48">
        <v>150000</v>
      </c>
      <c r="J29" s="48">
        <f t="shared" si="4"/>
        <v>150000</v>
      </c>
      <c r="K29" s="48">
        <f t="shared" si="4"/>
        <v>150000</v>
      </c>
      <c r="L29" s="48">
        <f t="shared" ref="L29:L32" si="9">SUM(I29:K29)</f>
        <v>450000</v>
      </c>
      <c r="M29" s="48">
        <f t="shared" ref="M29:M32" si="10">L29*0.16</f>
        <v>72000</v>
      </c>
      <c r="N29" s="48">
        <f t="shared" ref="N29:N32" si="11">SUM(L29:M29)</f>
        <v>522000</v>
      </c>
      <c r="O29" s="77">
        <v>330000</v>
      </c>
      <c r="P29" s="77">
        <f t="shared" si="0"/>
        <v>330000</v>
      </c>
      <c r="Q29" s="77">
        <f t="shared" si="1"/>
        <v>660000</v>
      </c>
      <c r="R29" s="77">
        <f t="shared" si="6"/>
        <v>990000</v>
      </c>
      <c r="S29" s="77">
        <f t="shared" si="2"/>
        <v>158400</v>
      </c>
      <c r="T29" s="77">
        <f t="shared" si="3"/>
        <v>1148400</v>
      </c>
      <c r="U29" s="78" t="s">
        <v>50</v>
      </c>
      <c r="V29" s="82" t="s">
        <v>322</v>
      </c>
      <c r="W29" s="83" t="s">
        <v>608</v>
      </c>
    </row>
    <row r="30" spans="1:23" s="29" customFormat="1" ht="28.2" hidden="1" customHeight="1" x14ac:dyDescent="0.3">
      <c r="A30" s="86">
        <v>33</v>
      </c>
      <c r="B30" s="68" t="s">
        <v>47</v>
      </c>
      <c r="C30" s="72" t="s">
        <v>88</v>
      </c>
      <c r="D30" s="73" t="s">
        <v>89</v>
      </c>
      <c r="E30" s="72" t="s">
        <v>46</v>
      </c>
      <c r="F30" s="109" t="s">
        <v>323</v>
      </c>
      <c r="G30" s="79">
        <v>1</v>
      </c>
      <c r="H30" s="79">
        <v>2</v>
      </c>
      <c r="I30" s="48">
        <v>75000</v>
      </c>
      <c r="J30" s="48">
        <f t="shared" ref="J30:K43" si="12">I30</f>
        <v>75000</v>
      </c>
      <c r="K30" s="48">
        <f t="shared" si="12"/>
        <v>75000</v>
      </c>
      <c r="L30" s="48">
        <f t="shared" si="9"/>
        <v>225000</v>
      </c>
      <c r="M30" s="48">
        <f t="shared" si="10"/>
        <v>36000</v>
      </c>
      <c r="N30" s="48">
        <f t="shared" si="11"/>
        <v>261000</v>
      </c>
      <c r="O30" s="77">
        <v>145000</v>
      </c>
      <c r="P30" s="77">
        <f t="shared" si="0"/>
        <v>145000</v>
      </c>
      <c r="Q30" s="77">
        <f t="shared" si="1"/>
        <v>290000</v>
      </c>
      <c r="R30" s="77">
        <f t="shared" si="6"/>
        <v>435000</v>
      </c>
      <c r="S30" s="77">
        <f t="shared" si="2"/>
        <v>69600</v>
      </c>
      <c r="T30" s="77">
        <f t="shared" si="3"/>
        <v>504600</v>
      </c>
      <c r="U30" s="78" t="s">
        <v>50</v>
      </c>
      <c r="V30" s="82" t="s">
        <v>295</v>
      </c>
      <c r="W30" s="83" t="s">
        <v>608</v>
      </c>
    </row>
    <row r="31" spans="1:23" s="29" customFormat="1" ht="28.2" hidden="1" customHeight="1" x14ac:dyDescent="0.3">
      <c r="A31" s="86">
        <v>34</v>
      </c>
      <c r="B31" s="68" t="s">
        <v>47</v>
      </c>
      <c r="C31" s="72" t="s">
        <v>90</v>
      </c>
      <c r="D31" s="73" t="s">
        <v>91</v>
      </c>
      <c r="E31" s="72" t="s">
        <v>46</v>
      </c>
      <c r="F31" s="109" t="s">
        <v>324</v>
      </c>
      <c r="G31" s="79">
        <v>1</v>
      </c>
      <c r="H31" s="79">
        <v>2</v>
      </c>
      <c r="I31" s="48">
        <v>60000</v>
      </c>
      <c r="J31" s="48">
        <f t="shared" si="12"/>
        <v>60000</v>
      </c>
      <c r="K31" s="48">
        <f t="shared" si="12"/>
        <v>60000</v>
      </c>
      <c r="L31" s="48">
        <f t="shared" si="9"/>
        <v>180000</v>
      </c>
      <c r="M31" s="48">
        <f t="shared" si="10"/>
        <v>28800</v>
      </c>
      <c r="N31" s="48">
        <f t="shared" si="11"/>
        <v>208800</v>
      </c>
      <c r="O31" s="77">
        <v>175000</v>
      </c>
      <c r="P31" s="77">
        <f t="shared" si="0"/>
        <v>175000</v>
      </c>
      <c r="Q31" s="77">
        <f t="shared" si="1"/>
        <v>350000</v>
      </c>
      <c r="R31" s="77">
        <f t="shared" si="6"/>
        <v>525000</v>
      </c>
      <c r="S31" s="77">
        <f t="shared" si="2"/>
        <v>84000</v>
      </c>
      <c r="T31" s="77">
        <f t="shared" si="3"/>
        <v>609000</v>
      </c>
      <c r="U31" s="78" t="s">
        <v>50</v>
      </c>
      <c r="V31" s="82" t="s">
        <v>295</v>
      </c>
      <c r="W31" s="83" t="s">
        <v>608</v>
      </c>
    </row>
    <row r="32" spans="1:23" s="29" customFormat="1" ht="28.2" hidden="1" customHeight="1" x14ac:dyDescent="0.3">
      <c r="A32" s="86">
        <v>35</v>
      </c>
      <c r="B32" s="68" t="s">
        <v>47</v>
      </c>
      <c r="C32" s="72" t="s">
        <v>92</v>
      </c>
      <c r="D32" s="73" t="s">
        <v>93</v>
      </c>
      <c r="E32" s="72" t="s">
        <v>46</v>
      </c>
      <c r="F32" s="109" t="s">
        <v>325</v>
      </c>
      <c r="G32" s="79">
        <v>1</v>
      </c>
      <c r="H32" s="79">
        <v>2</v>
      </c>
      <c r="I32" s="48">
        <v>60000</v>
      </c>
      <c r="J32" s="48">
        <f t="shared" si="12"/>
        <v>60000</v>
      </c>
      <c r="K32" s="48">
        <f t="shared" si="12"/>
        <v>60000</v>
      </c>
      <c r="L32" s="48">
        <f t="shared" si="9"/>
        <v>180000</v>
      </c>
      <c r="M32" s="48">
        <f t="shared" si="10"/>
        <v>28800</v>
      </c>
      <c r="N32" s="48">
        <f t="shared" si="11"/>
        <v>208800</v>
      </c>
      <c r="O32" s="77">
        <v>175000</v>
      </c>
      <c r="P32" s="77">
        <f t="shared" si="0"/>
        <v>175000</v>
      </c>
      <c r="Q32" s="77">
        <f t="shared" si="1"/>
        <v>350000</v>
      </c>
      <c r="R32" s="77">
        <f t="shared" si="6"/>
        <v>525000</v>
      </c>
      <c r="S32" s="77">
        <f t="shared" si="2"/>
        <v>84000</v>
      </c>
      <c r="T32" s="77">
        <f t="shared" si="3"/>
        <v>609000</v>
      </c>
      <c r="U32" s="78" t="s">
        <v>50</v>
      </c>
      <c r="V32" s="82" t="s">
        <v>295</v>
      </c>
      <c r="W32" s="83" t="s">
        <v>608</v>
      </c>
    </row>
    <row r="33" spans="1:23" s="29" customFormat="1" ht="28.2" hidden="1" customHeight="1" x14ac:dyDescent="0.3">
      <c r="A33" s="86">
        <v>38</v>
      </c>
      <c r="B33" s="68" t="s">
        <v>47</v>
      </c>
      <c r="C33" s="72" t="s">
        <v>132</v>
      </c>
      <c r="D33" s="68" t="s">
        <v>133</v>
      </c>
      <c r="E33" s="69" t="s">
        <v>46</v>
      </c>
      <c r="F33" s="109" t="s">
        <v>332</v>
      </c>
      <c r="G33" s="79">
        <v>1</v>
      </c>
      <c r="H33" s="80">
        <v>2</v>
      </c>
      <c r="I33" s="48">
        <v>20000</v>
      </c>
      <c r="J33" s="48">
        <f t="shared" si="12"/>
        <v>20000</v>
      </c>
      <c r="K33" s="48">
        <f t="shared" si="12"/>
        <v>20000</v>
      </c>
      <c r="L33" s="48">
        <f t="shared" ref="L33:L79" si="13">SUM(I33:K33)</f>
        <v>60000</v>
      </c>
      <c r="M33" s="48">
        <f t="shared" ref="M33:M79" si="14">L33*0.16</f>
        <v>9600</v>
      </c>
      <c r="N33" s="48">
        <f t="shared" ref="N33:N79" si="15">SUM(L33:M33)</f>
        <v>69600</v>
      </c>
      <c r="O33" s="77">
        <v>140000</v>
      </c>
      <c r="P33" s="77">
        <f t="shared" si="0"/>
        <v>140000</v>
      </c>
      <c r="Q33" s="77">
        <f t="shared" si="1"/>
        <v>280000</v>
      </c>
      <c r="R33" s="77">
        <f t="shared" si="6"/>
        <v>420000</v>
      </c>
      <c r="S33" s="77">
        <f t="shared" si="2"/>
        <v>67200</v>
      </c>
      <c r="T33" s="77">
        <f t="shared" si="3"/>
        <v>487200</v>
      </c>
      <c r="U33" s="78" t="s">
        <v>50</v>
      </c>
      <c r="V33" s="82" t="s">
        <v>311</v>
      </c>
      <c r="W33" s="83" t="s">
        <v>608</v>
      </c>
    </row>
    <row r="34" spans="1:23" s="29" customFormat="1" ht="28.2" hidden="1" customHeight="1" x14ac:dyDescent="0.3">
      <c r="A34" s="86">
        <v>39</v>
      </c>
      <c r="B34" s="68" t="s">
        <v>47</v>
      </c>
      <c r="C34" s="72" t="s">
        <v>132</v>
      </c>
      <c r="D34" s="73" t="s">
        <v>134</v>
      </c>
      <c r="E34" s="72" t="s">
        <v>46</v>
      </c>
      <c r="F34" s="109" t="s">
        <v>333</v>
      </c>
      <c r="G34" s="79">
        <v>1</v>
      </c>
      <c r="H34" s="80">
        <v>2</v>
      </c>
      <c r="I34" s="48">
        <v>20000</v>
      </c>
      <c r="J34" s="48">
        <f t="shared" si="12"/>
        <v>20000</v>
      </c>
      <c r="K34" s="48">
        <f t="shared" si="12"/>
        <v>20000</v>
      </c>
      <c r="L34" s="48">
        <f t="shared" si="13"/>
        <v>60000</v>
      </c>
      <c r="M34" s="48">
        <f t="shared" si="14"/>
        <v>9600</v>
      </c>
      <c r="N34" s="48">
        <f t="shared" si="15"/>
        <v>69600</v>
      </c>
      <c r="O34" s="77">
        <v>140000</v>
      </c>
      <c r="P34" s="77">
        <f t="shared" si="0"/>
        <v>140000</v>
      </c>
      <c r="Q34" s="77">
        <f t="shared" si="1"/>
        <v>280000</v>
      </c>
      <c r="R34" s="77">
        <f t="shared" si="6"/>
        <v>420000</v>
      </c>
      <c r="S34" s="77">
        <f t="shared" si="2"/>
        <v>67200</v>
      </c>
      <c r="T34" s="77">
        <f t="shared" si="3"/>
        <v>487200</v>
      </c>
      <c r="U34" s="78" t="s">
        <v>50</v>
      </c>
      <c r="V34" s="82" t="s">
        <v>311</v>
      </c>
      <c r="W34" s="83" t="s">
        <v>608</v>
      </c>
    </row>
    <row r="35" spans="1:23" s="29" customFormat="1" ht="28.2" hidden="1" customHeight="1" x14ac:dyDescent="0.3">
      <c r="A35" s="86">
        <v>40</v>
      </c>
      <c r="B35" s="68" t="s">
        <v>47</v>
      </c>
      <c r="C35" s="72" t="s">
        <v>132</v>
      </c>
      <c r="D35" s="73" t="s">
        <v>135</v>
      </c>
      <c r="E35" s="72" t="s">
        <v>46</v>
      </c>
      <c r="F35" s="109" t="s">
        <v>334</v>
      </c>
      <c r="G35" s="79">
        <v>1</v>
      </c>
      <c r="H35" s="80">
        <v>2</v>
      </c>
      <c r="I35" s="48">
        <v>20000</v>
      </c>
      <c r="J35" s="48">
        <f t="shared" si="12"/>
        <v>20000</v>
      </c>
      <c r="K35" s="48">
        <f t="shared" si="12"/>
        <v>20000</v>
      </c>
      <c r="L35" s="48">
        <f t="shared" si="13"/>
        <v>60000</v>
      </c>
      <c r="M35" s="48">
        <f t="shared" si="14"/>
        <v>9600</v>
      </c>
      <c r="N35" s="48">
        <f t="shared" si="15"/>
        <v>69600</v>
      </c>
      <c r="O35" s="77">
        <v>140000</v>
      </c>
      <c r="P35" s="77">
        <f t="shared" si="0"/>
        <v>140000</v>
      </c>
      <c r="Q35" s="77">
        <f t="shared" si="1"/>
        <v>280000</v>
      </c>
      <c r="R35" s="77">
        <f t="shared" si="6"/>
        <v>420000</v>
      </c>
      <c r="S35" s="77">
        <f t="shared" si="2"/>
        <v>67200</v>
      </c>
      <c r="T35" s="77">
        <f t="shared" si="3"/>
        <v>487200</v>
      </c>
      <c r="U35" s="78" t="s">
        <v>50</v>
      </c>
      <c r="V35" s="82" t="s">
        <v>311</v>
      </c>
      <c r="W35" s="83" t="s">
        <v>608</v>
      </c>
    </row>
    <row r="36" spans="1:23" s="29" customFormat="1" ht="28.2" hidden="1" customHeight="1" x14ac:dyDescent="0.3">
      <c r="A36" s="86">
        <v>41</v>
      </c>
      <c r="B36" s="68" t="s">
        <v>47</v>
      </c>
      <c r="C36" s="72" t="s">
        <v>136</v>
      </c>
      <c r="D36" s="73" t="s">
        <v>137</v>
      </c>
      <c r="E36" s="72" t="s">
        <v>46</v>
      </c>
      <c r="F36" s="109" t="s">
        <v>335</v>
      </c>
      <c r="G36" s="79">
        <v>1</v>
      </c>
      <c r="H36" s="80">
        <v>2</v>
      </c>
      <c r="I36" s="48">
        <v>55000</v>
      </c>
      <c r="J36" s="48">
        <f t="shared" si="12"/>
        <v>55000</v>
      </c>
      <c r="K36" s="48">
        <f t="shared" si="12"/>
        <v>55000</v>
      </c>
      <c r="L36" s="48">
        <f t="shared" si="13"/>
        <v>165000</v>
      </c>
      <c r="M36" s="48">
        <f t="shared" si="14"/>
        <v>26400</v>
      </c>
      <c r="N36" s="48">
        <f t="shared" si="15"/>
        <v>191400</v>
      </c>
      <c r="O36" s="77">
        <v>125000</v>
      </c>
      <c r="P36" s="77">
        <f t="shared" si="0"/>
        <v>125000</v>
      </c>
      <c r="Q36" s="77">
        <f t="shared" si="1"/>
        <v>250000</v>
      </c>
      <c r="R36" s="77">
        <f t="shared" si="6"/>
        <v>375000</v>
      </c>
      <c r="S36" s="77">
        <f t="shared" si="2"/>
        <v>60000</v>
      </c>
      <c r="T36" s="77">
        <f t="shared" si="3"/>
        <v>435000</v>
      </c>
      <c r="U36" s="78" t="s">
        <v>50</v>
      </c>
      <c r="V36" s="82" t="s">
        <v>336</v>
      </c>
      <c r="W36" s="83" t="s">
        <v>608</v>
      </c>
    </row>
    <row r="37" spans="1:23" s="29" customFormat="1" ht="28.2" hidden="1" customHeight="1" x14ac:dyDescent="0.3">
      <c r="A37" s="86">
        <v>42</v>
      </c>
      <c r="B37" s="68" t="s">
        <v>47</v>
      </c>
      <c r="C37" s="72" t="s">
        <v>138</v>
      </c>
      <c r="D37" s="73" t="s">
        <v>139</v>
      </c>
      <c r="E37" s="72" t="s">
        <v>46</v>
      </c>
      <c r="F37" s="109" t="s">
        <v>337</v>
      </c>
      <c r="G37" s="79">
        <v>1</v>
      </c>
      <c r="H37" s="80">
        <v>2</v>
      </c>
      <c r="I37" s="48">
        <v>55000</v>
      </c>
      <c r="J37" s="48">
        <f t="shared" si="12"/>
        <v>55000</v>
      </c>
      <c r="K37" s="48">
        <f t="shared" si="12"/>
        <v>55000</v>
      </c>
      <c r="L37" s="48">
        <f t="shared" si="13"/>
        <v>165000</v>
      </c>
      <c r="M37" s="48">
        <f t="shared" si="14"/>
        <v>26400</v>
      </c>
      <c r="N37" s="48">
        <f t="shared" si="15"/>
        <v>191400</v>
      </c>
      <c r="O37" s="77">
        <v>125000</v>
      </c>
      <c r="P37" s="77">
        <f t="shared" si="0"/>
        <v>125000</v>
      </c>
      <c r="Q37" s="77">
        <f t="shared" si="1"/>
        <v>250000</v>
      </c>
      <c r="R37" s="77">
        <f t="shared" si="6"/>
        <v>375000</v>
      </c>
      <c r="S37" s="77">
        <f t="shared" si="2"/>
        <v>60000</v>
      </c>
      <c r="T37" s="77">
        <f t="shared" si="3"/>
        <v>435000</v>
      </c>
      <c r="U37" s="78" t="s">
        <v>50</v>
      </c>
      <c r="V37" s="82" t="s">
        <v>336</v>
      </c>
      <c r="W37" s="83" t="s">
        <v>608</v>
      </c>
    </row>
    <row r="38" spans="1:23" s="29" customFormat="1" ht="28.2" hidden="1" customHeight="1" x14ac:dyDescent="0.3">
      <c r="A38" s="86">
        <v>43</v>
      </c>
      <c r="B38" s="68" t="s">
        <v>47</v>
      </c>
      <c r="C38" s="72" t="s">
        <v>140</v>
      </c>
      <c r="D38" s="68" t="s">
        <v>141</v>
      </c>
      <c r="E38" s="69" t="s">
        <v>46</v>
      </c>
      <c r="F38" s="109" t="s">
        <v>338</v>
      </c>
      <c r="G38" s="79">
        <v>1</v>
      </c>
      <c r="H38" s="79">
        <v>2</v>
      </c>
      <c r="I38" s="48">
        <v>47500</v>
      </c>
      <c r="J38" s="48">
        <f t="shared" si="12"/>
        <v>47500</v>
      </c>
      <c r="K38" s="48">
        <f t="shared" si="12"/>
        <v>47500</v>
      </c>
      <c r="L38" s="48">
        <f t="shared" si="13"/>
        <v>142500</v>
      </c>
      <c r="M38" s="48">
        <f t="shared" si="14"/>
        <v>22800</v>
      </c>
      <c r="N38" s="48">
        <f t="shared" si="15"/>
        <v>165300</v>
      </c>
      <c r="O38" s="77">
        <v>150000</v>
      </c>
      <c r="P38" s="77">
        <f t="shared" si="0"/>
        <v>150000</v>
      </c>
      <c r="Q38" s="77">
        <f t="shared" si="1"/>
        <v>300000</v>
      </c>
      <c r="R38" s="77">
        <f t="shared" si="6"/>
        <v>450000</v>
      </c>
      <c r="S38" s="77">
        <f t="shared" si="2"/>
        <v>72000</v>
      </c>
      <c r="T38" s="77">
        <f t="shared" si="3"/>
        <v>522000</v>
      </c>
      <c r="U38" s="78" t="s">
        <v>50</v>
      </c>
      <c r="V38" s="82" t="s">
        <v>336</v>
      </c>
      <c r="W38" s="83" t="s">
        <v>608</v>
      </c>
    </row>
    <row r="39" spans="1:23" s="29" customFormat="1" ht="28.2" hidden="1" customHeight="1" x14ac:dyDescent="0.3">
      <c r="A39" s="86">
        <v>44</v>
      </c>
      <c r="B39" s="68" t="s">
        <v>47</v>
      </c>
      <c r="C39" s="72" t="s">
        <v>152</v>
      </c>
      <c r="D39" s="73" t="s">
        <v>153</v>
      </c>
      <c r="E39" s="72" t="s">
        <v>46</v>
      </c>
      <c r="F39" s="109" t="s">
        <v>339</v>
      </c>
      <c r="G39" s="79">
        <v>1</v>
      </c>
      <c r="H39" s="79">
        <v>2</v>
      </c>
      <c r="I39" s="48">
        <v>47500</v>
      </c>
      <c r="J39" s="48">
        <f t="shared" si="12"/>
        <v>47500</v>
      </c>
      <c r="K39" s="48">
        <f t="shared" si="12"/>
        <v>47500</v>
      </c>
      <c r="L39" s="48">
        <f t="shared" si="13"/>
        <v>142500</v>
      </c>
      <c r="M39" s="48">
        <f t="shared" si="14"/>
        <v>22800</v>
      </c>
      <c r="N39" s="48">
        <f t="shared" si="15"/>
        <v>165300</v>
      </c>
      <c r="O39" s="77">
        <v>150000</v>
      </c>
      <c r="P39" s="77">
        <f t="shared" si="0"/>
        <v>150000</v>
      </c>
      <c r="Q39" s="77">
        <f t="shared" si="1"/>
        <v>300000</v>
      </c>
      <c r="R39" s="77">
        <f t="shared" si="6"/>
        <v>450000</v>
      </c>
      <c r="S39" s="77">
        <f t="shared" si="2"/>
        <v>72000</v>
      </c>
      <c r="T39" s="77">
        <f t="shared" si="3"/>
        <v>522000</v>
      </c>
      <c r="U39" s="78" t="s">
        <v>50</v>
      </c>
      <c r="V39" s="82" t="s">
        <v>336</v>
      </c>
      <c r="W39" s="83" t="s">
        <v>608</v>
      </c>
    </row>
    <row r="40" spans="1:23" s="29" customFormat="1" ht="28.2" hidden="1" customHeight="1" x14ac:dyDescent="0.3">
      <c r="A40" s="86">
        <v>45</v>
      </c>
      <c r="B40" s="68" t="s">
        <v>47</v>
      </c>
      <c r="C40" s="72" t="s">
        <v>154</v>
      </c>
      <c r="D40" s="68" t="s">
        <v>155</v>
      </c>
      <c r="E40" s="69" t="s">
        <v>46</v>
      </c>
      <c r="F40" s="109" t="s">
        <v>340</v>
      </c>
      <c r="G40" s="79">
        <v>1</v>
      </c>
      <c r="H40" s="80">
        <v>2</v>
      </c>
      <c r="I40" s="48">
        <v>5000</v>
      </c>
      <c r="J40" s="48">
        <f t="shared" si="12"/>
        <v>5000</v>
      </c>
      <c r="K40" s="48">
        <f t="shared" si="12"/>
        <v>5000</v>
      </c>
      <c r="L40" s="48">
        <f t="shared" si="13"/>
        <v>15000</v>
      </c>
      <c r="M40" s="48">
        <f t="shared" si="14"/>
        <v>2400</v>
      </c>
      <c r="N40" s="48">
        <f t="shared" si="15"/>
        <v>17400</v>
      </c>
      <c r="O40" s="77">
        <v>150000</v>
      </c>
      <c r="P40" s="77">
        <f t="shared" si="0"/>
        <v>150000</v>
      </c>
      <c r="Q40" s="77">
        <f t="shared" si="1"/>
        <v>300000</v>
      </c>
      <c r="R40" s="77">
        <f t="shared" si="6"/>
        <v>450000</v>
      </c>
      <c r="S40" s="77">
        <f t="shared" si="2"/>
        <v>72000</v>
      </c>
      <c r="T40" s="77">
        <f t="shared" si="3"/>
        <v>522000</v>
      </c>
      <c r="U40" s="78" t="s">
        <v>50</v>
      </c>
      <c r="V40" s="82" t="s">
        <v>311</v>
      </c>
      <c r="W40" s="83" t="s">
        <v>608</v>
      </c>
    </row>
    <row r="41" spans="1:23" s="29" customFormat="1" ht="28.2" hidden="1" customHeight="1" x14ac:dyDescent="0.3">
      <c r="A41" s="86">
        <v>46</v>
      </c>
      <c r="B41" s="68" t="s">
        <v>47</v>
      </c>
      <c r="C41" s="72" t="s">
        <v>154</v>
      </c>
      <c r="D41" s="73" t="s">
        <v>156</v>
      </c>
      <c r="E41" s="72" t="s">
        <v>46</v>
      </c>
      <c r="F41" s="109" t="s">
        <v>341</v>
      </c>
      <c r="G41" s="79">
        <v>1</v>
      </c>
      <c r="H41" s="80">
        <v>2</v>
      </c>
      <c r="I41" s="48">
        <v>5000</v>
      </c>
      <c r="J41" s="48">
        <f t="shared" si="12"/>
        <v>5000</v>
      </c>
      <c r="K41" s="48">
        <f t="shared" si="12"/>
        <v>5000</v>
      </c>
      <c r="L41" s="48">
        <f t="shared" si="13"/>
        <v>15000</v>
      </c>
      <c r="M41" s="48">
        <f t="shared" si="14"/>
        <v>2400</v>
      </c>
      <c r="N41" s="48">
        <f t="shared" si="15"/>
        <v>17400</v>
      </c>
      <c r="O41" s="77">
        <v>150000</v>
      </c>
      <c r="P41" s="77">
        <f t="shared" si="0"/>
        <v>150000</v>
      </c>
      <c r="Q41" s="77">
        <f t="shared" si="1"/>
        <v>300000</v>
      </c>
      <c r="R41" s="77">
        <f t="shared" si="6"/>
        <v>450000</v>
      </c>
      <c r="S41" s="77">
        <f t="shared" si="2"/>
        <v>72000</v>
      </c>
      <c r="T41" s="77">
        <f t="shared" si="3"/>
        <v>522000</v>
      </c>
      <c r="U41" s="78" t="s">
        <v>50</v>
      </c>
      <c r="V41" s="82" t="s">
        <v>311</v>
      </c>
      <c r="W41" s="83" t="s">
        <v>608</v>
      </c>
    </row>
    <row r="42" spans="1:23" s="29" customFormat="1" ht="28.2" hidden="1" customHeight="1" x14ac:dyDescent="0.3">
      <c r="A42" s="86">
        <v>47</v>
      </c>
      <c r="B42" s="68" t="s">
        <v>47</v>
      </c>
      <c r="C42" s="72" t="s">
        <v>154</v>
      </c>
      <c r="D42" s="68" t="s">
        <v>157</v>
      </c>
      <c r="E42" s="69" t="s">
        <v>46</v>
      </c>
      <c r="F42" s="109" t="s">
        <v>342</v>
      </c>
      <c r="G42" s="79">
        <v>1</v>
      </c>
      <c r="H42" s="80">
        <v>2</v>
      </c>
      <c r="I42" s="48">
        <v>5000</v>
      </c>
      <c r="J42" s="48">
        <f t="shared" si="12"/>
        <v>5000</v>
      </c>
      <c r="K42" s="48">
        <f t="shared" si="12"/>
        <v>5000</v>
      </c>
      <c r="L42" s="48">
        <f t="shared" si="13"/>
        <v>15000</v>
      </c>
      <c r="M42" s="48">
        <f t="shared" si="14"/>
        <v>2400</v>
      </c>
      <c r="N42" s="48">
        <f t="shared" si="15"/>
        <v>17400</v>
      </c>
      <c r="O42" s="77">
        <v>150000</v>
      </c>
      <c r="P42" s="77">
        <f t="shared" si="0"/>
        <v>150000</v>
      </c>
      <c r="Q42" s="77">
        <f t="shared" si="1"/>
        <v>300000</v>
      </c>
      <c r="R42" s="77">
        <f t="shared" si="6"/>
        <v>450000</v>
      </c>
      <c r="S42" s="77">
        <f t="shared" si="2"/>
        <v>72000</v>
      </c>
      <c r="T42" s="77">
        <f t="shared" si="3"/>
        <v>522000</v>
      </c>
      <c r="U42" s="78" t="s">
        <v>50</v>
      </c>
      <c r="V42" s="82" t="s">
        <v>311</v>
      </c>
      <c r="W42" s="83" t="s">
        <v>608</v>
      </c>
    </row>
    <row r="43" spans="1:23" s="29" customFormat="1" ht="28.2" hidden="1" customHeight="1" x14ac:dyDescent="0.3">
      <c r="A43" s="86">
        <v>48</v>
      </c>
      <c r="B43" s="68" t="s">
        <v>47</v>
      </c>
      <c r="C43" s="72" t="s">
        <v>154</v>
      </c>
      <c r="D43" s="73" t="s">
        <v>158</v>
      </c>
      <c r="E43" s="72" t="s">
        <v>46</v>
      </c>
      <c r="F43" s="109" t="s">
        <v>343</v>
      </c>
      <c r="G43" s="79">
        <v>1</v>
      </c>
      <c r="H43" s="80">
        <v>2</v>
      </c>
      <c r="I43" s="48">
        <v>5000</v>
      </c>
      <c r="J43" s="48">
        <f t="shared" si="12"/>
        <v>5000</v>
      </c>
      <c r="K43" s="48">
        <f t="shared" si="12"/>
        <v>5000</v>
      </c>
      <c r="L43" s="48">
        <f t="shared" si="13"/>
        <v>15000</v>
      </c>
      <c r="M43" s="48">
        <f t="shared" si="14"/>
        <v>2400</v>
      </c>
      <c r="N43" s="48">
        <f t="shared" si="15"/>
        <v>17400</v>
      </c>
      <c r="O43" s="77">
        <v>150000</v>
      </c>
      <c r="P43" s="77">
        <f t="shared" si="0"/>
        <v>150000</v>
      </c>
      <c r="Q43" s="77">
        <f t="shared" si="1"/>
        <v>300000</v>
      </c>
      <c r="R43" s="77">
        <f t="shared" ref="R43:R83" si="16">SUM(P43:Q43)</f>
        <v>450000</v>
      </c>
      <c r="S43" s="77">
        <f t="shared" si="2"/>
        <v>72000</v>
      </c>
      <c r="T43" s="77">
        <f t="shared" si="3"/>
        <v>522000</v>
      </c>
      <c r="U43" s="78" t="s">
        <v>50</v>
      </c>
      <c r="V43" s="82" t="s">
        <v>311</v>
      </c>
      <c r="W43" s="83" t="s">
        <v>608</v>
      </c>
    </row>
    <row r="44" spans="1:23" s="29" customFormat="1" ht="28.2" hidden="1" customHeight="1" x14ac:dyDescent="0.3">
      <c r="A44" s="86">
        <v>49</v>
      </c>
      <c r="B44" s="68" t="s">
        <v>47</v>
      </c>
      <c r="C44" s="72" t="s">
        <v>176</v>
      </c>
      <c r="D44" s="73" t="s">
        <v>177</v>
      </c>
      <c r="E44" s="72" t="s">
        <v>46</v>
      </c>
      <c r="F44" s="109" t="s">
        <v>344</v>
      </c>
      <c r="G44" s="79">
        <v>1</v>
      </c>
      <c r="H44" s="80">
        <v>2</v>
      </c>
      <c r="I44" s="48">
        <v>15000</v>
      </c>
      <c r="J44" s="48">
        <f t="shared" ref="J44:K59" si="17">I44</f>
        <v>15000</v>
      </c>
      <c r="K44" s="48">
        <f t="shared" si="17"/>
        <v>15000</v>
      </c>
      <c r="L44" s="48">
        <f t="shared" si="13"/>
        <v>45000</v>
      </c>
      <c r="M44" s="48">
        <f t="shared" si="14"/>
        <v>7200</v>
      </c>
      <c r="N44" s="48">
        <f t="shared" si="15"/>
        <v>52200</v>
      </c>
      <c r="O44" s="77">
        <v>120000</v>
      </c>
      <c r="P44" s="77">
        <f t="shared" si="0"/>
        <v>120000</v>
      </c>
      <c r="Q44" s="77">
        <f t="shared" si="1"/>
        <v>240000</v>
      </c>
      <c r="R44" s="77">
        <f t="shared" si="16"/>
        <v>360000</v>
      </c>
      <c r="S44" s="77">
        <f t="shared" si="2"/>
        <v>57600</v>
      </c>
      <c r="T44" s="77">
        <f t="shared" si="3"/>
        <v>417600</v>
      </c>
      <c r="U44" s="78" t="s">
        <v>50</v>
      </c>
      <c r="V44" s="82" t="s">
        <v>345</v>
      </c>
      <c r="W44" s="83" t="s">
        <v>608</v>
      </c>
    </row>
    <row r="45" spans="1:23" s="29" customFormat="1" ht="28.2" hidden="1" customHeight="1" x14ac:dyDescent="0.3">
      <c r="A45" s="86">
        <v>50</v>
      </c>
      <c r="B45" s="68" t="s">
        <v>47</v>
      </c>
      <c r="C45" s="72" t="s">
        <v>176</v>
      </c>
      <c r="D45" s="68" t="s">
        <v>178</v>
      </c>
      <c r="E45" s="69" t="s">
        <v>46</v>
      </c>
      <c r="F45" s="109" t="s">
        <v>346</v>
      </c>
      <c r="G45" s="79">
        <v>1</v>
      </c>
      <c r="H45" s="80">
        <v>2</v>
      </c>
      <c r="I45" s="48">
        <v>15000</v>
      </c>
      <c r="J45" s="48">
        <f t="shared" si="17"/>
        <v>15000</v>
      </c>
      <c r="K45" s="48">
        <f t="shared" si="17"/>
        <v>15000</v>
      </c>
      <c r="L45" s="48">
        <f t="shared" si="13"/>
        <v>45000</v>
      </c>
      <c r="M45" s="48">
        <f t="shared" si="14"/>
        <v>7200</v>
      </c>
      <c r="N45" s="48">
        <f t="shared" si="15"/>
        <v>52200</v>
      </c>
      <c r="O45" s="77">
        <v>120000</v>
      </c>
      <c r="P45" s="77">
        <f t="shared" si="0"/>
        <v>120000</v>
      </c>
      <c r="Q45" s="77">
        <f t="shared" si="1"/>
        <v>240000</v>
      </c>
      <c r="R45" s="77">
        <f t="shared" si="16"/>
        <v>360000</v>
      </c>
      <c r="S45" s="77">
        <f t="shared" si="2"/>
        <v>57600</v>
      </c>
      <c r="T45" s="77">
        <f t="shared" si="3"/>
        <v>417600</v>
      </c>
      <c r="U45" s="78" t="s">
        <v>50</v>
      </c>
      <c r="V45" s="82" t="s">
        <v>345</v>
      </c>
      <c r="W45" s="83" t="s">
        <v>608</v>
      </c>
    </row>
    <row r="46" spans="1:23" s="29" customFormat="1" ht="28.2" hidden="1" customHeight="1" x14ac:dyDescent="0.3">
      <c r="A46" s="86">
        <v>51</v>
      </c>
      <c r="B46" s="68" t="s">
        <v>47</v>
      </c>
      <c r="C46" s="72" t="s">
        <v>176</v>
      </c>
      <c r="D46" s="73" t="s">
        <v>179</v>
      </c>
      <c r="E46" s="72" t="s">
        <v>46</v>
      </c>
      <c r="F46" s="109" t="s">
        <v>347</v>
      </c>
      <c r="G46" s="79">
        <v>1</v>
      </c>
      <c r="H46" s="80">
        <v>2</v>
      </c>
      <c r="I46" s="48">
        <v>15000</v>
      </c>
      <c r="J46" s="48">
        <f t="shared" si="17"/>
        <v>15000</v>
      </c>
      <c r="K46" s="48">
        <f t="shared" si="17"/>
        <v>15000</v>
      </c>
      <c r="L46" s="48">
        <f t="shared" si="13"/>
        <v>45000</v>
      </c>
      <c r="M46" s="48">
        <f t="shared" si="14"/>
        <v>7200</v>
      </c>
      <c r="N46" s="48">
        <f t="shared" si="15"/>
        <v>52200</v>
      </c>
      <c r="O46" s="77">
        <v>120000</v>
      </c>
      <c r="P46" s="77">
        <f t="shared" si="0"/>
        <v>120000</v>
      </c>
      <c r="Q46" s="77">
        <f t="shared" si="1"/>
        <v>240000</v>
      </c>
      <c r="R46" s="77">
        <f t="shared" si="16"/>
        <v>360000</v>
      </c>
      <c r="S46" s="77">
        <f t="shared" si="2"/>
        <v>57600</v>
      </c>
      <c r="T46" s="77">
        <f t="shared" si="3"/>
        <v>417600</v>
      </c>
      <c r="U46" s="78" t="s">
        <v>50</v>
      </c>
      <c r="V46" s="82" t="s">
        <v>345</v>
      </c>
      <c r="W46" s="83" t="s">
        <v>608</v>
      </c>
    </row>
    <row r="47" spans="1:23" s="29" customFormat="1" ht="28.2" hidden="1" customHeight="1" x14ac:dyDescent="0.3">
      <c r="A47" s="86">
        <v>52</v>
      </c>
      <c r="B47" s="68" t="s">
        <v>47</v>
      </c>
      <c r="C47" s="72" t="s">
        <v>176</v>
      </c>
      <c r="D47" s="73" t="s">
        <v>180</v>
      </c>
      <c r="E47" s="72" t="s">
        <v>46</v>
      </c>
      <c r="F47" s="109" t="s">
        <v>348</v>
      </c>
      <c r="G47" s="79">
        <v>1</v>
      </c>
      <c r="H47" s="80">
        <v>2</v>
      </c>
      <c r="I47" s="48">
        <v>15000</v>
      </c>
      <c r="J47" s="48">
        <f t="shared" si="17"/>
        <v>15000</v>
      </c>
      <c r="K47" s="48">
        <f t="shared" si="17"/>
        <v>15000</v>
      </c>
      <c r="L47" s="48">
        <f t="shared" si="13"/>
        <v>45000</v>
      </c>
      <c r="M47" s="48">
        <f t="shared" si="14"/>
        <v>7200</v>
      </c>
      <c r="N47" s="48">
        <f t="shared" si="15"/>
        <v>52200</v>
      </c>
      <c r="O47" s="77">
        <v>120000</v>
      </c>
      <c r="P47" s="77">
        <f t="shared" si="0"/>
        <v>120000</v>
      </c>
      <c r="Q47" s="77">
        <f t="shared" si="1"/>
        <v>240000</v>
      </c>
      <c r="R47" s="77">
        <f t="shared" si="16"/>
        <v>360000</v>
      </c>
      <c r="S47" s="77">
        <f t="shared" si="2"/>
        <v>57600</v>
      </c>
      <c r="T47" s="77">
        <f t="shared" si="3"/>
        <v>417600</v>
      </c>
      <c r="U47" s="78" t="s">
        <v>50</v>
      </c>
      <c r="V47" s="82" t="s">
        <v>345</v>
      </c>
      <c r="W47" s="83" t="s">
        <v>608</v>
      </c>
    </row>
    <row r="48" spans="1:23" s="29" customFormat="1" ht="28.2" hidden="1" customHeight="1" x14ac:dyDescent="0.3">
      <c r="A48" s="86">
        <v>53</v>
      </c>
      <c r="B48" s="68" t="s">
        <v>47</v>
      </c>
      <c r="C48" s="72" t="s">
        <v>176</v>
      </c>
      <c r="D48" s="68" t="s">
        <v>181</v>
      </c>
      <c r="E48" s="69" t="s">
        <v>46</v>
      </c>
      <c r="F48" s="109" t="s">
        <v>349</v>
      </c>
      <c r="G48" s="79">
        <v>1</v>
      </c>
      <c r="H48" s="80">
        <v>2</v>
      </c>
      <c r="I48" s="48">
        <v>15000</v>
      </c>
      <c r="J48" s="48">
        <f t="shared" si="17"/>
        <v>15000</v>
      </c>
      <c r="K48" s="48">
        <f t="shared" si="17"/>
        <v>15000</v>
      </c>
      <c r="L48" s="48">
        <f t="shared" si="13"/>
        <v>45000</v>
      </c>
      <c r="M48" s="48">
        <f t="shared" si="14"/>
        <v>7200</v>
      </c>
      <c r="N48" s="48">
        <f t="shared" si="15"/>
        <v>52200</v>
      </c>
      <c r="O48" s="77">
        <v>120000</v>
      </c>
      <c r="P48" s="77">
        <f t="shared" si="0"/>
        <v>120000</v>
      </c>
      <c r="Q48" s="77">
        <f t="shared" si="1"/>
        <v>240000</v>
      </c>
      <c r="R48" s="77">
        <f t="shared" si="16"/>
        <v>360000</v>
      </c>
      <c r="S48" s="77">
        <f t="shared" si="2"/>
        <v>57600</v>
      </c>
      <c r="T48" s="77">
        <f t="shared" si="3"/>
        <v>417600</v>
      </c>
      <c r="U48" s="78" t="s">
        <v>50</v>
      </c>
      <c r="V48" s="82" t="s">
        <v>345</v>
      </c>
      <c r="W48" s="83" t="s">
        <v>608</v>
      </c>
    </row>
    <row r="49" spans="1:23" s="29" customFormat="1" ht="28.2" hidden="1" customHeight="1" x14ac:dyDescent="0.3">
      <c r="A49" s="86">
        <v>54</v>
      </c>
      <c r="B49" s="68" t="s">
        <v>47</v>
      </c>
      <c r="C49" s="72" t="s">
        <v>176</v>
      </c>
      <c r="D49" s="68" t="s">
        <v>182</v>
      </c>
      <c r="E49" s="69" t="s">
        <v>46</v>
      </c>
      <c r="F49" s="109" t="s">
        <v>350</v>
      </c>
      <c r="G49" s="79">
        <v>1</v>
      </c>
      <c r="H49" s="80">
        <v>2</v>
      </c>
      <c r="I49" s="48">
        <v>15000</v>
      </c>
      <c r="J49" s="48">
        <f t="shared" si="17"/>
        <v>15000</v>
      </c>
      <c r="K49" s="48">
        <f t="shared" si="17"/>
        <v>15000</v>
      </c>
      <c r="L49" s="48">
        <f t="shared" si="13"/>
        <v>45000</v>
      </c>
      <c r="M49" s="48">
        <f t="shared" si="14"/>
        <v>7200</v>
      </c>
      <c r="N49" s="48">
        <f t="shared" si="15"/>
        <v>52200</v>
      </c>
      <c r="O49" s="77">
        <v>120000</v>
      </c>
      <c r="P49" s="77">
        <f t="shared" si="0"/>
        <v>120000</v>
      </c>
      <c r="Q49" s="77">
        <f t="shared" si="1"/>
        <v>240000</v>
      </c>
      <c r="R49" s="77">
        <f t="shared" si="16"/>
        <v>360000</v>
      </c>
      <c r="S49" s="77">
        <f t="shared" si="2"/>
        <v>57600</v>
      </c>
      <c r="T49" s="77">
        <f t="shared" si="3"/>
        <v>417600</v>
      </c>
      <c r="U49" s="78" t="s">
        <v>50</v>
      </c>
      <c r="V49" s="82" t="s">
        <v>345</v>
      </c>
      <c r="W49" s="83" t="s">
        <v>608</v>
      </c>
    </row>
    <row r="50" spans="1:23" s="29" customFormat="1" ht="28.2" hidden="1" customHeight="1" x14ac:dyDescent="0.3">
      <c r="A50" s="86">
        <v>55</v>
      </c>
      <c r="B50" s="68" t="s">
        <v>47</v>
      </c>
      <c r="C50" s="72" t="s">
        <v>176</v>
      </c>
      <c r="D50" s="73" t="s">
        <v>189</v>
      </c>
      <c r="E50" s="72" t="s">
        <v>46</v>
      </c>
      <c r="F50" s="109" t="s">
        <v>351</v>
      </c>
      <c r="G50" s="79">
        <v>1</v>
      </c>
      <c r="H50" s="80">
        <v>2</v>
      </c>
      <c r="I50" s="48">
        <v>15000</v>
      </c>
      <c r="J50" s="48">
        <f t="shared" si="17"/>
        <v>15000</v>
      </c>
      <c r="K50" s="48">
        <f t="shared" si="17"/>
        <v>15000</v>
      </c>
      <c r="L50" s="48">
        <f t="shared" si="13"/>
        <v>45000</v>
      </c>
      <c r="M50" s="48">
        <f t="shared" si="14"/>
        <v>7200</v>
      </c>
      <c r="N50" s="48">
        <f t="shared" si="15"/>
        <v>52200</v>
      </c>
      <c r="O50" s="77">
        <v>120000</v>
      </c>
      <c r="P50" s="77">
        <f t="shared" si="0"/>
        <v>120000</v>
      </c>
      <c r="Q50" s="77">
        <f t="shared" si="1"/>
        <v>240000</v>
      </c>
      <c r="R50" s="77">
        <f t="shared" si="16"/>
        <v>360000</v>
      </c>
      <c r="S50" s="77">
        <f t="shared" si="2"/>
        <v>57600</v>
      </c>
      <c r="T50" s="77">
        <f t="shared" si="3"/>
        <v>417600</v>
      </c>
      <c r="U50" s="78" t="s">
        <v>50</v>
      </c>
      <c r="V50" s="82" t="s">
        <v>345</v>
      </c>
      <c r="W50" s="83" t="s">
        <v>608</v>
      </c>
    </row>
    <row r="51" spans="1:23" s="29" customFormat="1" ht="28.2" hidden="1" customHeight="1" x14ac:dyDescent="0.3">
      <c r="A51" s="86">
        <v>56</v>
      </c>
      <c r="B51" s="68" t="s">
        <v>47</v>
      </c>
      <c r="C51" s="72" t="s">
        <v>176</v>
      </c>
      <c r="D51" s="68" t="s">
        <v>190</v>
      </c>
      <c r="E51" s="69" t="s">
        <v>46</v>
      </c>
      <c r="F51" s="109" t="s">
        <v>352</v>
      </c>
      <c r="G51" s="79">
        <v>1</v>
      </c>
      <c r="H51" s="80">
        <v>2</v>
      </c>
      <c r="I51" s="48">
        <v>15000</v>
      </c>
      <c r="J51" s="48">
        <f t="shared" si="17"/>
        <v>15000</v>
      </c>
      <c r="K51" s="48">
        <f t="shared" si="17"/>
        <v>15000</v>
      </c>
      <c r="L51" s="48">
        <f t="shared" si="13"/>
        <v>45000</v>
      </c>
      <c r="M51" s="48">
        <f t="shared" si="14"/>
        <v>7200</v>
      </c>
      <c r="N51" s="48">
        <f t="shared" si="15"/>
        <v>52200</v>
      </c>
      <c r="O51" s="77">
        <v>120000</v>
      </c>
      <c r="P51" s="77">
        <f t="shared" si="0"/>
        <v>120000</v>
      </c>
      <c r="Q51" s="77">
        <f t="shared" si="1"/>
        <v>240000</v>
      </c>
      <c r="R51" s="77">
        <f t="shared" si="16"/>
        <v>360000</v>
      </c>
      <c r="S51" s="77">
        <f t="shared" si="2"/>
        <v>57600</v>
      </c>
      <c r="T51" s="77">
        <f t="shared" si="3"/>
        <v>417600</v>
      </c>
      <c r="U51" s="78" t="s">
        <v>50</v>
      </c>
      <c r="V51" s="82" t="s">
        <v>345</v>
      </c>
      <c r="W51" s="83" t="s">
        <v>608</v>
      </c>
    </row>
    <row r="52" spans="1:23" s="29" customFormat="1" ht="28.2" hidden="1" customHeight="1" x14ac:dyDescent="0.3">
      <c r="A52" s="86">
        <v>57</v>
      </c>
      <c r="B52" s="68" t="s">
        <v>47</v>
      </c>
      <c r="C52" s="72" t="s">
        <v>176</v>
      </c>
      <c r="D52" s="73" t="s">
        <v>191</v>
      </c>
      <c r="E52" s="72" t="s">
        <v>46</v>
      </c>
      <c r="F52" s="109" t="s">
        <v>353</v>
      </c>
      <c r="G52" s="79">
        <v>1</v>
      </c>
      <c r="H52" s="80">
        <v>2</v>
      </c>
      <c r="I52" s="48">
        <v>15000</v>
      </c>
      <c r="J52" s="48">
        <f t="shared" si="17"/>
        <v>15000</v>
      </c>
      <c r="K52" s="48">
        <f t="shared" si="17"/>
        <v>15000</v>
      </c>
      <c r="L52" s="48">
        <f t="shared" si="13"/>
        <v>45000</v>
      </c>
      <c r="M52" s="48">
        <f t="shared" si="14"/>
        <v>7200</v>
      </c>
      <c r="N52" s="48">
        <f t="shared" si="15"/>
        <v>52200</v>
      </c>
      <c r="O52" s="77">
        <v>120000</v>
      </c>
      <c r="P52" s="77">
        <f t="shared" si="0"/>
        <v>120000</v>
      </c>
      <c r="Q52" s="77">
        <f t="shared" si="1"/>
        <v>240000</v>
      </c>
      <c r="R52" s="77">
        <f t="shared" si="16"/>
        <v>360000</v>
      </c>
      <c r="S52" s="77">
        <f t="shared" si="2"/>
        <v>57600</v>
      </c>
      <c r="T52" s="77">
        <f t="shared" si="3"/>
        <v>417600</v>
      </c>
      <c r="U52" s="78" t="s">
        <v>50</v>
      </c>
      <c r="V52" s="82" t="s">
        <v>345</v>
      </c>
      <c r="W52" s="83" t="s">
        <v>608</v>
      </c>
    </row>
    <row r="53" spans="1:23" s="30" customFormat="1" ht="28.2" hidden="1" customHeight="1" x14ac:dyDescent="0.3">
      <c r="A53" s="86">
        <v>58</v>
      </c>
      <c r="B53" s="68" t="s">
        <v>47</v>
      </c>
      <c r="C53" s="72" t="s">
        <v>176</v>
      </c>
      <c r="D53" s="68" t="s">
        <v>192</v>
      </c>
      <c r="E53" s="69" t="s">
        <v>46</v>
      </c>
      <c r="F53" s="109" t="s">
        <v>354</v>
      </c>
      <c r="G53" s="79">
        <v>1</v>
      </c>
      <c r="H53" s="80">
        <v>2</v>
      </c>
      <c r="I53" s="48">
        <v>15000</v>
      </c>
      <c r="J53" s="48">
        <f t="shared" si="17"/>
        <v>15000</v>
      </c>
      <c r="K53" s="48">
        <f t="shared" si="17"/>
        <v>15000</v>
      </c>
      <c r="L53" s="48">
        <f t="shared" si="13"/>
        <v>45000</v>
      </c>
      <c r="M53" s="48">
        <f t="shared" si="14"/>
        <v>7200</v>
      </c>
      <c r="N53" s="48">
        <f t="shared" si="15"/>
        <v>52200</v>
      </c>
      <c r="O53" s="77">
        <v>120000</v>
      </c>
      <c r="P53" s="77">
        <f t="shared" si="0"/>
        <v>120000</v>
      </c>
      <c r="Q53" s="77">
        <f t="shared" si="1"/>
        <v>240000</v>
      </c>
      <c r="R53" s="77">
        <f t="shared" si="16"/>
        <v>360000</v>
      </c>
      <c r="S53" s="77">
        <f t="shared" si="2"/>
        <v>57600</v>
      </c>
      <c r="T53" s="77">
        <f t="shared" si="3"/>
        <v>417600</v>
      </c>
      <c r="U53" s="78" t="s">
        <v>50</v>
      </c>
      <c r="V53" s="84" t="s">
        <v>345</v>
      </c>
      <c r="W53" s="83" t="s">
        <v>608</v>
      </c>
    </row>
    <row r="54" spans="1:23" ht="28.2" hidden="1" customHeight="1" x14ac:dyDescent="0.3">
      <c r="A54" s="86">
        <v>59</v>
      </c>
      <c r="B54" s="74" t="s">
        <v>47</v>
      </c>
      <c r="C54" s="75" t="s">
        <v>176</v>
      </c>
      <c r="D54" s="74" t="s">
        <v>193</v>
      </c>
      <c r="E54" s="75" t="s">
        <v>46</v>
      </c>
      <c r="F54" s="109" t="s">
        <v>355</v>
      </c>
      <c r="G54" s="79">
        <v>1</v>
      </c>
      <c r="H54" s="80">
        <v>2</v>
      </c>
      <c r="I54" s="48">
        <v>15000</v>
      </c>
      <c r="J54" s="48">
        <f t="shared" si="17"/>
        <v>15000</v>
      </c>
      <c r="K54" s="48">
        <f t="shared" si="17"/>
        <v>15000</v>
      </c>
      <c r="L54" s="48">
        <f t="shared" si="13"/>
        <v>45000</v>
      </c>
      <c r="M54" s="48">
        <f t="shared" si="14"/>
        <v>7200</v>
      </c>
      <c r="N54" s="48">
        <f t="shared" si="15"/>
        <v>52200</v>
      </c>
      <c r="O54" s="77">
        <v>120000</v>
      </c>
      <c r="P54" s="77">
        <f t="shared" si="0"/>
        <v>120000</v>
      </c>
      <c r="Q54" s="77">
        <f t="shared" si="1"/>
        <v>240000</v>
      </c>
      <c r="R54" s="77">
        <f t="shared" si="16"/>
        <v>360000</v>
      </c>
      <c r="S54" s="77">
        <f t="shared" si="2"/>
        <v>57600</v>
      </c>
      <c r="T54" s="77">
        <f t="shared" si="3"/>
        <v>417600</v>
      </c>
      <c r="U54" s="78" t="s">
        <v>50</v>
      </c>
      <c r="V54" s="81" t="s">
        <v>345</v>
      </c>
      <c r="W54" s="83" t="s">
        <v>608</v>
      </c>
    </row>
    <row r="55" spans="1:23" ht="28.2" hidden="1" customHeight="1" x14ac:dyDescent="0.3">
      <c r="A55" s="86">
        <v>60</v>
      </c>
      <c r="B55" s="68" t="s">
        <v>47</v>
      </c>
      <c r="C55" s="69" t="s">
        <v>176</v>
      </c>
      <c r="D55" s="68" t="s">
        <v>194</v>
      </c>
      <c r="E55" s="69" t="s">
        <v>46</v>
      </c>
      <c r="F55" s="109" t="s">
        <v>356</v>
      </c>
      <c r="G55" s="79">
        <v>1</v>
      </c>
      <c r="H55" s="80">
        <v>2</v>
      </c>
      <c r="I55" s="48">
        <v>15000</v>
      </c>
      <c r="J55" s="48">
        <f t="shared" si="17"/>
        <v>15000</v>
      </c>
      <c r="K55" s="48">
        <f t="shared" si="17"/>
        <v>15000</v>
      </c>
      <c r="L55" s="48">
        <f t="shared" si="13"/>
        <v>45000</v>
      </c>
      <c r="M55" s="48">
        <f t="shared" si="14"/>
        <v>7200</v>
      </c>
      <c r="N55" s="48">
        <f t="shared" si="15"/>
        <v>52200</v>
      </c>
      <c r="O55" s="77">
        <v>120000</v>
      </c>
      <c r="P55" s="77">
        <f t="shared" si="0"/>
        <v>120000</v>
      </c>
      <c r="Q55" s="77">
        <f t="shared" si="1"/>
        <v>240000</v>
      </c>
      <c r="R55" s="77">
        <f t="shared" si="16"/>
        <v>360000</v>
      </c>
      <c r="S55" s="77">
        <f t="shared" si="2"/>
        <v>57600</v>
      </c>
      <c r="T55" s="77">
        <f t="shared" si="3"/>
        <v>417600</v>
      </c>
      <c r="U55" s="78" t="s">
        <v>50</v>
      </c>
      <c r="V55" s="81" t="s">
        <v>345</v>
      </c>
      <c r="W55" s="83" t="s">
        <v>608</v>
      </c>
    </row>
    <row r="56" spans="1:23" ht="28.2" hidden="1" customHeight="1" x14ac:dyDescent="0.3">
      <c r="A56" s="86">
        <v>61</v>
      </c>
      <c r="B56" s="68" t="s">
        <v>47</v>
      </c>
      <c r="C56" s="69" t="s">
        <v>206</v>
      </c>
      <c r="D56" s="68" t="s">
        <v>207</v>
      </c>
      <c r="E56" s="69" t="s">
        <v>46</v>
      </c>
      <c r="F56" s="109" t="s">
        <v>357</v>
      </c>
      <c r="G56" s="79">
        <v>1</v>
      </c>
      <c r="H56" s="80">
        <v>2</v>
      </c>
      <c r="I56" s="48">
        <v>20000</v>
      </c>
      <c r="J56" s="48">
        <f t="shared" si="17"/>
        <v>20000</v>
      </c>
      <c r="K56" s="48">
        <f t="shared" si="17"/>
        <v>20000</v>
      </c>
      <c r="L56" s="48">
        <f t="shared" si="13"/>
        <v>60000</v>
      </c>
      <c r="M56" s="48">
        <f t="shared" si="14"/>
        <v>9600</v>
      </c>
      <c r="N56" s="48">
        <f t="shared" si="15"/>
        <v>69600</v>
      </c>
      <c r="O56" s="77">
        <v>150000</v>
      </c>
      <c r="P56" s="77">
        <f t="shared" si="0"/>
        <v>150000</v>
      </c>
      <c r="Q56" s="77">
        <f t="shared" si="1"/>
        <v>300000</v>
      </c>
      <c r="R56" s="77">
        <f t="shared" si="16"/>
        <v>450000</v>
      </c>
      <c r="S56" s="77">
        <f t="shared" si="2"/>
        <v>72000</v>
      </c>
      <c r="T56" s="77">
        <f t="shared" si="3"/>
        <v>522000</v>
      </c>
      <c r="U56" s="78" t="s">
        <v>50</v>
      </c>
      <c r="V56" s="81" t="s">
        <v>345</v>
      </c>
      <c r="W56" s="83" t="s">
        <v>608</v>
      </c>
    </row>
    <row r="57" spans="1:23" ht="28.2" hidden="1" customHeight="1" x14ac:dyDescent="0.3">
      <c r="A57" s="86">
        <v>62</v>
      </c>
      <c r="B57" s="68" t="s">
        <v>47</v>
      </c>
      <c r="C57" s="69" t="s">
        <v>206</v>
      </c>
      <c r="D57" s="68" t="s">
        <v>208</v>
      </c>
      <c r="E57" s="69" t="s">
        <v>46</v>
      </c>
      <c r="F57" s="109" t="s">
        <v>358</v>
      </c>
      <c r="G57" s="79">
        <v>1</v>
      </c>
      <c r="H57" s="80">
        <v>2</v>
      </c>
      <c r="I57" s="48">
        <v>20000</v>
      </c>
      <c r="J57" s="48">
        <f t="shared" si="17"/>
        <v>20000</v>
      </c>
      <c r="K57" s="48">
        <f t="shared" si="17"/>
        <v>20000</v>
      </c>
      <c r="L57" s="48">
        <f t="shared" si="13"/>
        <v>60000</v>
      </c>
      <c r="M57" s="48">
        <f t="shared" si="14"/>
        <v>9600</v>
      </c>
      <c r="N57" s="48">
        <f t="shared" si="15"/>
        <v>69600</v>
      </c>
      <c r="O57" s="77">
        <v>150000</v>
      </c>
      <c r="P57" s="77">
        <f t="shared" si="0"/>
        <v>150000</v>
      </c>
      <c r="Q57" s="77">
        <f t="shared" si="1"/>
        <v>300000</v>
      </c>
      <c r="R57" s="77">
        <f t="shared" si="16"/>
        <v>450000</v>
      </c>
      <c r="S57" s="77">
        <f t="shared" si="2"/>
        <v>72000</v>
      </c>
      <c r="T57" s="77">
        <f t="shared" si="3"/>
        <v>522000</v>
      </c>
      <c r="U57" s="78" t="s">
        <v>50</v>
      </c>
      <c r="V57" s="81" t="s">
        <v>345</v>
      </c>
      <c r="W57" s="83" t="s">
        <v>608</v>
      </c>
    </row>
    <row r="58" spans="1:23" ht="28.2" hidden="1" customHeight="1" x14ac:dyDescent="0.3">
      <c r="A58" s="86">
        <v>63</v>
      </c>
      <c r="B58" s="68" t="s">
        <v>47</v>
      </c>
      <c r="C58" s="69" t="s">
        <v>206</v>
      </c>
      <c r="D58" s="68" t="s">
        <v>209</v>
      </c>
      <c r="E58" s="69" t="s">
        <v>46</v>
      </c>
      <c r="F58" s="109" t="s">
        <v>359</v>
      </c>
      <c r="G58" s="79">
        <v>1</v>
      </c>
      <c r="H58" s="80">
        <v>2</v>
      </c>
      <c r="I58" s="48">
        <v>20000</v>
      </c>
      <c r="J58" s="48">
        <f t="shared" si="17"/>
        <v>20000</v>
      </c>
      <c r="K58" s="48">
        <f t="shared" si="17"/>
        <v>20000</v>
      </c>
      <c r="L58" s="48">
        <f t="shared" si="13"/>
        <v>60000</v>
      </c>
      <c r="M58" s="48">
        <f t="shared" si="14"/>
        <v>9600</v>
      </c>
      <c r="N58" s="48">
        <f t="shared" si="15"/>
        <v>69600</v>
      </c>
      <c r="O58" s="77">
        <v>150000</v>
      </c>
      <c r="P58" s="77">
        <f t="shared" si="0"/>
        <v>150000</v>
      </c>
      <c r="Q58" s="77">
        <f t="shared" si="1"/>
        <v>300000</v>
      </c>
      <c r="R58" s="77">
        <f t="shared" si="16"/>
        <v>450000</v>
      </c>
      <c r="S58" s="77">
        <f t="shared" si="2"/>
        <v>72000</v>
      </c>
      <c r="T58" s="77">
        <f t="shared" si="3"/>
        <v>522000</v>
      </c>
      <c r="U58" s="78" t="s">
        <v>50</v>
      </c>
      <c r="V58" s="81" t="s">
        <v>345</v>
      </c>
      <c r="W58" s="83" t="s">
        <v>608</v>
      </c>
    </row>
    <row r="59" spans="1:23" ht="28.2" hidden="1" customHeight="1" x14ac:dyDescent="0.3">
      <c r="A59" s="86">
        <v>64</v>
      </c>
      <c r="B59" s="68" t="s">
        <v>47</v>
      </c>
      <c r="C59" s="69" t="s">
        <v>206</v>
      </c>
      <c r="D59" s="68" t="s">
        <v>210</v>
      </c>
      <c r="E59" s="69" t="s">
        <v>46</v>
      </c>
      <c r="F59" s="109" t="s">
        <v>360</v>
      </c>
      <c r="G59" s="79">
        <v>1</v>
      </c>
      <c r="H59" s="80">
        <v>2</v>
      </c>
      <c r="I59" s="48">
        <v>20000</v>
      </c>
      <c r="J59" s="48">
        <f t="shared" si="17"/>
        <v>20000</v>
      </c>
      <c r="K59" s="48">
        <f t="shared" si="17"/>
        <v>20000</v>
      </c>
      <c r="L59" s="48">
        <f t="shared" si="13"/>
        <v>60000</v>
      </c>
      <c r="M59" s="48">
        <f t="shared" si="14"/>
        <v>9600</v>
      </c>
      <c r="N59" s="48">
        <f t="shared" si="15"/>
        <v>69600</v>
      </c>
      <c r="O59" s="77">
        <v>150000</v>
      </c>
      <c r="P59" s="77">
        <f t="shared" si="0"/>
        <v>150000</v>
      </c>
      <c r="Q59" s="77">
        <f t="shared" si="1"/>
        <v>300000</v>
      </c>
      <c r="R59" s="77">
        <f t="shared" si="16"/>
        <v>450000</v>
      </c>
      <c r="S59" s="77">
        <f t="shared" si="2"/>
        <v>72000</v>
      </c>
      <c r="T59" s="77">
        <f t="shared" si="3"/>
        <v>522000</v>
      </c>
      <c r="U59" s="78" t="s">
        <v>50</v>
      </c>
      <c r="V59" s="81" t="s">
        <v>345</v>
      </c>
      <c r="W59" s="83" t="s">
        <v>608</v>
      </c>
    </row>
    <row r="60" spans="1:23" ht="28.2" hidden="1" customHeight="1" x14ac:dyDescent="0.3">
      <c r="A60" s="86">
        <v>65</v>
      </c>
      <c r="B60" s="68" t="s">
        <v>47</v>
      </c>
      <c r="C60" s="69" t="s">
        <v>206</v>
      </c>
      <c r="D60" s="68" t="s">
        <v>211</v>
      </c>
      <c r="E60" s="69" t="s">
        <v>46</v>
      </c>
      <c r="F60" s="109" t="s">
        <v>361</v>
      </c>
      <c r="G60" s="79">
        <v>1</v>
      </c>
      <c r="H60" s="80">
        <v>2</v>
      </c>
      <c r="I60" s="48">
        <v>20000</v>
      </c>
      <c r="J60" s="48">
        <f t="shared" ref="J60:K75" si="18">I60</f>
        <v>20000</v>
      </c>
      <c r="K60" s="48">
        <f t="shared" si="18"/>
        <v>20000</v>
      </c>
      <c r="L60" s="48">
        <f t="shared" si="13"/>
        <v>60000</v>
      </c>
      <c r="M60" s="48">
        <f t="shared" si="14"/>
        <v>9600</v>
      </c>
      <c r="N60" s="48">
        <f t="shared" si="15"/>
        <v>69600</v>
      </c>
      <c r="O60" s="77">
        <v>150000</v>
      </c>
      <c r="P60" s="77">
        <f t="shared" si="0"/>
        <v>150000</v>
      </c>
      <c r="Q60" s="77">
        <f t="shared" si="1"/>
        <v>300000</v>
      </c>
      <c r="R60" s="77">
        <f t="shared" si="16"/>
        <v>450000</v>
      </c>
      <c r="S60" s="77">
        <f t="shared" si="2"/>
        <v>72000</v>
      </c>
      <c r="T60" s="77">
        <f t="shared" si="3"/>
        <v>522000</v>
      </c>
      <c r="U60" s="78" t="s">
        <v>50</v>
      </c>
      <c r="V60" s="81" t="s">
        <v>345</v>
      </c>
      <c r="W60" s="83" t="s">
        <v>608</v>
      </c>
    </row>
    <row r="61" spans="1:23" ht="28.2" hidden="1" customHeight="1" x14ac:dyDescent="0.3">
      <c r="A61" s="86">
        <v>68</v>
      </c>
      <c r="B61" s="68" t="s">
        <v>47</v>
      </c>
      <c r="C61" s="69" t="s">
        <v>212</v>
      </c>
      <c r="D61" s="68" t="s">
        <v>213</v>
      </c>
      <c r="E61" s="69" t="s">
        <v>46</v>
      </c>
      <c r="F61" s="109" t="s">
        <v>362</v>
      </c>
      <c r="G61" s="79">
        <v>1</v>
      </c>
      <c r="H61" s="79">
        <v>2</v>
      </c>
      <c r="I61" s="48">
        <v>40000</v>
      </c>
      <c r="J61" s="48">
        <f t="shared" si="18"/>
        <v>40000</v>
      </c>
      <c r="K61" s="48">
        <f t="shared" si="18"/>
        <v>40000</v>
      </c>
      <c r="L61" s="48">
        <f t="shared" si="13"/>
        <v>120000</v>
      </c>
      <c r="M61" s="48">
        <f t="shared" si="14"/>
        <v>19200</v>
      </c>
      <c r="N61" s="48">
        <f t="shared" si="15"/>
        <v>139200</v>
      </c>
      <c r="O61" s="77">
        <v>150000</v>
      </c>
      <c r="P61" s="77">
        <f t="shared" si="0"/>
        <v>150000</v>
      </c>
      <c r="Q61" s="77">
        <f t="shared" si="1"/>
        <v>300000</v>
      </c>
      <c r="R61" s="77">
        <f t="shared" si="16"/>
        <v>450000</v>
      </c>
      <c r="S61" s="77">
        <f t="shared" si="2"/>
        <v>72000</v>
      </c>
      <c r="T61" s="77">
        <f t="shared" si="3"/>
        <v>522000</v>
      </c>
      <c r="U61" s="78" t="s">
        <v>50</v>
      </c>
      <c r="V61" s="81" t="s">
        <v>345</v>
      </c>
      <c r="W61" s="83" t="s">
        <v>608</v>
      </c>
    </row>
    <row r="62" spans="1:23" ht="28.2" hidden="1" customHeight="1" x14ac:dyDescent="0.3">
      <c r="A62" s="86">
        <v>69</v>
      </c>
      <c r="B62" s="68" t="s">
        <v>47</v>
      </c>
      <c r="C62" s="69" t="s">
        <v>212</v>
      </c>
      <c r="D62" s="68" t="s">
        <v>223</v>
      </c>
      <c r="E62" s="69" t="s">
        <v>46</v>
      </c>
      <c r="F62" s="109" t="s">
        <v>363</v>
      </c>
      <c r="G62" s="79">
        <v>1</v>
      </c>
      <c r="H62" s="79">
        <v>2</v>
      </c>
      <c r="I62" s="48">
        <v>40000</v>
      </c>
      <c r="J62" s="48">
        <f t="shared" si="18"/>
        <v>40000</v>
      </c>
      <c r="K62" s="48">
        <f t="shared" si="18"/>
        <v>40000</v>
      </c>
      <c r="L62" s="48">
        <f t="shared" si="13"/>
        <v>120000</v>
      </c>
      <c r="M62" s="48">
        <f t="shared" si="14"/>
        <v>19200</v>
      </c>
      <c r="N62" s="48">
        <f t="shared" si="15"/>
        <v>139200</v>
      </c>
      <c r="O62" s="77">
        <v>150000</v>
      </c>
      <c r="P62" s="77">
        <f t="shared" si="0"/>
        <v>150000</v>
      </c>
      <c r="Q62" s="77">
        <f t="shared" si="1"/>
        <v>300000</v>
      </c>
      <c r="R62" s="77">
        <f t="shared" si="16"/>
        <v>450000</v>
      </c>
      <c r="S62" s="77">
        <f t="shared" si="2"/>
        <v>72000</v>
      </c>
      <c r="T62" s="77">
        <f t="shared" si="3"/>
        <v>522000</v>
      </c>
      <c r="U62" s="78" t="s">
        <v>50</v>
      </c>
      <c r="V62" s="81" t="s">
        <v>345</v>
      </c>
      <c r="W62" s="83" t="s">
        <v>608</v>
      </c>
    </row>
    <row r="63" spans="1:23" ht="28.2" hidden="1" customHeight="1" x14ac:dyDescent="0.3">
      <c r="A63" s="86">
        <v>70</v>
      </c>
      <c r="B63" s="68" t="s">
        <v>47</v>
      </c>
      <c r="C63" s="69" t="s">
        <v>110</v>
      </c>
      <c r="D63" s="68" t="s">
        <v>111</v>
      </c>
      <c r="E63" s="69" t="s">
        <v>46</v>
      </c>
      <c r="F63" s="109" t="s">
        <v>364</v>
      </c>
      <c r="G63" s="79">
        <v>1</v>
      </c>
      <c r="H63" s="79">
        <v>2</v>
      </c>
      <c r="I63" s="48">
        <v>72500</v>
      </c>
      <c r="J63" s="48">
        <f t="shared" si="18"/>
        <v>72500</v>
      </c>
      <c r="K63" s="48">
        <f t="shared" si="18"/>
        <v>72500</v>
      </c>
      <c r="L63" s="48">
        <f t="shared" si="13"/>
        <v>217500</v>
      </c>
      <c r="M63" s="48">
        <f t="shared" si="14"/>
        <v>34800</v>
      </c>
      <c r="N63" s="48">
        <f t="shared" si="15"/>
        <v>252300</v>
      </c>
      <c r="O63" s="77">
        <v>290000</v>
      </c>
      <c r="P63" s="77">
        <f t="shared" si="0"/>
        <v>290000</v>
      </c>
      <c r="Q63" s="77">
        <f t="shared" si="1"/>
        <v>580000</v>
      </c>
      <c r="R63" s="77">
        <f t="shared" si="16"/>
        <v>870000</v>
      </c>
      <c r="S63" s="77">
        <f t="shared" si="2"/>
        <v>139200</v>
      </c>
      <c r="T63" s="77">
        <f t="shared" si="3"/>
        <v>1009200</v>
      </c>
      <c r="U63" s="78" t="s">
        <v>50</v>
      </c>
      <c r="V63" s="81" t="s">
        <v>295</v>
      </c>
      <c r="W63" s="83" t="s">
        <v>608</v>
      </c>
    </row>
    <row r="64" spans="1:23" ht="28.2" hidden="1" customHeight="1" x14ac:dyDescent="0.3">
      <c r="A64" s="86">
        <v>71</v>
      </c>
      <c r="B64" s="68" t="s">
        <v>47</v>
      </c>
      <c r="C64" s="69" t="s">
        <v>67</v>
      </c>
      <c r="D64" s="68" t="s">
        <v>68</v>
      </c>
      <c r="E64" s="69" t="s">
        <v>46</v>
      </c>
      <c r="F64" s="109" t="s">
        <v>365</v>
      </c>
      <c r="G64" s="79">
        <v>1</v>
      </c>
      <c r="H64" s="79">
        <v>2</v>
      </c>
      <c r="I64" s="48">
        <v>350000</v>
      </c>
      <c r="J64" s="48">
        <f t="shared" si="18"/>
        <v>350000</v>
      </c>
      <c r="K64" s="48">
        <f t="shared" si="18"/>
        <v>350000</v>
      </c>
      <c r="L64" s="48">
        <f t="shared" si="13"/>
        <v>1050000</v>
      </c>
      <c r="M64" s="48">
        <f t="shared" si="14"/>
        <v>168000</v>
      </c>
      <c r="N64" s="48">
        <f t="shared" si="15"/>
        <v>1218000</v>
      </c>
      <c r="O64" s="77">
        <v>450000</v>
      </c>
      <c r="P64" s="77">
        <f t="shared" si="0"/>
        <v>450000</v>
      </c>
      <c r="Q64" s="77">
        <f t="shared" si="1"/>
        <v>900000</v>
      </c>
      <c r="R64" s="77">
        <f t="shared" si="16"/>
        <v>1350000</v>
      </c>
      <c r="S64" s="77">
        <f t="shared" si="2"/>
        <v>216000</v>
      </c>
      <c r="T64" s="77">
        <f t="shared" si="3"/>
        <v>1566000</v>
      </c>
      <c r="U64" s="78" t="s">
        <v>50</v>
      </c>
      <c r="V64" s="81" t="s">
        <v>300</v>
      </c>
      <c r="W64" s="83" t="s">
        <v>608</v>
      </c>
    </row>
    <row r="65" spans="1:23" s="2" customFormat="1" ht="28.2" hidden="1" customHeight="1" x14ac:dyDescent="0.3">
      <c r="A65" s="86">
        <v>72</v>
      </c>
      <c r="B65" s="68" t="s">
        <v>47</v>
      </c>
      <c r="C65" s="69" t="s">
        <v>112</v>
      </c>
      <c r="D65" s="68" t="s">
        <v>113</v>
      </c>
      <c r="E65" s="69" t="s">
        <v>46</v>
      </c>
      <c r="F65" s="109" t="s">
        <v>366</v>
      </c>
      <c r="G65" s="79">
        <v>1</v>
      </c>
      <c r="H65" s="79">
        <v>2</v>
      </c>
      <c r="I65" s="48">
        <v>80000</v>
      </c>
      <c r="J65" s="48">
        <f t="shared" si="18"/>
        <v>80000</v>
      </c>
      <c r="K65" s="48">
        <f t="shared" si="18"/>
        <v>80000</v>
      </c>
      <c r="L65" s="48">
        <f t="shared" si="13"/>
        <v>240000</v>
      </c>
      <c r="M65" s="48">
        <f t="shared" si="14"/>
        <v>38400</v>
      </c>
      <c r="N65" s="48">
        <f t="shared" si="15"/>
        <v>278400</v>
      </c>
      <c r="O65" s="77">
        <v>250000</v>
      </c>
      <c r="P65" s="77">
        <f t="shared" si="0"/>
        <v>250000</v>
      </c>
      <c r="Q65" s="77">
        <f t="shared" si="1"/>
        <v>500000</v>
      </c>
      <c r="R65" s="77">
        <f t="shared" si="16"/>
        <v>750000</v>
      </c>
      <c r="S65" s="77">
        <f t="shared" si="2"/>
        <v>120000</v>
      </c>
      <c r="T65" s="77">
        <f t="shared" si="3"/>
        <v>870000</v>
      </c>
      <c r="U65" s="78" t="s">
        <v>50</v>
      </c>
      <c r="V65" s="81" t="s">
        <v>295</v>
      </c>
      <c r="W65" s="83" t="s">
        <v>608</v>
      </c>
    </row>
    <row r="66" spans="1:23" s="2" customFormat="1" ht="28.2" hidden="1" customHeight="1" x14ac:dyDescent="0.3">
      <c r="A66" s="86">
        <v>73</v>
      </c>
      <c r="B66" s="68" t="s">
        <v>47</v>
      </c>
      <c r="C66" s="69" t="s">
        <v>112</v>
      </c>
      <c r="D66" s="68" t="s">
        <v>114</v>
      </c>
      <c r="E66" s="69" t="s">
        <v>46</v>
      </c>
      <c r="F66" s="109" t="s">
        <v>367</v>
      </c>
      <c r="G66" s="79">
        <v>1</v>
      </c>
      <c r="H66" s="79">
        <v>2</v>
      </c>
      <c r="I66" s="48">
        <v>80000</v>
      </c>
      <c r="J66" s="48">
        <f t="shared" si="18"/>
        <v>80000</v>
      </c>
      <c r="K66" s="48">
        <f t="shared" si="18"/>
        <v>80000</v>
      </c>
      <c r="L66" s="48">
        <f t="shared" si="13"/>
        <v>240000</v>
      </c>
      <c r="M66" s="48">
        <f t="shared" si="14"/>
        <v>38400</v>
      </c>
      <c r="N66" s="48">
        <f t="shared" si="15"/>
        <v>278400</v>
      </c>
      <c r="O66" s="77">
        <v>250000</v>
      </c>
      <c r="P66" s="77">
        <f t="shared" si="0"/>
        <v>250000</v>
      </c>
      <c r="Q66" s="77">
        <f t="shared" si="1"/>
        <v>500000</v>
      </c>
      <c r="R66" s="77">
        <f t="shared" si="16"/>
        <v>750000</v>
      </c>
      <c r="S66" s="77">
        <f t="shared" si="2"/>
        <v>120000</v>
      </c>
      <c r="T66" s="77">
        <f t="shared" si="3"/>
        <v>870000</v>
      </c>
      <c r="U66" s="78" t="s">
        <v>50</v>
      </c>
      <c r="V66" s="81" t="s">
        <v>295</v>
      </c>
      <c r="W66" s="83" t="s">
        <v>608</v>
      </c>
    </row>
    <row r="67" spans="1:23" s="2" customFormat="1" ht="28.2" hidden="1" customHeight="1" x14ac:dyDescent="0.3">
      <c r="A67" s="86">
        <v>74</v>
      </c>
      <c r="B67" s="68" t="s">
        <v>47</v>
      </c>
      <c r="C67" s="69" t="s">
        <v>115</v>
      </c>
      <c r="D67" s="68" t="s">
        <v>116</v>
      </c>
      <c r="E67" s="69" t="s">
        <v>46</v>
      </c>
      <c r="F67" s="109" t="s">
        <v>368</v>
      </c>
      <c r="G67" s="79">
        <v>1</v>
      </c>
      <c r="H67" s="79">
        <v>2</v>
      </c>
      <c r="I67" s="48">
        <v>65000</v>
      </c>
      <c r="J67" s="48">
        <f t="shared" si="18"/>
        <v>65000</v>
      </c>
      <c r="K67" s="48">
        <f t="shared" si="18"/>
        <v>65000</v>
      </c>
      <c r="L67" s="48">
        <f t="shared" si="13"/>
        <v>195000</v>
      </c>
      <c r="M67" s="48">
        <f t="shared" si="14"/>
        <v>31200</v>
      </c>
      <c r="N67" s="48">
        <f t="shared" si="15"/>
        <v>226200</v>
      </c>
      <c r="O67" s="77">
        <v>250000</v>
      </c>
      <c r="P67" s="77">
        <f t="shared" si="0"/>
        <v>250000</v>
      </c>
      <c r="Q67" s="77">
        <f t="shared" si="1"/>
        <v>500000</v>
      </c>
      <c r="R67" s="77">
        <f t="shared" si="16"/>
        <v>750000</v>
      </c>
      <c r="S67" s="77">
        <f t="shared" si="2"/>
        <v>120000</v>
      </c>
      <c r="T67" s="77">
        <f t="shared" si="3"/>
        <v>870000</v>
      </c>
      <c r="U67" s="78" t="s">
        <v>50</v>
      </c>
      <c r="V67" s="81" t="s">
        <v>295</v>
      </c>
      <c r="W67" s="83" t="s">
        <v>608</v>
      </c>
    </row>
    <row r="68" spans="1:23" s="2" customFormat="1" ht="28.2" hidden="1" customHeight="1" x14ac:dyDescent="0.3">
      <c r="A68" s="86">
        <v>75</v>
      </c>
      <c r="B68" s="68" t="s">
        <v>47</v>
      </c>
      <c r="C68" s="69" t="s">
        <v>224</v>
      </c>
      <c r="D68" s="68" t="s">
        <v>225</v>
      </c>
      <c r="E68" s="69" t="s">
        <v>46</v>
      </c>
      <c r="F68" s="109" t="s">
        <v>369</v>
      </c>
      <c r="G68" s="79">
        <v>2</v>
      </c>
      <c r="H68" s="79">
        <v>4</v>
      </c>
      <c r="I68" s="48">
        <v>90000</v>
      </c>
      <c r="J68" s="48">
        <f t="shared" si="18"/>
        <v>90000</v>
      </c>
      <c r="K68" s="48">
        <f t="shared" si="18"/>
        <v>90000</v>
      </c>
      <c r="L68" s="48">
        <f t="shared" si="13"/>
        <v>270000</v>
      </c>
      <c r="M68" s="48">
        <f t="shared" si="14"/>
        <v>43200</v>
      </c>
      <c r="N68" s="48">
        <f t="shared" si="15"/>
        <v>313200</v>
      </c>
      <c r="O68" s="77">
        <v>220000</v>
      </c>
      <c r="P68" s="77">
        <f t="shared" si="0"/>
        <v>440000</v>
      </c>
      <c r="Q68" s="77">
        <f t="shared" si="1"/>
        <v>880000</v>
      </c>
      <c r="R68" s="77">
        <f t="shared" si="16"/>
        <v>1320000</v>
      </c>
      <c r="S68" s="77">
        <f t="shared" si="2"/>
        <v>211200</v>
      </c>
      <c r="T68" s="77">
        <f t="shared" si="3"/>
        <v>1531200</v>
      </c>
      <c r="U68" s="78" t="s">
        <v>50</v>
      </c>
      <c r="V68" s="81" t="s">
        <v>345</v>
      </c>
      <c r="W68" s="83" t="s">
        <v>608</v>
      </c>
    </row>
    <row r="69" spans="1:23" ht="28.2" hidden="1" customHeight="1" x14ac:dyDescent="0.3">
      <c r="A69" s="86">
        <v>76</v>
      </c>
      <c r="B69" s="68" t="s">
        <v>47</v>
      </c>
      <c r="C69" s="69" t="s">
        <v>224</v>
      </c>
      <c r="D69" s="68" t="s">
        <v>226</v>
      </c>
      <c r="E69" s="69" t="s">
        <v>46</v>
      </c>
      <c r="F69" s="109" t="s">
        <v>370</v>
      </c>
      <c r="G69" s="79">
        <v>1</v>
      </c>
      <c r="H69" s="79">
        <v>2</v>
      </c>
      <c r="I69" s="48">
        <v>90000</v>
      </c>
      <c r="J69" s="48">
        <f t="shared" si="18"/>
        <v>90000</v>
      </c>
      <c r="K69" s="48">
        <f t="shared" si="18"/>
        <v>90000</v>
      </c>
      <c r="L69" s="48">
        <f t="shared" si="13"/>
        <v>270000</v>
      </c>
      <c r="M69" s="48">
        <f t="shared" si="14"/>
        <v>43200</v>
      </c>
      <c r="N69" s="48">
        <f t="shared" si="15"/>
        <v>313200</v>
      </c>
      <c r="O69" s="77">
        <v>220000</v>
      </c>
      <c r="P69" s="77">
        <f t="shared" si="0"/>
        <v>220000</v>
      </c>
      <c r="Q69" s="77">
        <f t="shared" si="1"/>
        <v>440000</v>
      </c>
      <c r="R69" s="77">
        <f t="shared" si="16"/>
        <v>660000</v>
      </c>
      <c r="S69" s="77">
        <f t="shared" si="2"/>
        <v>105600</v>
      </c>
      <c r="T69" s="77">
        <f t="shared" si="3"/>
        <v>765600</v>
      </c>
      <c r="U69" s="78" t="s">
        <v>50</v>
      </c>
      <c r="V69" s="81" t="s">
        <v>345</v>
      </c>
      <c r="W69" s="83" t="s">
        <v>608</v>
      </c>
    </row>
    <row r="70" spans="1:23" s="2" customFormat="1" ht="28.2" hidden="1" customHeight="1" x14ac:dyDescent="0.3">
      <c r="A70" s="86">
        <v>77</v>
      </c>
      <c r="B70" s="68" t="s">
        <v>47</v>
      </c>
      <c r="C70" s="69" t="s">
        <v>224</v>
      </c>
      <c r="D70" s="68" t="s">
        <v>227</v>
      </c>
      <c r="E70" s="69" t="s">
        <v>46</v>
      </c>
      <c r="F70" s="109" t="s">
        <v>371</v>
      </c>
      <c r="G70" s="79">
        <v>1</v>
      </c>
      <c r="H70" s="79">
        <v>2</v>
      </c>
      <c r="I70" s="48">
        <v>90000</v>
      </c>
      <c r="J70" s="48">
        <f t="shared" si="18"/>
        <v>90000</v>
      </c>
      <c r="K70" s="48">
        <f t="shared" si="18"/>
        <v>90000</v>
      </c>
      <c r="L70" s="48">
        <f t="shared" si="13"/>
        <v>270000</v>
      </c>
      <c r="M70" s="48">
        <f t="shared" si="14"/>
        <v>43200</v>
      </c>
      <c r="N70" s="48">
        <f t="shared" si="15"/>
        <v>313200</v>
      </c>
      <c r="O70" s="77">
        <v>220000</v>
      </c>
      <c r="P70" s="77">
        <f t="shared" si="0"/>
        <v>220000</v>
      </c>
      <c r="Q70" s="77">
        <f t="shared" si="1"/>
        <v>440000</v>
      </c>
      <c r="R70" s="77">
        <f t="shared" si="16"/>
        <v>660000</v>
      </c>
      <c r="S70" s="77">
        <f t="shared" si="2"/>
        <v>105600</v>
      </c>
      <c r="T70" s="77">
        <f t="shared" si="3"/>
        <v>765600</v>
      </c>
      <c r="U70" s="78" t="s">
        <v>50</v>
      </c>
      <c r="V70" s="81" t="s">
        <v>345</v>
      </c>
      <c r="W70" s="83" t="s">
        <v>608</v>
      </c>
    </row>
    <row r="71" spans="1:23" ht="28.2" hidden="1" customHeight="1" x14ac:dyDescent="0.3">
      <c r="A71" s="86">
        <v>78</v>
      </c>
      <c r="B71" s="68" t="s">
        <v>47</v>
      </c>
      <c r="C71" s="69" t="s">
        <v>224</v>
      </c>
      <c r="D71" s="68" t="s">
        <v>228</v>
      </c>
      <c r="E71" s="69" t="s">
        <v>46</v>
      </c>
      <c r="F71" s="109" t="s">
        <v>372</v>
      </c>
      <c r="G71" s="79">
        <v>2</v>
      </c>
      <c r="H71" s="79">
        <v>4</v>
      </c>
      <c r="I71" s="48">
        <v>90000</v>
      </c>
      <c r="J71" s="48">
        <f t="shared" si="18"/>
        <v>90000</v>
      </c>
      <c r="K71" s="48">
        <f t="shared" si="18"/>
        <v>90000</v>
      </c>
      <c r="L71" s="48">
        <f t="shared" si="13"/>
        <v>270000</v>
      </c>
      <c r="M71" s="48">
        <f t="shared" si="14"/>
        <v>43200</v>
      </c>
      <c r="N71" s="48">
        <f t="shared" si="15"/>
        <v>313200</v>
      </c>
      <c r="O71" s="77">
        <v>220000</v>
      </c>
      <c r="P71" s="77">
        <f t="shared" si="0"/>
        <v>440000</v>
      </c>
      <c r="Q71" s="77">
        <f t="shared" si="1"/>
        <v>880000</v>
      </c>
      <c r="R71" s="77">
        <f t="shared" si="16"/>
        <v>1320000</v>
      </c>
      <c r="S71" s="77">
        <f t="shared" si="2"/>
        <v>211200</v>
      </c>
      <c r="T71" s="77">
        <f t="shared" si="3"/>
        <v>1531200</v>
      </c>
      <c r="U71" s="78" t="s">
        <v>50</v>
      </c>
      <c r="V71" s="81" t="s">
        <v>345</v>
      </c>
      <c r="W71" s="83" t="s">
        <v>608</v>
      </c>
    </row>
    <row r="72" spans="1:23" ht="28.2" hidden="1" customHeight="1" x14ac:dyDescent="0.3">
      <c r="A72" s="86">
        <v>79</v>
      </c>
      <c r="B72" s="68" t="s">
        <v>47</v>
      </c>
      <c r="C72" s="69" t="s">
        <v>117</v>
      </c>
      <c r="D72" s="68" t="s">
        <v>118</v>
      </c>
      <c r="E72" s="69" t="s">
        <v>46</v>
      </c>
      <c r="F72" s="109" t="s">
        <v>373</v>
      </c>
      <c r="G72" s="79">
        <v>2</v>
      </c>
      <c r="H72" s="79">
        <v>4</v>
      </c>
      <c r="I72" s="48">
        <v>122850</v>
      </c>
      <c r="J72" s="48">
        <f t="shared" si="18"/>
        <v>122850</v>
      </c>
      <c r="K72" s="48">
        <f t="shared" si="18"/>
        <v>122850</v>
      </c>
      <c r="L72" s="48">
        <f t="shared" si="13"/>
        <v>368550</v>
      </c>
      <c r="M72" s="48">
        <f t="shared" si="14"/>
        <v>58968</v>
      </c>
      <c r="N72" s="48">
        <f t="shared" si="15"/>
        <v>427518</v>
      </c>
      <c r="O72" s="77">
        <v>300000</v>
      </c>
      <c r="P72" s="77">
        <f t="shared" si="0"/>
        <v>600000</v>
      </c>
      <c r="Q72" s="77">
        <f t="shared" si="1"/>
        <v>1200000</v>
      </c>
      <c r="R72" s="77">
        <f t="shared" si="16"/>
        <v>1800000</v>
      </c>
      <c r="S72" s="77">
        <f t="shared" si="2"/>
        <v>288000</v>
      </c>
      <c r="T72" s="77">
        <f t="shared" si="3"/>
        <v>2088000</v>
      </c>
      <c r="U72" s="78" t="s">
        <v>50</v>
      </c>
      <c r="V72" s="81" t="s">
        <v>295</v>
      </c>
      <c r="W72" s="83" t="s">
        <v>608</v>
      </c>
    </row>
    <row r="73" spans="1:23" ht="28.2" hidden="1" customHeight="1" x14ac:dyDescent="0.3">
      <c r="A73" s="86">
        <v>80</v>
      </c>
      <c r="B73" s="68" t="s">
        <v>47</v>
      </c>
      <c r="C73" s="69" t="s">
        <v>117</v>
      </c>
      <c r="D73" s="68" t="s">
        <v>119</v>
      </c>
      <c r="E73" s="69" t="s">
        <v>46</v>
      </c>
      <c r="F73" s="109" t="s">
        <v>374</v>
      </c>
      <c r="G73" s="79">
        <v>2</v>
      </c>
      <c r="H73" s="79">
        <v>4</v>
      </c>
      <c r="I73" s="48">
        <v>122850</v>
      </c>
      <c r="J73" s="48">
        <f t="shared" si="18"/>
        <v>122850</v>
      </c>
      <c r="K73" s="48">
        <f t="shared" si="18"/>
        <v>122850</v>
      </c>
      <c r="L73" s="48">
        <f t="shared" si="13"/>
        <v>368550</v>
      </c>
      <c r="M73" s="48">
        <f t="shared" si="14"/>
        <v>58968</v>
      </c>
      <c r="N73" s="48">
        <f t="shared" si="15"/>
        <v>427518</v>
      </c>
      <c r="O73" s="77">
        <v>300000</v>
      </c>
      <c r="P73" s="77">
        <f t="shared" si="0"/>
        <v>600000</v>
      </c>
      <c r="Q73" s="77">
        <f t="shared" si="1"/>
        <v>1200000</v>
      </c>
      <c r="R73" s="77">
        <f t="shared" si="16"/>
        <v>1800000</v>
      </c>
      <c r="S73" s="77">
        <f t="shared" si="2"/>
        <v>288000</v>
      </c>
      <c r="T73" s="77">
        <f t="shared" si="3"/>
        <v>2088000</v>
      </c>
      <c r="U73" s="78" t="s">
        <v>50</v>
      </c>
      <c r="V73" s="81" t="s">
        <v>295</v>
      </c>
      <c r="W73" s="83" t="s">
        <v>608</v>
      </c>
    </row>
    <row r="74" spans="1:23" ht="28.2" hidden="1" customHeight="1" x14ac:dyDescent="0.3">
      <c r="A74" s="86">
        <v>81</v>
      </c>
      <c r="B74" s="68" t="s">
        <v>47</v>
      </c>
      <c r="C74" s="69" t="s">
        <v>117</v>
      </c>
      <c r="D74" s="68" t="s">
        <v>120</v>
      </c>
      <c r="E74" s="69" t="s">
        <v>46</v>
      </c>
      <c r="F74" s="109" t="s">
        <v>375</v>
      </c>
      <c r="G74" s="79">
        <v>2</v>
      </c>
      <c r="H74" s="79">
        <v>4</v>
      </c>
      <c r="I74" s="48">
        <v>122850</v>
      </c>
      <c r="J74" s="48">
        <f t="shared" si="18"/>
        <v>122850</v>
      </c>
      <c r="K74" s="48">
        <f t="shared" si="18"/>
        <v>122850</v>
      </c>
      <c r="L74" s="48">
        <f t="shared" si="13"/>
        <v>368550</v>
      </c>
      <c r="M74" s="48">
        <f t="shared" si="14"/>
        <v>58968</v>
      </c>
      <c r="N74" s="48">
        <f t="shared" si="15"/>
        <v>427518</v>
      </c>
      <c r="O74" s="77">
        <v>300000</v>
      </c>
      <c r="P74" s="77">
        <f t="shared" si="0"/>
        <v>600000</v>
      </c>
      <c r="Q74" s="77">
        <f t="shared" si="1"/>
        <v>1200000</v>
      </c>
      <c r="R74" s="77">
        <f t="shared" si="16"/>
        <v>1800000</v>
      </c>
      <c r="S74" s="77">
        <f t="shared" si="2"/>
        <v>288000</v>
      </c>
      <c r="T74" s="77">
        <f t="shared" si="3"/>
        <v>2088000</v>
      </c>
      <c r="U74" s="78" t="s">
        <v>50</v>
      </c>
      <c r="V74" s="81" t="s">
        <v>295</v>
      </c>
      <c r="W74" s="83" t="s">
        <v>608</v>
      </c>
    </row>
    <row r="75" spans="1:23" ht="28.2" hidden="1" customHeight="1" x14ac:dyDescent="0.3">
      <c r="A75" s="86">
        <v>82</v>
      </c>
      <c r="B75" s="68" t="s">
        <v>47</v>
      </c>
      <c r="C75" s="69" t="s">
        <v>236</v>
      </c>
      <c r="D75" s="68" t="s">
        <v>237</v>
      </c>
      <c r="E75" s="69" t="s">
        <v>46</v>
      </c>
      <c r="F75" s="109" t="s">
        <v>376</v>
      </c>
      <c r="G75" s="79">
        <v>1</v>
      </c>
      <c r="H75" s="79">
        <v>2</v>
      </c>
      <c r="I75" s="48">
        <v>100000</v>
      </c>
      <c r="J75" s="48">
        <f t="shared" si="18"/>
        <v>100000</v>
      </c>
      <c r="K75" s="48">
        <f t="shared" si="18"/>
        <v>100000</v>
      </c>
      <c r="L75" s="48">
        <f t="shared" si="13"/>
        <v>300000</v>
      </c>
      <c r="M75" s="48">
        <f t="shared" si="14"/>
        <v>48000</v>
      </c>
      <c r="N75" s="48">
        <f t="shared" si="15"/>
        <v>348000</v>
      </c>
      <c r="O75" s="77">
        <v>220000</v>
      </c>
      <c r="P75" s="77">
        <f t="shared" ref="P75:P99" si="19">G75*O75</f>
        <v>220000</v>
      </c>
      <c r="Q75" s="77">
        <f t="shared" ref="Q75:Q99" si="20">H75*O75</f>
        <v>440000</v>
      </c>
      <c r="R75" s="77">
        <f t="shared" si="16"/>
        <v>660000</v>
      </c>
      <c r="S75" s="77">
        <f t="shared" ref="S75:S99" si="21">R75*$S$9</f>
        <v>105600</v>
      </c>
      <c r="T75" s="77">
        <f t="shared" ref="T75:T99" si="22">SUM(R75:S75)</f>
        <v>765600</v>
      </c>
      <c r="U75" s="78" t="s">
        <v>50</v>
      </c>
      <c r="V75" s="81" t="s">
        <v>377</v>
      </c>
      <c r="W75" s="83" t="s">
        <v>608</v>
      </c>
    </row>
    <row r="76" spans="1:23" ht="28.2" hidden="1" customHeight="1" x14ac:dyDescent="0.3">
      <c r="A76" s="86">
        <v>83</v>
      </c>
      <c r="B76" s="68" t="s">
        <v>47</v>
      </c>
      <c r="C76" s="69" t="s">
        <v>236</v>
      </c>
      <c r="D76" s="68" t="s">
        <v>238</v>
      </c>
      <c r="E76" s="69" t="s">
        <v>46</v>
      </c>
      <c r="F76" s="109" t="s">
        <v>378</v>
      </c>
      <c r="G76" s="79">
        <v>1</v>
      </c>
      <c r="H76" s="79">
        <v>2</v>
      </c>
      <c r="I76" s="48">
        <v>100000</v>
      </c>
      <c r="J76" s="48">
        <f t="shared" ref="J76:K80" si="23">I76</f>
        <v>100000</v>
      </c>
      <c r="K76" s="48">
        <f t="shared" si="23"/>
        <v>100000</v>
      </c>
      <c r="L76" s="48">
        <f t="shared" si="13"/>
        <v>300000</v>
      </c>
      <c r="M76" s="48">
        <f t="shared" si="14"/>
        <v>48000</v>
      </c>
      <c r="N76" s="48">
        <f t="shared" si="15"/>
        <v>348000</v>
      </c>
      <c r="O76" s="77">
        <v>220000</v>
      </c>
      <c r="P76" s="77">
        <f t="shared" si="19"/>
        <v>220000</v>
      </c>
      <c r="Q76" s="77">
        <f t="shared" si="20"/>
        <v>440000</v>
      </c>
      <c r="R76" s="77">
        <f t="shared" si="16"/>
        <v>660000</v>
      </c>
      <c r="S76" s="77">
        <f t="shared" si="21"/>
        <v>105600</v>
      </c>
      <c r="T76" s="77">
        <f t="shared" si="22"/>
        <v>765600</v>
      </c>
      <c r="U76" s="78" t="s">
        <v>50</v>
      </c>
      <c r="V76" s="81" t="s">
        <v>377</v>
      </c>
      <c r="W76" s="83" t="s">
        <v>608</v>
      </c>
    </row>
    <row r="77" spans="1:23" ht="28.2" hidden="1" customHeight="1" x14ac:dyDescent="0.3">
      <c r="A77" s="86">
        <v>87</v>
      </c>
      <c r="B77" s="68" t="s">
        <v>184</v>
      </c>
      <c r="C77" s="69" t="s">
        <v>176</v>
      </c>
      <c r="D77" s="68" t="s">
        <v>196</v>
      </c>
      <c r="E77" s="69" t="s">
        <v>195</v>
      </c>
      <c r="F77" s="109" t="s">
        <v>379</v>
      </c>
      <c r="G77" s="79">
        <v>1</v>
      </c>
      <c r="H77" s="79">
        <v>2</v>
      </c>
      <c r="I77" s="48">
        <v>15000</v>
      </c>
      <c r="J77" s="48">
        <f t="shared" si="23"/>
        <v>15000</v>
      </c>
      <c r="K77" s="48">
        <f t="shared" si="23"/>
        <v>15000</v>
      </c>
      <c r="L77" s="48">
        <f t="shared" si="13"/>
        <v>45000</v>
      </c>
      <c r="M77" s="48">
        <f t="shared" si="14"/>
        <v>7200</v>
      </c>
      <c r="N77" s="48">
        <f t="shared" si="15"/>
        <v>52200</v>
      </c>
      <c r="O77" s="77">
        <v>120000</v>
      </c>
      <c r="P77" s="77">
        <f t="shared" si="19"/>
        <v>120000</v>
      </c>
      <c r="Q77" s="77">
        <f t="shared" si="20"/>
        <v>240000</v>
      </c>
      <c r="R77" s="77">
        <f t="shared" si="16"/>
        <v>360000</v>
      </c>
      <c r="S77" s="77">
        <f t="shared" si="21"/>
        <v>57600</v>
      </c>
      <c r="T77" s="77">
        <f t="shared" si="22"/>
        <v>417600</v>
      </c>
      <c r="U77" s="78" t="s">
        <v>50</v>
      </c>
      <c r="V77" s="81" t="s">
        <v>345</v>
      </c>
      <c r="W77" s="83" t="s">
        <v>608</v>
      </c>
    </row>
    <row r="78" spans="1:23" ht="28.2" hidden="1" customHeight="1" x14ac:dyDescent="0.3">
      <c r="A78" s="86">
        <v>88</v>
      </c>
      <c r="B78" s="68" t="s">
        <v>184</v>
      </c>
      <c r="C78" s="69" t="s">
        <v>197</v>
      </c>
      <c r="D78" s="68" t="s">
        <v>198</v>
      </c>
      <c r="E78" s="69" t="s">
        <v>195</v>
      </c>
      <c r="F78" s="109" t="s">
        <v>380</v>
      </c>
      <c r="G78" s="79">
        <v>1</v>
      </c>
      <c r="H78" s="79">
        <v>2</v>
      </c>
      <c r="I78" s="48">
        <v>100000</v>
      </c>
      <c r="J78" s="48">
        <f t="shared" si="23"/>
        <v>100000</v>
      </c>
      <c r="K78" s="48">
        <f t="shared" si="23"/>
        <v>100000</v>
      </c>
      <c r="L78" s="48">
        <f t="shared" si="13"/>
        <v>300000</v>
      </c>
      <c r="M78" s="48">
        <f t="shared" si="14"/>
        <v>48000</v>
      </c>
      <c r="N78" s="48">
        <f t="shared" si="15"/>
        <v>348000</v>
      </c>
      <c r="O78" s="77">
        <v>175000</v>
      </c>
      <c r="P78" s="77">
        <f t="shared" si="19"/>
        <v>175000</v>
      </c>
      <c r="Q78" s="77">
        <f t="shared" si="20"/>
        <v>350000</v>
      </c>
      <c r="R78" s="77">
        <f t="shared" si="16"/>
        <v>525000</v>
      </c>
      <c r="S78" s="77">
        <f t="shared" si="21"/>
        <v>84000</v>
      </c>
      <c r="T78" s="77">
        <f t="shared" si="22"/>
        <v>609000</v>
      </c>
      <c r="U78" s="78" t="s">
        <v>50</v>
      </c>
      <c r="V78" s="81" t="s">
        <v>345</v>
      </c>
      <c r="W78" s="83" t="s">
        <v>608</v>
      </c>
    </row>
    <row r="79" spans="1:23" ht="28.2" hidden="1" customHeight="1" x14ac:dyDescent="0.3">
      <c r="A79" s="86">
        <v>94</v>
      </c>
      <c r="B79" s="68" t="s">
        <v>184</v>
      </c>
      <c r="C79" s="69" t="s">
        <v>214</v>
      </c>
      <c r="D79" s="68" t="s">
        <v>215</v>
      </c>
      <c r="E79" s="69" t="s">
        <v>195</v>
      </c>
      <c r="F79" s="109" t="s">
        <v>382</v>
      </c>
      <c r="G79" s="79">
        <v>1</v>
      </c>
      <c r="H79" s="79">
        <v>2</v>
      </c>
      <c r="I79" s="48">
        <v>150000</v>
      </c>
      <c r="J79" s="48">
        <f t="shared" si="23"/>
        <v>150000</v>
      </c>
      <c r="K79" s="48">
        <f t="shared" si="23"/>
        <v>150000</v>
      </c>
      <c r="L79" s="48">
        <f t="shared" si="13"/>
        <v>450000</v>
      </c>
      <c r="M79" s="48">
        <f t="shared" si="14"/>
        <v>72000</v>
      </c>
      <c r="N79" s="48">
        <f t="shared" si="15"/>
        <v>522000</v>
      </c>
      <c r="O79" s="77">
        <v>420000</v>
      </c>
      <c r="P79" s="77">
        <f t="shared" si="19"/>
        <v>420000</v>
      </c>
      <c r="Q79" s="77">
        <f t="shared" si="20"/>
        <v>840000</v>
      </c>
      <c r="R79" s="77">
        <f t="shared" si="16"/>
        <v>1260000</v>
      </c>
      <c r="S79" s="77">
        <f t="shared" si="21"/>
        <v>201600</v>
      </c>
      <c r="T79" s="77">
        <f t="shared" si="22"/>
        <v>1461600</v>
      </c>
      <c r="U79" s="78" t="s">
        <v>50</v>
      </c>
      <c r="V79" s="81" t="s">
        <v>383</v>
      </c>
      <c r="W79" s="83" t="s">
        <v>608</v>
      </c>
    </row>
    <row r="80" spans="1:23" ht="28.2" customHeight="1" x14ac:dyDescent="0.3">
      <c r="A80" s="86">
        <v>112</v>
      </c>
      <c r="B80" s="68" t="s">
        <v>47</v>
      </c>
      <c r="C80" s="69" t="s">
        <v>143</v>
      </c>
      <c r="D80" s="68" t="s">
        <v>144</v>
      </c>
      <c r="E80" s="69" t="s">
        <v>142</v>
      </c>
      <c r="F80" s="109" t="s">
        <v>399</v>
      </c>
      <c r="G80" s="79">
        <v>1</v>
      </c>
      <c r="H80" s="79">
        <v>2</v>
      </c>
      <c r="I80" s="48">
        <v>150000</v>
      </c>
      <c r="J80" s="48">
        <f t="shared" si="23"/>
        <v>150000</v>
      </c>
      <c r="K80" s="48">
        <f t="shared" si="23"/>
        <v>150000</v>
      </c>
      <c r="L80" s="48">
        <f>SUM(I80:K80)</f>
        <v>450000</v>
      </c>
      <c r="M80" s="48">
        <f>L80*0.16</f>
        <v>72000</v>
      </c>
      <c r="N80" s="48">
        <f>SUM(L80:M80)</f>
        <v>522000</v>
      </c>
      <c r="O80" s="77">
        <v>320000</v>
      </c>
      <c r="P80" s="77">
        <f t="shared" si="19"/>
        <v>320000</v>
      </c>
      <c r="Q80" s="77">
        <f t="shared" si="20"/>
        <v>640000</v>
      </c>
      <c r="R80" s="77">
        <f t="shared" si="16"/>
        <v>960000</v>
      </c>
      <c r="S80" s="77">
        <f t="shared" si="21"/>
        <v>153600</v>
      </c>
      <c r="T80" s="77">
        <f t="shared" si="22"/>
        <v>1113600</v>
      </c>
      <c r="U80" s="78" t="s">
        <v>50</v>
      </c>
      <c r="V80" s="85"/>
      <c r="W80" s="83" t="s">
        <v>608</v>
      </c>
    </row>
    <row r="81" spans="1:23" ht="28.2" hidden="1" customHeight="1" x14ac:dyDescent="0.3">
      <c r="A81" s="86">
        <v>154</v>
      </c>
      <c r="B81" s="68" t="s">
        <v>241</v>
      </c>
      <c r="C81" s="69" t="s">
        <v>242</v>
      </c>
      <c r="D81" s="68" t="s">
        <v>243</v>
      </c>
      <c r="E81" s="69" t="s">
        <v>240</v>
      </c>
      <c r="F81" s="109" t="s">
        <v>424</v>
      </c>
      <c r="G81" s="79">
        <v>1</v>
      </c>
      <c r="H81" s="79">
        <v>2</v>
      </c>
      <c r="I81" s="48">
        <v>50000</v>
      </c>
      <c r="J81" s="48">
        <f t="shared" ref="J81:K83" si="24">I81</f>
        <v>50000</v>
      </c>
      <c r="K81" s="48">
        <f t="shared" si="24"/>
        <v>50000</v>
      </c>
      <c r="L81" s="48">
        <f t="shared" ref="L81:L83" si="25">SUM(I81:K81)</f>
        <v>150000</v>
      </c>
      <c r="M81" s="48">
        <f t="shared" ref="M81:M83" si="26">L81*0.16</f>
        <v>24000</v>
      </c>
      <c r="N81" s="48">
        <f t="shared" ref="N81:N83" si="27">SUM(L81:M81)</f>
        <v>174000</v>
      </c>
      <c r="O81" s="77">
        <v>160000</v>
      </c>
      <c r="P81" s="77">
        <f t="shared" si="19"/>
        <v>160000</v>
      </c>
      <c r="Q81" s="77">
        <f t="shared" si="20"/>
        <v>320000</v>
      </c>
      <c r="R81" s="77">
        <f t="shared" si="16"/>
        <v>480000</v>
      </c>
      <c r="S81" s="77">
        <f t="shared" si="21"/>
        <v>76800</v>
      </c>
      <c r="T81" s="77">
        <f t="shared" si="22"/>
        <v>556800</v>
      </c>
      <c r="U81" s="78" t="s">
        <v>50</v>
      </c>
      <c r="V81" s="81" t="s">
        <v>377</v>
      </c>
      <c r="W81" s="83" t="s">
        <v>608</v>
      </c>
    </row>
    <row r="82" spans="1:23" ht="28.2" hidden="1" customHeight="1" x14ac:dyDescent="0.3">
      <c r="A82" s="86">
        <v>156</v>
      </c>
      <c r="B82" s="68" t="s">
        <v>47</v>
      </c>
      <c r="C82" s="69" t="s">
        <v>94</v>
      </c>
      <c r="D82" s="68" t="s">
        <v>95</v>
      </c>
      <c r="E82" s="69" t="s">
        <v>80</v>
      </c>
      <c r="F82" s="109" t="s">
        <v>426</v>
      </c>
      <c r="G82" s="79">
        <v>1</v>
      </c>
      <c r="H82" s="79">
        <v>2</v>
      </c>
      <c r="I82" s="48">
        <v>100000</v>
      </c>
      <c r="J82" s="48">
        <f t="shared" si="24"/>
        <v>100000</v>
      </c>
      <c r="K82" s="48">
        <f t="shared" si="24"/>
        <v>100000</v>
      </c>
      <c r="L82" s="48">
        <f t="shared" si="25"/>
        <v>300000</v>
      </c>
      <c r="M82" s="48">
        <f t="shared" si="26"/>
        <v>48000</v>
      </c>
      <c r="N82" s="48">
        <f t="shared" si="27"/>
        <v>348000</v>
      </c>
      <c r="O82" s="77">
        <v>220000</v>
      </c>
      <c r="P82" s="77">
        <f t="shared" si="19"/>
        <v>220000</v>
      </c>
      <c r="Q82" s="77">
        <f t="shared" si="20"/>
        <v>440000</v>
      </c>
      <c r="R82" s="77">
        <f t="shared" si="16"/>
        <v>660000</v>
      </c>
      <c r="S82" s="77">
        <f t="shared" si="21"/>
        <v>105600</v>
      </c>
      <c r="T82" s="77">
        <f t="shared" si="22"/>
        <v>765600</v>
      </c>
      <c r="U82" s="78" t="s">
        <v>62</v>
      </c>
      <c r="V82" s="85" t="s">
        <v>624</v>
      </c>
      <c r="W82" s="83" t="s">
        <v>608</v>
      </c>
    </row>
    <row r="83" spans="1:23" ht="28.2" hidden="1" customHeight="1" x14ac:dyDescent="0.3">
      <c r="A83" s="86">
        <v>159</v>
      </c>
      <c r="B83" s="68" t="s">
        <v>98</v>
      </c>
      <c r="C83" s="69" t="s">
        <v>99</v>
      </c>
      <c r="D83" s="68" t="s">
        <v>100</v>
      </c>
      <c r="E83" s="69" t="s">
        <v>97</v>
      </c>
      <c r="F83" s="109" t="s">
        <v>427</v>
      </c>
      <c r="G83" s="79">
        <v>1</v>
      </c>
      <c r="H83" s="79">
        <v>2</v>
      </c>
      <c r="I83" s="48">
        <v>50000</v>
      </c>
      <c r="J83" s="48">
        <f t="shared" si="24"/>
        <v>50000</v>
      </c>
      <c r="K83" s="48">
        <f t="shared" si="24"/>
        <v>50000</v>
      </c>
      <c r="L83" s="48">
        <f t="shared" si="25"/>
        <v>150000</v>
      </c>
      <c r="M83" s="48">
        <f t="shared" si="26"/>
        <v>24000</v>
      </c>
      <c r="N83" s="48">
        <f t="shared" si="27"/>
        <v>174000</v>
      </c>
      <c r="O83" s="77">
        <v>160000</v>
      </c>
      <c r="P83" s="77">
        <f t="shared" si="19"/>
        <v>160000</v>
      </c>
      <c r="Q83" s="77">
        <f t="shared" si="20"/>
        <v>320000</v>
      </c>
      <c r="R83" s="77">
        <f t="shared" si="16"/>
        <v>480000</v>
      </c>
      <c r="S83" s="77">
        <f t="shared" si="21"/>
        <v>76800</v>
      </c>
      <c r="T83" s="77">
        <f t="shared" si="22"/>
        <v>556800</v>
      </c>
      <c r="U83" s="78" t="s">
        <v>50</v>
      </c>
      <c r="V83" s="81" t="s">
        <v>377</v>
      </c>
      <c r="W83" s="83" t="s">
        <v>608</v>
      </c>
    </row>
    <row r="84" spans="1:23" ht="28.2" hidden="1" customHeight="1" x14ac:dyDescent="0.3">
      <c r="A84" s="86">
        <v>185</v>
      </c>
      <c r="B84" s="68" t="s">
        <v>47</v>
      </c>
      <c r="C84" s="69" t="s">
        <v>117</v>
      </c>
      <c r="D84" s="68" t="s">
        <v>121</v>
      </c>
      <c r="E84" s="69" t="s">
        <v>80</v>
      </c>
      <c r="F84" s="109" t="s">
        <v>464</v>
      </c>
      <c r="G84" s="79">
        <v>2</v>
      </c>
      <c r="H84" s="79">
        <v>4</v>
      </c>
      <c r="I84" s="48">
        <v>122850</v>
      </c>
      <c r="J84" s="48">
        <f t="shared" ref="J84:K91" si="28">I84</f>
        <v>122850</v>
      </c>
      <c r="K84" s="48">
        <f t="shared" si="28"/>
        <v>122850</v>
      </c>
      <c r="L84" s="48">
        <f t="shared" ref="L84:L85" si="29">SUM(I84:K84)</f>
        <v>368550</v>
      </c>
      <c r="M84" s="48">
        <f t="shared" ref="M84:M85" si="30">L84*0.16</f>
        <v>58968</v>
      </c>
      <c r="N84" s="48">
        <f t="shared" ref="N84:N85" si="31">SUM(L84:M84)</f>
        <v>427518</v>
      </c>
      <c r="O84" s="77">
        <v>300000</v>
      </c>
      <c r="P84" s="77">
        <f t="shared" si="19"/>
        <v>600000</v>
      </c>
      <c r="Q84" s="77">
        <f t="shared" si="20"/>
        <v>1200000</v>
      </c>
      <c r="R84" s="77">
        <f t="shared" ref="R84:R113" si="32">SUM(P84:Q84)</f>
        <v>1800000</v>
      </c>
      <c r="S84" s="77">
        <f t="shared" si="21"/>
        <v>288000</v>
      </c>
      <c r="T84" s="77">
        <f t="shared" si="22"/>
        <v>2088000</v>
      </c>
      <c r="U84" s="78" t="s">
        <v>50</v>
      </c>
      <c r="V84" s="81" t="s">
        <v>295</v>
      </c>
      <c r="W84" s="83" t="s">
        <v>608</v>
      </c>
    </row>
    <row r="85" spans="1:23" ht="28.2" hidden="1" customHeight="1" x14ac:dyDescent="0.3">
      <c r="A85" s="86">
        <v>196</v>
      </c>
      <c r="B85" s="68" t="s">
        <v>98</v>
      </c>
      <c r="C85" s="69" t="s">
        <v>199</v>
      </c>
      <c r="D85" s="68" t="s">
        <v>200</v>
      </c>
      <c r="E85" s="69" t="s">
        <v>97</v>
      </c>
      <c r="F85" s="109" t="s">
        <v>465</v>
      </c>
      <c r="G85" s="79">
        <v>1</v>
      </c>
      <c r="H85" s="79">
        <v>2</v>
      </c>
      <c r="I85" s="48">
        <v>150000</v>
      </c>
      <c r="J85" s="48">
        <f t="shared" si="28"/>
        <v>150000</v>
      </c>
      <c r="K85" s="48">
        <f t="shared" si="28"/>
        <v>150000</v>
      </c>
      <c r="L85" s="48">
        <f t="shared" si="29"/>
        <v>450000</v>
      </c>
      <c r="M85" s="48">
        <f t="shared" si="30"/>
        <v>72000</v>
      </c>
      <c r="N85" s="48">
        <f t="shared" si="31"/>
        <v>522000</v>
      </c>
      <c r="O85" s="77">
        <v>350000</v>
      </c>
      <c r="P85" s="77">
        <f t="shared" si="19"/>
        <v>350000</v>
      </c>
      <c r="Q85" s="77">
        <f t="shared" si="20"/>
        <v>700000</v>
      </c>
      <c r="R85" s="77">
        <f t="shared" si="32"/>
        <v>1050000</v>
      </c>
      <c r="S85" s="77">
        <f t="shared" si="21"/>
        <v>168000</v>
      </c>
      <c r="T85" s="77">
        <f t="shared" si="22"/>
        <v>1218000</v>
      </c>
      <c r="U85" s="78" t="s">
        <v>62</v>
      </c>
      <c r="V85" s="85" t="s">
        <v>624</v>
      </c>
      <c r="W85" s="83" t="s">
        <v>608</v>
      </c>
    </row>
    <row r="86" spans="1:23" ht="28.2" hidden="1" customHeight="1" x14ac:dyDescent="0.3">
      <c r="A86" s="86">
        <v>208</v>
      </c>
      <c r="B86" s="68" t="s">
        <v>124</v>
      </c>
      <c r="C86" s="69" t="s">
        <v>125</v>
      </c>
      <c r="D86" s="68" t="s">
        <v>126</v>
      </c>
      <c r="E86" s="69" t="s">
        <v>123</v>
      </c>
      <c r="F86" s="109" t="s">
        <v>477</v>
      </c>
      <c r="G86" s="79">
        <v>1</v>
      </c>
      <c r="H86" s="79">
        <v>2</v>
      </c>
      <c r="I86" s="48">
        <v>90000</v>
      </c>
      <c r="J86" s="48">
        <f t="shared" si="28"/>
        <v>90000</v>
      </c>
      <c r="K86" s="48">
        <f t="shared" si="28"/>
        <v>90000</v>
      </c>
      <c r="L86" s="48">
        <f>SUM(I86:K86)</f>
        <v>270000</v>
      </c>
      <c r="M86" s="48">
        <f>L86*0.16</f>
        <v>43200</v>
      </c>
      <c r="N86" s="48">
        <f>SUM(L86:M86)</f>
        <v>313200</v>
      </c>
      <c r="O86" s="77">
        <v>195000</v>
      </c>
      <c r="P86" s="77">
        <f t="shared" si="19"/>
        <v>195000</v>
      </c>
      <c r="Q86" s="77">
        <f t="shared" si="20"/>
        <v>390000</v>
      </c>
      <c r="R86" s="77">
        <f t="shared" si="32"/>
        <v>585000</v>
      </c>
      <c r="S86" s="77">
        <f t="shared" si="21"/>
        <v>93600</v>
      </c>
      <c r="T86" s="77">
        <f t="shared" si="22"/>
        <v>678600</v>
      </c>
      <c r="U86" s="78" t="s">
        <v>50</v>
      </c>
      <c r="V86" s="81" t="s">
        <v>292</v>
      </c>
      <c r="W86" s="83" t="s">
        <v>608</v>
      </c>
    </row>
    <row r="87" spans="1:23" ht="28.2" hidden="1" customHeight="1" x14ac:dyDescent="0.3">
      <c r="A87" s="86">
        <v>214</v>
      </c>
      <c r="B87" s="68" t="s">
        <v>47</v>
      </c>
      <c r="C87" s="69" t="s">
        <v>70</v>
      </c>
      <c r="D87" s="68" t="s">
        <v>253</v>
      </c>
      <c r="E87" s="69" t="s">
        <v>46</v>
      </c>
      <c r="F87" s="109" t="s">
        <v>484</v>
      </c>
      <c r="G87" s="79">
        <v>1</v>
      </c>
      <c r="H87" s="79">
        <v>2</v>
      </c>
      <c r="I87" s="48">
        <v>50000</v>
      </c>
      <c r="J87" s="48">
        <f t="shared" si="28"/>
        <v>50000</v>
      </c>
      <c r="K87" s="48">
        <f t="shared" si="28"/>
        <v>50000</v>
      </c>
      <c r="L87" s="48">
        <f t="shared" ref="L87:L91" si="33">SUM(I87:K87)</f>
        <v>150000</v>
      </c>
      <c r="M87" s="48">
        <f t="shared" ref="M87:M91" si="34">L87*0.16</f>
        <v>24000</v>
      </c>
      <c r="N87" s="48">
        <f t="shared" ref="N87:N91" si="35">SUM(L87:M87)</f>
        <v>174000</v>
      </c>
      <c r="O87" s="77">
        <v>150000</v>
      </c>
      <c r="P87" s="77">
        <f t="shared" si="19"/>
        <v>150000</v>
      </c>
      <c r="Q87" s="77">
        <f t="shared" si="20"/>
        <v>300000</v>
      </c>
      <c r="R87" s="77">
        <f t="shared" si="32"/>
        <v>450000</v>
      </c>
      <c r="S87" s="77">
        <f t="shared" si="21"/>
        <v>72000</v>
      </c>
      <c r="T87" s="77">
        <f t="shared" si="22"/>
        <v>522000</v>
      </c>
      <c r="U87" s="78" t="s">
        <v>50</v>
      </c>
      <c r="V87" s="81" t="s">
        <v>316</v>
      </c>
      <c r="W87" s="83" t="s">
        <v>608</v>
      </c>
    </row>
    <row r="88" spans="1:23" ht="28.2" hidden="1" customHeight="1" x14ac:dyDescent="0.3">
      <c r="A88" s="86">
        <v>215</v>
      </c>
      <c r="B88" s="68" t="s">
        <v>47</v>
      </c>
      <c r="C88" s="69" t="s">
        <v>159</v>
      </c>
      <c r="D88" s="68" t="s">
        <v>160</v>
      </c>
      <c r="E88" s="69" t="s">
        <v>46</v>
      </c>
      <c r="F88" s="109" t="s">
        <v>485</v>
      </c>
      <c r="G88" s="79">
        <v>1</v>
      </c>
      <c r="H88" s="79">
        <v>2</v>
      </c>
      <c r="I88" s="48">
        <v>70000</v>
      </c>
      <c r="J88" s="48">
        <f t="shared" si="28"/>
        <v>70000</v>
      </c>
      <c r="K88" s="48">
        <f t="shared" si="28"/>
        <v>70000</v>
      </c>
      <c r="L88" s="48">
        <f t="shared" si="33"/>
        <v>210000</v>
      </c>
      <c r="M88" s="48">
        <f t="shared" si="34"/>
        <v>33600</v>
      </c>
      <c r="N88" s="48">
        <f t="shared" si="35"/>
        <v>243600</v>
      </c>
      <c r="O88" s="77">
        <v>130000</v>
      </c>
      <c r="P88" s="77">
        <f t="shared" si="19"/>
        <v>130000</v>
      </c>
      <c r="Q88" s="77">
        <f t="shared" si="20"/>
        <v>260000</v>
      </c>
      <c r="R88" s="77">
        <f t="shared" si="32"/>
        <v>390000</v>
      </c>
      <c r="S88" s="77">
        <f t="shared" si="21"/>
        <v>62400</v>
      </c>
      <c r="T88" s="77">
        <f t="shared" si="22"/>
        <v>452400</v>
      </c>
      <c r="U88" s="78" t="s">
        <v>50</v>
      </c>
      <c r="V88" s="81" t="s">
        <v>311</v>
      </c>
      <c r="W88" s="83" t="s">
        <v>608</v>
      </c>
    </row>
    <row r="89" spans="1:23" ht="28.2" customHeight="1" x14ac:dyDescent="0.3">
      <c r="A89" s="86">
        <v>218</v>
      </c>
      <c r="B89" s="68" t="s">
        <v>47</v>
      </c>
      <c r="C89" s="69" t="s">
        <v>145</v>
      </c>
      <c r="D89" s="68" t="s">
        <v>146</v>
      </c>
      <c r="E89" s="69" t="s">
        <v>142</v>
      </c>
      <c r="F89" s="109" t="s">
        <v>486</v>
      </c>
      <c r="G89" s="79">
        <v>1</v>
      </c>
      <c r="H89" s="79">
        <v>2</v>
      </c>
      <c r="I89" s="48">
        <v>100000</v>
      </c>
      <c r="J89" s="48">
        <f t="shared" si="28"/>
        <v>100000</v>
      </c>
      <c r="K89" s="48">
        <f t="shared" si="28"/>
        <v>100000</v>
      </c>
      <c r="L89" s="48">
        <f t="shared" si="33"/>
        <v>300000</v>
      </c>
      <c r="M89" s="48">
        <f t="shared" si="34"/>
        <v>48000</v>
      </c>
      <c r="N89" s="48">
        <f t="shared" si="35"/>
        <v>348000</v>
      </c>
      <c r="O89" s="77">
        <v>220000</v>
      </c>
      <c r="P89" s="77">
        <f t="shared" si="19"/>
        <v>220000</v>
      </c>
      <c r="Q89" s="77">
        <f t="shared" si="20"/>
        <v>440000</v>
      </c>
      <c r="R89" s="77">
        <f t="shared" si="32"/>
        <v>660000</v>
      </c>
      <c r="S89" s="77">
        <f t="shared" si="21"/>
        <v>105600</v>
      </c>
      <c r="T89" s="77">
        <f t="shared" si="22"/>
        <v>765600</v>
      </c>
      <c r="U89" s="78" t="s">
        <v>62</v>
      </c>
      <c r="V89" s="85" t="s">
        <v>624</v>
      </c>
      <c r="W89" s="83" t="s">
        <v>608</v>
      </c>
    </row>
    <row r="90" spans="1:23" ht="28.2" hidden="1" customHeight="1" x14ac:dyDescent="0.3">
      <c r="A90" s="86">
        <v>221</v>
      </c>
      <c r="B90" s="68" t="s">
        <v>103</v>
      </c>
      <c r="C90" s="69" t="s">
        <v>104</v>
      </c>
      <c r="D90" s="68" t="s">
        <v>105</v>
      </c>
      <c r="E90" s="69" t="s">
        <v>102</v>
      </c>
      <c r="F90" s="109" t="s">
        <v>487</v>
      </c>
      <c r="G90" s="79">
        <v>1</v>
      </c>
      <c r="H90" s="79">
        <v>2</v>
      </c>
      <c r="I90" s="48">
        <v>100000</v>
      </c>
      <c r="J90" s="48">
        <f t="shared" si="28"/>
        <v>100000</v>
      </c>
      <c r="K90" s="48">
        <f t="shared" si="28"/>
        <v>100000</v>
      </c>
      <c r="L90" s="48">
        <f t="shared" si="33"/>
        <v>300000</v>
      </c>
      <c r="M90" s="48">
        <f t="shared" si="34"/>
        <v>48000</v>
      </c>
      <c r="N90" s="48">
        <f t="shared" si="35"/>
        <v>348000</v>
      </c>
      <c r="O90" s="77">
        <v>220000</v>
      </c>
      <c r="P90" s="77">
        <f t="shared" si="19"/>
        <v>220000</v>
      </c>
      <c r="Q90" s="77">
        <f t="shared" si="20"/>
        <v>440000</v>
      </c>
      <c r="R90" s="77">
        <f t="shared" si="32"/>
        <v>660000</v>
      </c>
      <c r="S90" s="77">
        <f t="shared" si="21"/>
        <v>105600</v>
      </c>
      <c r="T90" s="77">
        <f t="shared" si="22"/>
        <v>765600</v>
      </c>
      <c r="U90" s="78" t="s">
        <v>62</v>
      </c>
      <c r="V90" s="85" t="s">
        <v>624</v>
      </c>
      <c r="W90" s="83" t="s">
        <v>608</v>
      </c>
    </row>
    <row r="91" spans="1:23" ht="28.2" hidden="1" customHeight="1" x14ac:dyDescent="0.3">
      <c r="A91" s="86">
        <v>222</v>
      </c>
      <c r="B91" s="68" t="s">
        <v>103</v>
      </c>
      <c r="C91" s="69" t="s">
        <v>127</v>
      </c>
      <c r="D91" s="68" t="s">
        <v>128</v>
      </c>
      <c r="E91" s="69" t="s">
        <v>102</v>
      </c>
      <c r="F91" s="109" t="s">
        <v>488</v>
      </c>
      <c r="G91" s="79">
        <v>1</v>
      </c>
      <c r="H91" s="79">
        <v>2</v>
      </c>
      <c r="I91" s="48">
        <v>100000</v>
      </c>
      <c r="J91" s="48">
        <f t="shared" si="28"/>
        <v>100000</v>
      </c>
      <c r="K91" s="48">
        <f t="shared" si="28"/>
        <v>100000</v>
      </c>
      <c r="L91" s="48">
        <f t="shared" si="33"/>
        <v>300000</v>
      </c>
      <c r="M91" s="48">
        <f t="shared" si="34"/>
        <v>48000</v>
      </c>
      <c r="N91" s="48">
        <f t="shared" si="35"/>
        <v>348000</v>
      </c>
      <c r="O91" s="77">
        <v>365000</v>
      </c>
      <c r="P91" s="77">
        <f t="shared" si="19"/>
        <v>365000</v>
      </c>
      <c r="Q91" s="77">
        <f t="shared" si="20"/>
        <v>730000</v>
      </c>
      <c r="R91" s="77">
        <f t="shared" si="32"/>
        <v>1095000</v>
      </c>
      <c r="S91" s="77">
        <f t="shared" si="21"/>
        <v>175200</v>
      </c>
      <c r="T91" s="77">
        <f t="shared" si="22"/>
        <v>1270200</v>
      </c>
      <c r="U91" s="78" t="s">
        <v>50</v>
      </c>
      <c r="V91" s="81" t="s">
        <v>489</v>
      </c>
      <c r="W91" s="83" t="s">
        <v>608</v>
      </c>
    </row>
    <row r="92" spans="1:23" ht="28.2" hidden="1" customHeight="1" x14ac:dyDescent="0.3">
      <c r="A92" s="86">
        <v>227</v>
      </c>
      <c r="B92" s="68" t="s">
        <v>184</v>
      </c>
      <c r="C92" s="69" t="s">
        <v>164</v>
      </c>
      <c r="D92" s="68" t="s">
        <v>185</v>
      </c>
      <c r="E92" s="69" t="s">
        <v>183</v>
      </c>
      <c r="F92" s="109" t="s">
        <v>500</v>
      </c>
      <c r="G92" s="79">
        <v>1</v>
      </c>
      <c r="H92" s="79">
        <v>2</v>
      </c>
      <c r="I92" s="48">
        <v>100000</v>
      </c>
      <c r="J92" s="48">
        <f t="shared" ref="J92:K100" si="36">I92</f>
        <v>100000</v>
      </c>
      <c r="K92" s="48">
        <f t="shared" si="36"/>
        <v>100000</v>
      </c>
      <c r="L92" s="48">
        <f t="shared" ref="L92:L93" si="37">SUM(I92:K92)</f>
        <v>300000</v>
      </c>
      <c r="M92" s="48">
        <f t="shared" ref="M92:M93" si="38">L92*0.16</f>
        <v>48000</v>
      </c>
      <c r="N92" s="48">
        <f t="shared" ref="N92:N93" si="39">SUM(L92:M92)</f>
        <v>348000</v>
      </c>
      <c r="O92" s="77">
        <v>220000</v>
      </c>
      <c r="P92" s="77">
        <f t="shared" si="19"/>
        <v>220000</v>
      </c>
      <c r="Q92" s="77">
        <f t="shared" si="20"/>
        <v>440000</v>
      </c>
      <c r="R92" s="77">
        <f t="shared" si="32"/>
        <v>660000</v>
      </c>
      <c r="S92" s="77">
        <f t="shared" si="21"/>
        <v>105600</v>
      </c>
      <c r="T92" s="77">
        <f t="shared" si="22"/>
        <v>765600</v>
      </c>
      <c r="U92" s="78" t="s">
        <v>62</v>
      </c>
      <c r="V92" s="85" t="s">
        <v>624</v>
      </c>
      <c r="W92" s="83" t="s">
        <v>608</v>
      </c>
    </row>
    <row r="93" spans="1:23" ht="28.2" hidden="1" customHeight="1" x14ac:dyDescent="0.3">
      <c r="A93" s="86">
        <v>228</v>
      </c>
      <c r="B93" s="68" t="s">
        <v>184</v>
      </c>
      <c r="C93" s="69" t="s">
        <v>186</v>
      </c>
      <c r="D93" s="68" t="s">
        <v>187</v>
      </c>
      <c r="E93" s="69" t="s">
        <v>183</v>
      </c>
      <c r="F93" s="109" t="s">
        <v>501</v>
      </c>
      <c r="G93" s="79">
        <v>1</v>
      </c>
      <c r="H93" s="79">
        <v>2</v>
      </c>
      <c r="I93" s="48">
        <v>100000</v>
      </c>
      <c r="J93" s="48">
        <f t="shared" si="36"/>
        <v>100000</v>
      </c>
      <c r="K93" s="48">
        <f t="shared" si="36"/>
        <v>100000</v>
      </c>
      <c r="L93" s="48">
        <f t="shared" si="37"/>
        <v>300000</v>
      </c>
      <c r="M93" s="48">
        <f t="shared" si="38"/>
        <v>48000</v>
      </c>
      <c r="N93" s="48">
        <f t="shared" si="39"/>
        <v>348000</v>
      </c>
      <c r="O93" s="77">
        <v>220000</v>
      </c>
      <c r="P93" s="77">
        <f t="shared" si="19"/>
        <v>220000</v>
      </c>
      <c r="Q93" s="77">
        <f t="shared" si="20"/>
        <v>440000</v>
      </c>
      <c r="R93" s="77">
        <f t="shared" si="32"/>
        <v>660000</v>
      </c>
      <c r="S93" s="77">
        <f t="shared" si="21"/>
        <v>105600</v>
      </c>
      <c r="T93" s="77">
        <f t="shared" si="22"/>
        <v>765600</v>
      </c>
      <c r="U93" s="78" t="s">
        <v>62</v>
      </c>
      <c r="V93" s="85" t="s">
        <v>624</v>
      </c>
      <c r="W93" s="83" t="s">
        <v>608</v>
      </c>
    </row>
    <row r="94" spans="1:23" ht="28.2" hidden="1" customHeight="1" x14ac:dyDescent="0.3">
      <c r="A94" s="86">
        <v>231</v>
      </c>
      <c r="B94" s="68" t="s">
        <v>163</v>
      </c>
      <c r="C94" s="69" t="s">
        <v>164</v>
      </c>
      <c r="D94" s="68" t="s">
        <v>165</v>
      </c>
      <c r="E94" s="69" t="s">
        <v>162</v>
      </c>
      <c r="F94" s="109" t="s">
        <v>506</v>
      </c>
      <c r="G94" s="79">
        <v>1</v>
      </c>
      <c r="H94" s="79">
        <v>2</v>
      </c>
      <c r="I94" s="48">
        <v>100000</v>
      </c>
      <c r="J94" s="48">
        <f t="shared" si="36"/>
        <v>100000</v>
      </c>
      <c r="K94" s="48">
        <f t="shared" si="36"/>
        <v>100000</v>
      </c>
      <c r="L94" s="48">
        <f t="shared" ref="L94:L95" si="40">SUM(I94:K94)</f>
        <v>300000</v>
      </c>
      <c r="M94" s="48">
        <f t="shared" ref="M94:M95" si="41">L94*0.16</f>
        <v>48000</v>
      </c>
      <c r="N94" s="48">
        <f t="shared" ref="N94:N95" si="42">SUM(L94:M94)</f>
        <v>348000</v>
      </c>
      <c r="O94" s="77">
        <v>220000</v>
      </c>
      <c r="P94" s="77">
        <f t="shared" si="19"/>
        <v>220000</v>
      </c>
      <c r="Q94" s="77">
        <f t="shared" si="20"/>
        <v>440000</v>
      </c>
      <c r="R94" s="77">
        <f t="shared" si="32"/>
        <v>660000</v>
      </c>
      <c r="S94" s="77">
        <f t="shared" si="21"/>
        <v>105600</v>
      </c>
      <c r="T94" s="77">
        <f t="shared" si="22"/>
        <v>765600</v>
      </c>
      <c r="U94" s="78" t="s">
        <v>62</v>
      </c>
      <c r="V94" s="85" t="s">
        <v>624</v>
      </c>
      <c r="W94" s="83" t="s">
        <v>608</v>
      </c>
    </row>
    <row r="95" spans="1:23" ht="28.2" hidden="1" customHeight="1" x14ac:dyDescent="0.3">
      <c r="A95" s="86">
        <v>232</v>
      </c>
      <c r="B95" s="68" t="s">
        <v>167</v>
      </c>
      <c r="C95" s="69" t="s">
        <v>168</v>
      </c>
      <c r="D95" s="68" t="s">
        <v>169</v>
      </c>
      <c r="E95" s="69" t="s">
        <v>166</v>
      </c>
      <c r="F95" s="109" t="s">
        <v>507</v>
      </c>
      <c r="G95" s="79">
        <v>1</v>
      </c>
      <c r="H95" s="79">
        <v>2</v>
      </c>
      <c r="I95" s="48">
        <v>100000</v>
      </c>
      <c r="J95" s="48">
        <f t="shared" si="36"/>
        <v>100000</v>
      </c>
      <c r="K95" s="48">
        <f t="shared" si="36"/>
        <v>100000</v>
      </c>
      <c r="L95" s="48">
        <f t="shared" si="40"/>
        <v>300000</v>
      </c>
      <c r="M95" s="48">
        <f t="shared" si="41"/>
        <v>48000</v>
      </c>
      <c r="N95" s="48">
        <f t="shared" si="42"/>
        <v>348000</v>
      </c>
      <c r="O95" s="77">
        <v>220000</v>
      </c>
      <c r="P95" s="77">
        <f t="shared" si="19"/>
        <v>220000</v>
      </c>
      <c r="Q95" s="77">
        <f t="shared" si="20"/>
        <v>440000</v>
      </c>
      <c r="R95" s="77">
        <f t="shared" si="32"/>
        <v>660000</v>
      </c>
      <c r="S95" s="77">
        <f t="shared" si="21"/>
        <v>105600</v>
      </c>
      <c r="T95" s="77">
        <f t="shared" si="22"/>
        <v>765600</v>
      </c>
      <c r="U95" s="78" t="s">
        <v>62</v>
      </c>
      <c r="V95" s="85" t="s">
        <v>624</v>
      </c>
      <c r="W95" s="83" t="s">
        <v>608</v>
      </c>
    </row>
    <row r="96" spans="1:23" ht="28.2" hidden="1" customHeight="1" x14ac:dyDescent="0.3">
      <c r="A96" s="86">
        <v>268</v>
      </c>
      <c r="B96" s="68" t="s">
        <v>172</v>
      </c>
      <c r="C96" s="69" t="s">
        <v>201</v>
      </c>
      <c r="D96" s="68" t="s">
        <v>202</v>
      </c>
      <c r="E96" s="69" t="s">
        <v>171</v>
      </c>
      <c r="F96" s="109" t="s">
        <v>512</v>
      </c>
      <c r="G96" s="79">
        <v>1</v>
      </c>
      <c r="H96" s="79">
        <v>2</v>
      </c>
      <c r="I96" s="48">
        <v>200000</v>
      </c>
      <c r="J96" s="48">
        <f t="shared" si="36"/>
        <v>200000</v>
      </c>
      <c r="K96" s="48">
        <f t="shared" si="36"/>
        <v>200000</v>
      </c>
      <c r="L96" s="48">
        <f t="shared" ref="L96:L98" si="43">SUM(I96:K96)</f>
        <v>600000</v>
      </c>
      <c r="M96" s="48">
        <f t="shared" ref="M96:M98" si="44">L96*0.16</f>
        <v>96000</v>
      </c>
      <c r="N96" s="48">
        <f t="shared" ref="N96:N98" si="45">SUM(L96:M96)</f>
        <v>696000</v>
      </c>
      <c r="O96" s="77">
        <v>425000</v>
      </c>
      <c r="P96" s="77">
        <f t="shared" si="19"/>
        <v>425000</v>
      </c>
      <c r="Q96" s="77">
        <f t="shared" si="20"/>
        <v>850000</v>
      </c>
      <c r="R96" s="77">
        <f t="shared" si="32"/>
        <v>1275000</v>
      </c>
      <c r="S96" s="77">
        <f t="shared" si="21"/>
        <v>204000</v>
      </c>
      <c r="T96" s="77">
        <f t="shared" si="22"/>
        <v>1479000</v>
      </c>
      <c r="U96" s="78" t="s">
        <v>50</v>
      </c>
      <c r="V96" s="81" t="s">
        <v>377</v>
      </c>
      <c r="W96" s="83" t="s">
        <v>608</v>
      </c>
    </row>
    <row r="97" spans="1:23" ht="28.2" hidden="1" customHeight="1" x14ac:dyDescent="0.3">
      <c r="A97" s="86">
        <v>273</v>
      </c>
      <c r="B97" s="68" t="s">
        <v>172</v>
      </c>
      <c r="C97" s="69" t="s">
        <v>203</v>
      </c>
      <c r="D97" s="68" t="s">
        <v>204</v>
      </c>
      <c r="E97" s="69" t="s">
        <v>171</v>
      </c>
      <c r="F97" s="109" t="s">
        <v>513</v>
      </c>
      <c r="G97" s="79">
        <v>1</v>
      </c>
      <c r="H97" s="79">
        <v>2</v>
      </c>
      <c r="I97" s="48">
        <v>200000</v>
      </c>
      <c r="J97" s="48">
        <f t="shared" si="36"/>
        <v>200000</v>
      </c>
      <c r="K97" s="48">
        <f t="shared" si="36"/>
        <v>200000</v>
      </c>
      <c r="L97" s="48">
        <f t="shared" si="43"/>
        <v>600000</v>
      </c>
      <c r="M97" s="48">
        <f t="shared" si="44"/>
        <v>96000</v>
      </c>
      <c r="N97" s="48">
        <f t="shared" si="45"/>
        <v>696000</v>
      </c>
      <c r="O97" s="77">
        <v>400000</v>
      </c>
      <c r="P97" s="77">
        <f t="shared" si="19"/>
        <v>400000</v>
      </c>
      <c r="Q97" s="77">
        <f t="shared" si="20"/>
        <v>800000</v>
      </c>
      <c r="R97" s="77">
        <f t="shared" si="32"/>
        <v>1200000</v>
      </c>
      <c r="S97" s="77">
        <f t="shared" si="21"/>
        <v>192000</v>
      </c>
      <c r="T97" s="77">
        <f t="shared" si="22"/>
        <v>1392000</v>
      </c>
      <c r="U97" s="78" t="s">
        <v>50</v>
      </c>
      <c r="V97" s="81" t="s">
        <v>300</v>
      </c>
      <c r="W97" s="83" t="s">
        <v>608</v>
      </c>
    </row>
    <row r="98" spans="1:23" ht="28.2" hidden="1" customHeight="1" x14ac:dyDescent="0.3">
      <c r="A98" s="86">
        <v>283</v>
      </c>
      <c r="B98" s="68" t="s">
        <v>47</v>
      </c>
      <c r="C98" s="69" t="s">
        <v>254</v>
      </c>
      <c r="D98" s="68" t="s">
        <v>255</v>
      </c>
      <c r="E98" s="69" t="s">
        <v>46</v>
      </c>
      <c r="F98" s="109" t="s">
        <v>514</v>
      </c>
      <c r="G98" s="79">
        <v>1</v>
      </c>
      <c r="H98" s="79">
        <v>2</v>
      </c>
      <c r="I98" s="48">
        <v>80000</v>
      </c>
      <c r="J98" s="48">
        <f t="shared" si="36"/>
        <v>80000</v>
      </c>
      <c r="K98" s="48">
        <f t="shared" si="36"/>
        <v>80000</v>
      </c>
      <c r="L98" s="48">
        <f t="shared" si="43"/>
        <v>240000</v>
      </c>
      <c r="M98" s="48">
        <f t="shared" si="44"/>
        <v>38400</v>
      </c>
      <c r="N98" s="48">
        <f t="shared" si="45"/>
        <v>278400</v>
      </c>
      <c r="O98" s="77">
        <v>170000</v>
      </c>
      <c r="P98" s="77">
        <f t="shared" si="19"/>
        <v>170000</v>
      </c>
      <c r="Q98" s="77">
        <f t="shared" si="20"/>
        <v>340000</v>
      </c>
      <c r="R98" s="77">
        <f t="shared" si="32"/>
        <v>510000</v>
      </c>
      <c r="S98" s="77">
        <f t="shared" si="21"/>
        <v>81600</v>
      </c>
      <c r="T98" s="77">
        <f t="shared" si="22"/>
        <v>591600</v>
      </c>
      <c r="U98" s="78" t="s">
        <v>50</v>
      </c>
      <c r="V98" s="81" t="s">
        <v>387</v>
      </c>
      <c r="W98" s="83" t="s">
        <v>608</v>
      </c>
    </row>
    <row r="99" spans="1:23" ht="28.2" hidden="1" customHeight="1" x14ac:dyDescent="0.3">
      <c r="A99" s="86">
        <v>291</v>
      </c>
      <c r="B99" s="68" t="s">
        <v>47</v>
      </c>
      <c r="C99" s="69" t="s">
        <v>254</v>
      </c>
      <c r="D99" s="68" t="s">
        <v>256</v>
      </c>
      <c r="E99" s="69" t="s">
        <v>46</v>
      </c>
      <c r="F99" s="109" t="s">
        <v>522</v>
      </c>
      <c r="G99" s="79">
        <v>1</v>
      </c>
      <c r="H99" s="79">
        <v>2</v>
      </c>
      <c r="I99" s="48">
        <v>80000</v>
      </c>
      <c r="J99" s="48">
        <f t="shared" si="36"/>
        <v>80000</v>
      </c>
      <c r="K99" s="48">
        <f t="shared" si="36"/>
        <v>80000</v>
      </c>
      <c r="L99" s="48">
        <f t="shared" ref="L99:L100" si="46">SUM(I99:K99)</f>
        <v>240000</v>
      </c>
      <c r="M99" s="48">
        <f t="shared" ref="M99:M100" si="47">L99*0.16</f>
        <v>38400</v>
      </c>
      <c r="N99" s="48">
        <f t="shared" ref="N99:N100" si="48">SUM(L99:M99)</f>
        <v>278400</v>
      </c>
      <c r="O99" s="77">
        <v>140000</v>
      </c>
      <c r="P99" s="77">
        <f t="shared" si="19"/>
        <v>140000</v>
      </c>
      <c r="Q99" s="77">
        <f t="shared" si="20"/>
        <v>280000</v>
      </c>
      <c r="R99" s="77">
        <f t="shared" si="32"/>
        <v>420000</v>
      </c>
      <c r="S99" s="77">
        <f t="shared" si="21"/>
        <v>67200</v>
      </c>
      <c r="T99" s="77">
        <f t="shared" si="22"/>
        <v>487200</v>
      </c>
      <c r="U99" s="78" t="s">
        <v>50</v>
      </c>
      <c r="V99" s="81" t="s">
        <v>387</v>
      </c>
      <c r="W99" s="83" t="s">
        <v>608</v>
      </c>
    </row>
    <row r="100" spans="1:23" ht="28.2" hidden="1" customHeight="1" x14ac:dyDescent="0.3">
      <c r="A100" s="86">
        <v>292</v>
      </c>
      <c r="B100" s="68" t="s">
        <v>47</v>
      </c>
      <c r="C100" s="69" t="s">
        <v>257</v>
      </c>
      <c r="D100" s="68" t="s">
        <v>258</v>
      </c>
      <c r="E100" s="69" t="s">
        <v>46</v>
      </c>
      <c r="F100" s="109" t="s">
        <v>523</v>
      </c>
      <c r="G100" s="79">
        <v>1</v>
      </c>
      <c r="H100" s="79">
        <v>2</v>
      </c>
      <c r="I100" s="48">
        <v>40000</v>
      </c>
      <c r="J100" s="48">
        <f t="shared" si="36"/>
        <v>40000</v>
      </c>
      <c r="K100" s="48">
        <f t="shared" si="36"/>
        <v>40000</v>
      </c>
      <c r="L100" s="48">
        <f t="shared" si="46"/>
        <v>120000</v>
      </c>
      <c r="M100" s="48">
        <f t="shared" si="47"/>
        <v>19200</v>
      </c>
      <c r="N100" s="48">
        <f t="shared" si="48"/>
        <v>139200</v>
      </c>
      <c r="O100" s="77">
        <v>120000</v>
      </c>
      <c r="P100" s="77">
        <f t="shared" ref="P100:P114" si="49">G100*O100</f>
        <v>120000</v>
      </c>
      <c r="Q100" s="77">
        <f t="shared" ref="Q100:Q114" si="50">H100*O100</f>
        <v>240000</v>
      </c>
      <c r="R100" s="77">
        <f t="shared" si="32"/>
        <v>360000</v>
      </c>
      <c r="S100" s="77">
        <f t="shared" ref="S100:S114" si="51">R100*$S$9</f>
        <v>57600</v>
      </c>
      <c r="T100" s="77">
        <f t="shared" ref="T100:T114" si="52">SUM(R100:S100)</f>
        <v>417600</v>
      </c>
      <c r="U100" s="78" t="s">
        <v>50</v>
      </c>
      <c r="V100" s="81" t="s">
        <v>524</v>
      </c>
      <c r="W100" s="83" t="s">
        <v>608</v>
      </c>
    </row>
    <row r="101" spans="1:23" ht="28.2" hidden="1" customHeight="1" x14ac:dyDescent="0.3">
      <c r="A101" s="86">
        <v>298</v>
      </c>
      <c r="B101" s="68" t="s">
        <v>217</v>
      </c>
      <c r="C101" s="69" t="s">
        <v>218</v>
      </c>
      <c r="D101" s="68" t="s">
        <v>219</v>
      </c>
      <c r="E101" s="69" t="s">
        <v>216</v>
      </c>
      <c r="F101" s="109" t="s">
        <v>528</v>
      </c>
      <c r="G101" s="79">
        <v>1</v>
      </c>
      <c r="H101" s="79">
        <v>2</v>
      </c>
      <c r="I101" s="48">
        <v>100000</v>
      </c>
      <c r="J101" s="48">
        <f t="shared" ref="J101:K108" si="53">I101</f>
        <v>100000</v>
      </c>
      <c r="K101" s="48">
        <f t="shared" si="53"/>
        <v>100000</v>
      </c>
      <c r="L101" s="48">
        <f>SUM(I101:K101)</f>
        <v>300000</v>
      </c>
      <c r="M101" s="48">
        <f>L101*0.16</f>
        <v>48000</v>
      </c>
      <c r="N101" s="48">
        <f>SUM(L101:M101)</f>
        <v>348000</v>
      </c>
      <c r="O101" s="77">
        <v>220000</v>
      </c>
      <c r="P101" s="77">
        <f t="shared" si="49"/>
        <v>220000</v>
      </c>
      <c r="Q101" s="77">
        <f t="shared" si="50"/>
        <v>440000</v>
      </c>
      <c r="R101" s="77">
        <f t="shared" si="32"/>
        <v>660000</v>
      </c>
      <c r="S101" s="77">
        <f t="shared" si="51"/>
        <v>105600</v>
      </c>
      <c r="T101" s="77">
        <f t="shared" si="52"/>
        <v>765600</v>
      </c>
      <c r="U101" s="78" t="s">
        <v>62</v>
      </c>
      <c r="V101" s="85" t="s">
        <v>624</v>
      </c>
      <c r="W101" s="83" t="s">
        <v>608</v>
      </c>
    </row>
    <row r="102" spans="1:23" ht="28.2" hidden="1" customHeight="1" x14ac:dyDescent="0.3">
      <c r="A102" s="86">
        <v>304</v>
      </c>
      <c r="B102" s="68" t="s">
        <v>47</v>
      </c>
      <c r="C102" s="69" t="s">
        <v>60</v>
      </c>
      <c r="D102" s="68" t="s">
        <v>61</v>
      </c>
      <c r="E102" s="69" t="s">
        <v>59</v>
      </c>
      <c r="F102" s="109" t="s">
        <v>536</v>
      </c>
      <c r="G102" s="79">
        <v>1</v>
      </c>
      <c r="H102" s="79">
        <v>2</v>
      </c>
      <c r="I102" s="48">
        <v>100000</v>
      </c>
      <c r="J102" s="48">
        <f t="shared" si="53"/>
        <v>100000</v>
      </c>
      <c r="K102" s="48">
        <f t="shared" si="53"/>
        <v>100000</v>
      </c>
      <c r="L102" s="48">
        <f t="shared" ref="L102:L105" si="54">SUM(I102:K102)</f>
        <v>300000</v>
      </c>
      <c r="M102" s="48">
        <f t="shared" ref="M102:M105" si="55">L102*0.16</f>
        <v>48000</v>
      </c>
      <c r="N102" s="48">
        <f t="shared" ref="N102:N105" si="56">SUM(L102:M102)</f>
        <v>348000</v>
      </c>
      <c r="O102" s="77">
        <v>220000</v>
      </c>
      <c r="P102" s="77">
        <f t="shared" si="49"/>
        <v>220000</v>
      </c>
      <c r="Q102" s="77">
        <f t="shared" si="50"/>
        <v>440000</v>
      </c>
      <c r="R102" s="77">
        <f t="shared" si="32"/>
        <v>660000</v>
      </c>
      <c r="S102" s="77">
        <f t="shared" si="51"/>
        <v>105600</v>
      </c>
      <c r="T102" s="77">
        <f t="shared" si="52"/>
        <v>765600</v>
      </c>
      <c r="U102" s="78" t="s">
        <v>62</v>
      </c>
      <c r="V102" s="85" t="s">
        <v>624</v>
      </c>
      <c r="W102" s="83" t="s">
        <v>608</v>
      </c>
    </row>
    <row r="103" spans="1:23" ht="28.2" hidden="1" customHeight="1" x14ac:dyDescent="0.3">
      <c r="A103" s="86">
        <v>305</v>
      </c>
      <c r="B103" s="68" t="s">
        <v>47</v>
      </c>
      <c r="C103" s="69" t="s">
        <v>60</v>
      </c>
      <c r="D103" s="68" t="s">
        <v>63</v>
      </c>
      <c r="E103" s="69" t="s">
        <v>59</v>
      </c>
      <c r="F103" s="109" t="s">
        <v>537</v>
      </c>
      <c r="G103" s="79">
        <v>1</v>
      </c>
      <c r="H103" s="79">
        <v>2</v>
      </c>
      <c r="I103" s="48">
        <v>100000</v>
      </c>
      <c r="J103" s="48">
        <f t="shared" si="53"/>
        <v>100000</v>
      </c>
      <c r="K103" s="48">
        <f t="shared" si="53"/>
        <v>100000</v>
      </c>
      <c r="L103" s="48">
        <f t="shared" si="54"/>
        <v>300000</v>
      </c>
      <c r="M103" s="48">
        <f t="shared" si="55"/>
        <v>48000</v>
      </c>
      <c r="N103" s="48">
        <f t="shared" si="56"/>
        <v>348000</v>
      </c>
      <c r="O103" s="77">
        <v>220000</v>
      </c>
      <c r="P103" s="77">
        <f t="shared" si="49"/>
        <v>220000</v>
      </c>
      <c r="Q103" s="77">
        <f t="shared" si="50"/>
        <v>440000</v>
      </c>
      <c r="R103" s="77">
        <f t="shared" si="32"/>
        <v>660000</v>
      </c>
      <c r="S103" s="77">
        <f t="shared" si="51"/>
        <v>105600</v>
      </c>
      <c r="T103" s="77">
        <f t="shared" si="52"/>
        <v>765600</v>
      </c>
      <c r="U103" s="78" t="s">
        <v>62</v>
      </c>
      <c r="V103" s="85" t="s">
        <v>624</v>
      </c>
      <c r="W103" s="83" t="s">
        <v>608</v>
      </c>
    </row>
    <row r="104" spans="1:23" ht="28.2" hidden="1" customHeight="1" x14ac:dyDescent="0.3">
      <c r="A104" s="86">
        <v>306</v>
      </c>
      <c r="B104" s="68" t="s">
        <v>47</v>
      </c>
      <c r="C104" s="69" t="s">
        <v>60</v>
      </c>
      <c r="D104" s="68" t="s">
        <v>69</v>
      </c>
      <c r="E104" s="69" t="s">
        <v>59</v>
      </c>
      <c r="F104" s="109" t="s">
        <v>538</v>
      </c>
      <c r="G104" s="79">
        <v>1</v>
      </c>
      <c r="H104" s="79">
        <v>2</v>
      </c>
      <c r="I104" s="48">
        <v>100000</v>
      </c>
      <c r="J104" s="48">
        <f t="shared" si="53"/>
        <v>100000</v>
      </c>
      <c r="K104" s="48">
        <f t="shared" si="53"/>
        <v>100000</v>
      </c>
      <c r="L104" s="48">
        <f t="shared" si="54"/>
        <v>300000</v>
      </c>
      <c r="M104" s="48">
        <f t="shared" si="55"/>
        <v>48000</v>
      </c>
      <c r="N104" s="48">
        <f t="shared" si="56"/>
        <v>348000</v>
      </c>
      <c r="O104" s="77">
        <v>220000</v>
      </c>
      <c r="P104" s="77">
        <f t="shared" si="49"/>
        <v>220000</v>
      </c>
      <c r="Q104" s="77">
        <f t="shared" si="50"/>
        <v>440000</v>
      </c>
      <c r="R104" s="77">
        <f t="shared" si="32"/>
        <v>660000</v>
      </c>
      <c r="S104" s="77">
        <f t="shared" si="51"/>
        <v>105600</v>
      </c>
      <c r="T104" s="77">
        <f t="shared" si="52"/>
        <v>765600</v>
      </c>
      <c r="U104" s="78" t="s">
        <v>62</v>
      </c>
      <c r="V104" s="85" t="s">
        <v>624</v>
      </c>
      <c r="W104" s="83" t="s">
        <v>608</v>
      </c>
    </row>
    <row r="105" spans="1:23" ht="28.2" hidden="1" customHeight="1" x14ac:dyDescent="0.3">
      <c r="A105" s="86">
        <v>307</v>
      </c>
      <c r="B105" s="68" t="s">
        <v>47</v>
      </c>
      <c r="C105" s="69" t="s">
        <v>70</v>
      </c>
      <c r="D105" s="68" t="s">
        <v>71</v>
      </c>
      <c r="E105" s="69" t="s">
        <v>59</v>
      </c>
      <c r="F105" s="109" t="s">
        <v>539</v>
      </c>
      <c r="G105" s="79">
        <v>1</v>
      </c>
      <c r="H105" s="79">
        <v>2</v>
      </c>
      <c r="I105" s="48">
        <v>50000</v>
      </c>
      <c r="J105" s="48">
        <f t="shared" si="53"/>
        <v>50000</v>
      </c>
      <c r="K105" s="48">
        <f t="shared" si="53"/>
        <v>50000</v>
      </c>
      <c r="L105" s="48">
        <f t="shared" si="54"/>
        <v>150000</v>
      </c>
      <c r="M105" s="48">
        <f t="shared" si="55"/>
        <v>24000</v>
      </c>
      <c r="N105" s="48">
        <f t="shared" si="56"/>
        <v>174000</v>
      </c>
      <c r="O105" s="77">
        <v>150000</v>
      </c>
      <c r="P105" s="77">
        <f t="shared" si="49"/>
        <v>150000</v>
      </c>
      <c r="Q105" s="77">
        <f t="shared" si="50"/>
        <v>300000</v>
      </c>
      <c r="R105" s="77">
        <f t="shared" si="32"/>
        <v>450000</v>
      </c>
      <c r="S105" s="77">
        <f t="shared" si="51"/>
        <v>72000</v>
      </c>
      <c r="T105" s="77">
        <f t="shared" si="52"/>
        <v>522000</v>
      </c>
      <c r="U105" s="78" t="s">
        <v>50</v>
      </c>
      <c r="V105" s="81" t="s">
        <v>316</v>
      </c>
      <c r="W105" s="83" t="s">
        <v>608</v>
      </c>
    </row>
    <row r="106" spans="1:23" ht="28.2" hidden="1" customHeight="1" x14ac:dyDescent="0.3">
      <c r="A106" s="86">
        <v>310</v>
      </c>
      <c r="B106" s="68" t="s">
        <v>260</v>
      </c>
      <c r="C106" s="69" t="s">
        <v>261</v>
      </c>
      <c r="D106" s="68" t="s">
        <v>262</v>
      </c>
      <c r="E106" s="69" t="s">
        <v>259</v>
      </c>
      <c r="F106" s="109" t="s">
        <v>542</v>
      </c>
      <c r="G106" s="79">
        <v>1</v>
      </c>
      <c r="H106" s="79">
        <v>2</v>
      </c>
      <c r="I106" s="48">
        <v>55000</v>
      </c>
      <c r="J106" s="48">
        <f t="shared" si="53"/>
        <v>55000</v>
      </c>
      <c r="K106" s="48">
        <f t="shared" si="53"/>
        <v>55000</v>
      </c>
      <c r="L106" s="48">
        <f>SUM(I106:K106)</f>
        <v>165000</v>
      </c>
      <c r="M106" s="48">
        <f>L106*0.16</f>
        <v>26400</v>
      </c>
      <c r="N106" s="48">
        <f>SUM(L106:M106)</f>
        <v>191400</v>
      </c>
      <c r="O106" s="77">
        <v>180000</v>
      </c>
      <c r="P106" s="77">
        <f t="shared" si="49"/>
        <v>180000</v>
      </c>
      <c r="Q106" s="77">
        <f t="shared" si="50"/>
        <v>360000</v>
      </c>
      <c r="R106" s="77">
        <f t="shared" si="32"/>
        <v>540000</v>
      </c>
      <c r="S106" s="77">
        <f t="shared" si="51"/>
        <v>86400</v>
      </c>
      <c r="T106" s="77">
        <f t="shared" si="52"/>
        <v>626400</v>
      </c>
      <c r="U106" s="78" t="s">
        <v>50</v>
      </c>
      <c r="V106" s="81" t="s">
        <v>295</v>
      </c>
      <c r="W106" s="83" t="s">
        <v>608</v>
      </c>
    </row>
    <row r="107" spans="1:23" ht="28.2" hidden="1" customHeight="1" x14ac:dyDescent="0.3">
      <c r="A107" s="86">
        <v>319</v>
      </c>
      <c r="B107" s="68" t="s">
        <v>47</v>
      </c>
      <c r="C107" s="69" t="s">
        <v>148</v>
      </c>
      <c r="D107" s="68" t="s">
        <v>149</v>
      </c>
      <c r="E107" s="69" t="s">
        <v>147</v>
      </c>
      <c r="F107" s="109" t="s">
        <v>552</v>
      </c>
      <c r="G107" s="79">
        <v>1</v>
      </c>
      <c r="H107" s="79">
        <v>2</v>
      </c>
      <c r="I107" s="48">
        <v>100000</v>
      </c>
      <c r="J107" s="48">
        <f t="shared" si="53"/>
        <v>100000</v>
      </c>
      <c r="K107" s="48">
        <f t="shared" si="53"/>
        <v>100000</v>
      </c>
      <c r="L107" s="48">
        <f t="shared" ref="L107:L108" si="57">SUM(I107:K107)</f>
        <v>300000</v>
      </c>
      <c r="M107" s="48">
        <f t="shared" ref="M107:M108" si="58">L107*0.16</f>
        <v>48000</v>
      </c>
      <c r="N107" s="48">
        <f t="shared" ref="N107:N108" si="59">SUM(L107:M107)</f>
        <v>348000</v>
      </c>
      <c r="O107" s="77">
        <v>220000</v>
      </c>
      <c r="P107" s="77">
        <f t="shared" si="49"/>
        <v>220000</v>
      </c>
      <c r="Q107" s="77">
        <f t="shared" si="50"/>
        <v>440000</v>
      </c>
      <c r="R107" s="77">
        <f t="shared" si="32"/>
        <v>660000</v>
      </c>
      <c r="S107" s="77">
        <f t="shared" si="51"/>
        <v>105600</v>
      </c>
      <c r="T107" s="77">
        <f t="shared" si="52"/>
        <v>765600</v>
      </c>
      <c r="U107" s="78" t="s">
        <v>62</v>
      </c>
      <c r="V107" s="85" t="s">
        <v>624</v>
      </c>
      <c r="W107" s="83" t="s">
        <v>608</v>
      </c>
    </row>
    <row r="108" spans="1:23" ht="28.2" hidden="1" customHeight="1" x14ac:dyDescent="0.3">
      <c r="A108" s="86">
        <v>321</v>
      </c>
      <c r="B108" s="68" t="s">
        <v>76</v>
      </c>
      <c r="C108" s="69" t="s">
        <v>107</v>
      </c>
      <c r="D108" s="68" t="s">
        <v>108</v>
      </c>
      <c r="E108" s="69" t="s">
        <v>106</v>
      </c>
      <c r="F108" s="109" t="s">
        <v>553</v>
      </c>
      <c r="G108" s="79">
        <v>1</v>
      </c>
      <c r="H108" s="79">
        <v>2</v>
      </c>
      <c r="I108" s="48">
        <v>80000</v>
      </c>
      <c r="J108" s="48">
        <f t="shared" si="53"/>
        <v>80000</v>
      </c>
      <c r="K108" s="48">
        <f t="shared" si="53"/>
        <v>80000</v>
      </c>
      <c r="L108" s="48">
        <f t="shared" si="57"/>
        <v>240000</v>
      </c>
      <c r="M108" s="48">
        <f t="shared" si="58"/>
        <v>38400</v>
      </c>
      <c r="N108" s="48">
        <f t="shared" si="59"/>
        <v>278400</v>
      </c>
      <c r="O108" s="77">
        <v>160000</v>
      </c>
      <c r="P108" s="77">
        <f t="shared" si="49"/>
        <v>160000</v>
      </c>
      <c r="Q108" s="77">
        <f t="shared" si="50"/>
        <v>320000</v>
      </c>
      <c r="R108" s="77">
        <f t="shared" si="32"/>
        <v>480000</v>
      </c>
      <c r="S108" s="77">
        <f t="shared" si="51"/>
        <v>76800</v>
      </c>
      <c r="T108" s="77">
        <f t="shared" si="52"/>
        <v>556800</v>
      </c>
      <c r="U108" s="78" t="s">
        <v>50</v>
      </c>
      <c r="V108" s="81" t="s">
        <v>292</v>
      </c>
      <c r="W108" s="83" t="s">
        <v>608</v>
      </c>
    </row>
    <row r="109" spans="1:23" ht="28.2" hidden="1" customHeight="1" x14ac:dyDescent="0.3">
      <c r="A109" s="86">
        <v>338</v>
      </c>
      <c r="B109" s="68" t="s">
        <v>47</v>
      </c>
      <c r="C109" s="69" t="s">
        <v>72</v>
      </c>
      <c r="D109" s="68" t="s">
        <v>73</v>
      </c>
      <c r="E109" s="69" t="s">
        <v>46</v>
      </c>
      <c r="F109" s="109" t="s">
        <v>559</v>
      </c>
      <c r="G109" s="79">
        <v>1</v>
      </c>
      <c r="H109" s="79">
        <v>2</v>
      </c>
      <c r="I109" s="48">
        <v>280000</v>
      </c>
      <c r="J109" s="48">
        <f t="shared" ref="J109:K114" si="60">I109</f>
        <v>280000</v>
      </c>
      <c r="K109" s="48">
        <f t="shared" si="60"/>
        <v>280000</v>
      </c>
      <c r="L109" s="48">
        <f t="shared" ref="L109:L110" si="61">SUM(I109:K109)</f>
        <v>840000</v>
      </c>
      <c r="M109" s="48">
        <f t="shared" ref="M109:M110" si="62">L109*0.16</f>
        <v>134400</v>
      </c>
      <c r="N109" s="48">
        <f t="shared" ref="N109:N110" si="63">SUM(L109:M109)</f>
        <v>974400</v>
      </c>
      <c r="O109" s="77">
        <v>390000</v>
      </c>
      <c r="P109" s="77">
        <f t="shared" si="49"/>
        <v>390000</v>
      </c>
      <c r="Q109" s="77">
        <f t="shared" si="50"/>
        <v>780000</v>
      </c>
      <c r="R109" s="77">
        <f t="shared" si="32"/>
        <v>1170000</v>
      </c>
      <c r="S109" s="77">
        <f t="shared" si="51"/>
        <v>187200</v>
      </c>
      <c r="T109" s="77">
        <f t="shared" si="52"/>
        <v>1357200</v>
      </c>
      <c r="U109" s="78" t="s">
        <v>50</v>
      </c>
      <c r="V109" s="81" t="s">
        <v>300</v>
      </c>
      <c r="W109" s="83" t="s">
        <v>608</v>
      </c>
    </row>
    <row r="110" spans="1:23" ht="28.2" hidden="1" customHeight="1" x14ac:dyDescent="0.3">
      <c r="A110" s="86">
        <v>351</v>
      </c>
      <c r="B110" s="68" t="s">
        <v>47</v>
      </c>
      <c r="C110" s="69" t="s">
        <v>212</v>
      </c>
      <c r="D110" s="68" t="s">
        <v>229</v>
      </c>
      <c r="E110" s="69" t="s">
        <v>46</v>
      </c>
      <c r="F110" s="109" t="s">
        <v>560</v>
      </c>
      <c r="G110" s="79">
        <v>1</v>
      </c>
      <c r="H110" s="79">
        <v>2</v>
      </c>
      <c r="I110" s="48">
        <v>40000</v>
      </c>
      <c r="J110" s="48">
        <f t="shared" si="60"/>
        <v>40000</v>
      </c>
      <c r="K110" s="48">
        <f t="shared" si="60"/>
        <v>40000</v>
      </c>
      <c r="L110" s="48">
        <f t="shared" si="61"/>
        <v>120000</v>
      </c>
      <c r="M110" s="48">
        <f t="shared" si="62"/>
        <v>19200</v>
      </c>
      <c r="N110" s="48">
        <f t="shared" si="63"/>
        <v>139200</v>
      </c>
      <c r="O110" s="77">
        <v>150000</v>
      </c>
      <c r="P110" s="77">
        <f t="shared" si="49"/>
        <v>150000</v>
      </c>
      <c r="Q110" s="77">
        <f t="shared" si="50"/>
        <v>300000</v>
      </c>
      <c r="R110" s="77">
        <f t="shared" si="32"/>
        <v>450000</v>
      </c>
      <c r="S110" s="77">
        <f t="shared" si="51"/>
        <v>72000</v>
      </c>
      <c r="T110" s="77">
        <f t="shared" si="52"/>
        <v>522000</v>
      </c>
      <c r="U110" s="78" t="s">
        <v>50</v>
      </c>
      <c r="V110" s="81" t="s">
        <v>345</v>
      </c>
      <c r="W110" s="83" t="s">
        <v>608</v>
      </c>
    </row>
    <row r="111" spans="1:23" ht="28.2" hidden="1" customHeight="1" x14ac:dyDescent="0.3">
      <c r="A111" s="86">
        <v>357</v>
      </c>
      <c r="B111" s="68" t="s">
        <v>98</v>
      </c>
      <c r="C111" s="69" t="s">
        <v>220</v>
      </c>
      <c r="D111" s="68" t="s">
        <v>221</v>
      </c>
      <c r="E111" s="69" t="s">
        <v>97</v>
      </c>
      <c r="F111" s="109" t="s">
        <v>574</v>
      </c>
      <c r="G111" s="79">
        <v>1</v>
      </c>
      <c r="H111" s="81">
        <v>2</v>
      </c>
      <c r="I111" s="48">
        <v>120000</v>
      </c>
      <c r="J111" s="48">
        <f t="shared" si="60"/>
        <v>120000</v>
      </c>
      <c r="K111" s="48">
        <f t="shared" si="60"/>
        <v>120000</v>
      </c>
      <c r="L111" s="48">
        <f t="shared" ref="L111:L112" si="64">SUM(I111:K111)</f>
        <v>360000</v>
      </c>
      <c r="M111" s="48">
        <f t="shared" ref="M111:M112" si="65">L111*0.16</f>
        <v>57600</v>
      </c>
      <c r="N111" s="48">
        <f t="shared" ref="N111:N112" si="66">SUM(L111:M111)</f>
        <v>417600</v>
      </c>
      <c r="O111" s="77">
        <v>270000</v>
      </c>
      <c r="P111" s="77">
        <f t="shared" si="49"/>
        <v>270000</v>
      </c>
      <c r="Q111" s="77">
        <f t="shared" si="50"/>
        <v>540000</v>
      </c>
      <c r="R111" s="77">
        <f t="shared" si="32"/>
        <v>810000</v>
      </c>
      <c r="S111" s="77">
        <f t="shared" si="51"/>
        <v>129600</v>
      </c>
      <c r="T111" s="77">
        <f t="shared" si="52"/>
        <v>939600</v>
      </c>
      <c r="U111" s="78" t="s">
        <v>50</v>
      </c>
      <c r="V111" s="81" t="s">
        <v>518</v>
      </c>
      <c r="W111" s="83" t="s">
        <v>608</v>
      </c>
    </row>
    <row r="112" spans="1:23" ht="28.2" hidden="1" customHeight="1" x14ac:dyDescent="0.3">
      <c r="A112" s="86">
        <v>358</v>
      </c>
      <c r="B112" s="68" t="s">
        <v>76</v>
      </c>
      <c r="C112" s="69" t="s">
        <v>77</v>
      </c>
      <c r="D112" s="68" t="s">
        <v>78</v>
      </c>
      <c r="E112" s="69" t="s">
        <v>75</v>
      </c>
      <c r="F112" s="109" t="s">
        <v>575</v>
      </c>
      <c r="G112" s="79">
        <v>1</v>
      </c>
      <c r="H112" s="81">
        <v>2</v>
      </c>
      <c r="I112" s="48">
        <v>15000</v>
      </c>
      <c r="J112" s="48">
        <f t="shared" si="60"/>
        <v>15000</v>
      </c>
      <c r="K112" s="48">
        <f t="shared" si="60"/>
        <v>15000</v>
      </c>
      <c r="L112" s="48">
        <f t="shared" si="64"/>
        <v>45000</v>
      </c>
      <c r="M112" s="48">
        <f t="shared" si="65"/>
        <v>7200</v>
      </c>
      <c r="N112" s="48">
        <f t="shared" si="66"/>
        <v>52200</v>
      </c>
      <c r="O112" s="77">
        <v>55000</v>
      </c>
      <c r="P112" s="77">
        <f t="shared" si="49"/>
        <v>55000</v>
      </c>
      <c r="Q112" s="77">
        <f t="shared" si="50"/>
        <v>110000</v>
      </c>
      <c r="R112" s="77">
        <f t="shared" si="32"/>
        <v>165000</v>
      </c>
      <c r="S112" s="77">
        <f t="shared" si="51"/>
        <v>26400</v>
      </c>
      <c r="T112" s="77">
        <f t="shared" si="52"/>
        <v>191400</v>
      </c>
      <c r="U112" s="78" t="s">
        <v>50</v>
      </c>
      <c r="V112" s="81" t="s">
        <v>518</v>
      </c>
      <c r="W112" s="83" t="s">
        <v>608</v>
      </c>
    </row>
    <row r="113" spans="1:23" ht="28.2" hidden="1" customHeight="1" x14ac:dyDescent="0.3">
      <c r="A113" s="86">
        <v>363</v>
      </c>
      <c r="B113" s="68" t="s">
        <v>245</v>
      </c>
      <c r="C113" s="69" t="s">
        <v>246</v>
      </c>
      <c r="D113" s="68" t="s">
        <v>247</v>
      </c>
      <c r="E113" s="69" t="s">
        <v>244</v>
      </c>
      <c r="F113" s="109" t="s">
        <v>588</v>
      </c>
      <c r="G113" s="79">
        <v>1</v>
      </c>
      <c r="H113" s="81">
        <v>2</v>
      </c>
      <c r="I113" s="48">
        <v>100000</v>
      </c>
      <c r="J113" s="48">
        <f t="shared" si="60"/>
        <v>100000</v>
      </c>
      <c r="K113" s="48">
        <f t="shared" si="60"/>
        <v>100000</v>
      </c>
      <c r="L113" s="48">
        <f t="shared" ref="L113:L114" si="67">SUM(I113:K113)</f>
        <v>300000</v>
      </c>
      <c r="M113" s="48">
        <f t="shared" ref="M113:M114" si="68">L113*0.16</f>
        <v>48000</v>
      </c>
      <c r="N113" s="48">
        <f t="shared" ref="N113:N114" si="69">SUM(L113:M113)</f>
        <v>348000</v>
      </c>
      <c r="O113" s="77">
        <v>195000</v>
      </c>
      <c r="P113" s="77">
        <f t="shared" si="49"/>
        <v>195000</v>
      </c>
      <c r="Q113" s="77">
        <f t="shared" si="50"/>
        <v>390000</v>
      </c>
      <c r="R113" s="77">
        <f t="shared" si="32"/>
        <v>585000</v>
      </c>
      <c r="S113" s="77">
        <f t="shared" si="51"/>
        <v>93600</v>
      </c>
      <c r="T113" s="77">
        <f t="shared" si="52"/>
        <v>678600</v>
      </c>
      <c r="U113" s="78" t="s">
        <v>50</v>
      </c>
      <c r="V113" s="81" t="s">
        <v>518</v>
      </c>
      <c r="W113" s="83" t="s">
        <v>608</v>
      </c>
    </row>
    <row r="114" spans="1:23" ht="28.2" hidden="1" customHeight="1" x14ac:dyDescent="0.3">
      <c r="A114" s="86">
        <v>367</v>
      </c>
      <c r="B114" s="68" t="s">
        <v>249</v>
      </c>
      <c r="C114" s="69" t="s">
        <v>250</v>
      </c>
      <c r="D114" s="68" t="s">
        <v>251</v>
      </c>
      <c r="E114" s="69" t="s">
        <v>248</v>
      </c>
      <c r="F114" s="109" t="s">
        <v>589</v>
      </c>
      <c r="G114" s="79">
        <v>1</v>
      </c>
      <c r="H114" s="81">
        <v>2</v>
      </c>
      <c r="I114" s="48">
        <v>100000</v>
      </c>
      <c r="J114" s="48">
        <f t="shared" si="60"/>
        <v>100000</v>
      </c>
      <c r="K114" s="48">
        <f t="shared" si="60"/>
        <v>100000</v>
      </c>
      <c r="L114" s="48">
        <f t="shared" si="67"/>
        <v>300000</v>
      </c>
      <c r="M114" s="48">
        <f t="shared" si="68"/>
        <v>48000</v>
      </c>
      <c r="N114" s="119">
        <f t="shared" si="69"/>
        <v>348000</v>
      </c>
      <c r="O114" s="77">
        <v>250000</v>
      </c>
      <c r="P114" s="77">
        <f t="shared" si="49"/>
        <v>250000</v>
      </c>
      <c r="Q114" s="77">
        <f t="shared" si="50"/>
        <v>500000</v>
      </c>
      <c r="R114" s="77">
        <f t="shared" ref="R114" si="70">SUM(P114:Q114)</f>
        <v>750000</v>
      </c>
      <c r="S114" s="77">
        <f t="shared" si="51"/>
        <v>120000</v>
      </c>
      <c r="T114" s="126">
        <f t="shared" si="52"/>
        <v>870000</v>
      </c>
      <c r="U114" s="78" t="s">
        <v>62</v>
      </c>
      <c r="V114" s="85" t="s">
        <v>624</v>
      </c>
      <c r="W114" s="83" t="s">
        <v>608</v>
      </c>
    </row>
    <row r="115" spans="1:23" ht="124.95" hidden="1" customHeight="1" thickBot="1" x14ac:dyDescent="0.3">
      <c r="G115" s="32">
        <f>SUM(G14:G114)</f>
        <v>107</v>
      </c>
      <c r="H115" s="89">
        <f>SUM(H14:H114)</f>
        <v>214</v>
      </c>
      <c r="I115" s="48"/>
      <c r="J115" s="48"/>
      <c r="K115" s="48"/>
      <c r="L115" s="48">
        <f>SUM(L14:L114)</f>
        <v>23307750</v>
      </c>
      <c r="M115" s="129">
        <f t="shared" ref="M115:N115" si="71">SUM(M14:M114)</f>
        <v>3729240</v>
      </c>
      <c r="N115" s="131">
        <f t="shared" si="71"/>
        <v>27036990</v>
      </c>
      <c r="O115" s="130"/>
      <c r="P115" s="124"/>
      <c r="Q115" s="124"/>
      <c r="R115" s="77">
        <f t="shared" ref="R115" si="72">SUM(R14:R114)</f>
        <v>67980000</v>
      </c>
      <c r="S115" s="125">
        <f t="shared" ref="S115" si="73">SUM(S14:S114)</f>
        <v>10876800</v>
      </c>
      <c r="T115" s="127">
        <f t="shared" ref="T115" si="74">SUM(T14:T114)</f>
        <v>78856800</v>
      </c>
    </row>
    <row r="116" spans="1:23" ht="124.95" hidden="1" customHeight="1" thickBot="1" x14ac:dyDescent="0.35">
      <c r="G116" s="141">
        <f>SUM(G115:H115)</f>
        <v>321</v>
      </c>
      <c r="H116" s="142"/>
      <c r="I116" s="2"/>
      <c r="J116" s="2"/>
      <c r="K116" s="2"/>
      <c r="L116" s="121" t="s">
        <v>618</v>
      </c>
      <c r="M116" s="122" t="s">
        <v>619</v>
      </c>
      <c r="N116" s="128" t="s">
        <v>621</v>
      </c>
      <c r="R116" s="121" t="s">
        <v>620</v>
      </c>
      <c r="S116" s="122" t="s">
        <v>619</v>
      </c>
      <c r="T116" s="128" t="s">
        <v>622</v>
      </c>
    </row>
    <row r="117" spans="1:23" ht="16.2" thickBot="1" x14ac:dyDescent="0.35">
      <c r="F117" s="34"/>
      <c r="I117" s="2"/>
      <c r="J117" s="2"/>
      <c r="K117" s="2"/>
      <c r="L117" s="2"/>
      <c r="M117" s="2"/>
      <c r="N117" s="2"/>
    </row>
    <row r="118" spans="1:23" ht="61.8" thickBot="1" x14ac:dyDescent="0.35">
      <c r="F118" s="6"/>
      <c r="I118" s="2"/>
      <c r="J118" s="2"/>
      <c r="K118" s="2"/>
      <c r="L118" s="2"/>
      <c r="M118" s="2"/>
      <c r="N118" s="2"/>
      <c r="O118" s="134" t="s">
        <v>623</v>
      </c>
      <c r="P118" s="135">
        <f>R115-L115</f>
        <v>44672250</v>
      </c>
      <c r="Q118" s="136">
        <f>P118/T115</f>
        <v>0.56649838694950849</v>
      </c>
    </row>
    <row r="119" spans="1:23" x14ac:dyDescent="0.3">
      <c r="I119" s="2"/>
      <c r="J119" s="2"/>
      <c r="K119" s="2"/>
      <c r="L119" s="2"/>
      <c r="M119" s="2"/>
      <c r="N119" s="2"/>
      <c r="O119" s="117"/>
      <c r="P119" s="132"/>
      <c r="Q119" s="133"/>
    </row>
    <row r="120" spans="1:23" ht="135.75" customHeight="1" x14ac:dyDescent="0.3">
      <c r="F120" s="35"/>
      <c r="I120" s="2"/>
      <c r="J120" s="2"/>
      <c r="K120" s="2"/>
      <c r="L120" s="2"/>
      <c r="M120" s="2"/>
      <c r="N120" s="2"/>
    </row>
    <row r="121" spans="1:23" x14ac:dyDescent="0.3">
      <c r="I121" s="2"/>
      <c r="J121" s="2"/>
      <c r="K121" s="2"/>
      <c r="L121" s="2"/>
      <c r="M121" s="2"/>
      <c r="N121" s="2"/>
    </row>
    <row r="122" spans="1:23" x14ac:dyDescent="0.3">
      <c r="I122" s="2"/>
      <c r="J122" s="2"/>
      <c r="K122" s="2"/>
      <c r="L122" s="2"/>
      <c r="M122" s="2"/>
      <c r="N122" s="2"/>
    </row>
    <row r="123" spans="1:23" x14ac:dyDescent="0.3">
      <c r="F123" s="35"/>
      <c r="I123" s="2"/>
      <c r="J123" s="2"/>
      <c r="K123" s="2"/>
      <c r="L123" s="2"/>
      <c r="M123" s="2"/>
      <c r="N123" s="2"/>
    </row>
    <row r="124" spans="1:23" x14ac:dyDescent="0.3">
      <c r="F124" s="35"/>
      <c r="I124" s="2"/>
      <c r="J124" s="2"/>
      <c r="K124" s="2"/>
      <c r="L124" s="2"/>
      <c r="M124" s="2"/>
      <c r="N124" s="2"/>
    </row>
    <row r="125" spans="1:23" x14ac:dyDescent="0.3">
      <c r="I125" s="2"/>
      <c r="J125" s="2"/>
      <c r="K125" s="2"/>
      <c r="L125" s="2"/>
      <c r="M125" s="2"/>
      <c r="N125" s="2"/>
    </row>
    <row r="126" spans="1:23" x14ac:dyDescent="0.3">
      <c r="F126" s="36"/>
      <c r="I126" s="2"/>
      <c r="J126" s="2"/>
      <c r="K126" s="2"/>
      <c r="L126" s="2"/>
      <c r="M126" s="2"/>
      <c r="N126" s="2"/>
    </row>
    <row r="127" spans="1:23" x14ac:dyDescent="0.3">
      <c r="F127" s="35"/>
      <c r="I127" s="2"/>
      <c r="J127" s="2"/>
      <c r="K127" s="2"/>
      <c r="L127" s="2"/>
      <c r="M127" s="2"/>
      <c r="N127" s="2"/>
    </row>
    <row r="128" spans="1:23" x14ac:dyDescent="0.3">
      <c r="F128" s="37"/>
      <c r="I128" s="2"/>
      <c r="J128" s="2"/>
      <c r="K128" s="2"/>
      <c r="L128" s="2"/>
      <c r="M128" s="2"/>
      <c r="N128" s="2"/>
    </row>
    <row r="129" spans="9:14" x14ac:dyDescent="0.3">
      <c r="I129" s="2"/>
      <c r="J129" s="2"/>
      <c r="K129" s="2"/>
      <c r="L129" s="2"/>
      <c r="M129" s="2"/>
      <c r="N129" s="2"/>
    </row>
    <row r="130" spans="9:14" x14ac:dyDescent="0.3">
      <c r="I130" s="2"/>
      <c r="J130" s="2"/>
      <c r="K130" s="2"/>
      <c r="L130" s="2"/>
      <c r="M130" s="2"/>
      <c r="N130" s="2"/>
    </row>
    <row r="131" spans="9:14" x14ac:dyDescent="0.3">
      <c r="I131" s="2"/>
      <c r="J131" s="2"/>
      <c r="K131" s="2"/>
      <c r="L131" s="2"/>
      <c r="M131" s="2"/>
      <c r="N131" s="2"/>
    </row>
    <row r="132" spans="9:14" x14ac:dyDescent="0.3">
      <c r="I132" s="2"/>
      <c r="J132" s="2"/>
      <c r="K132" s="2"/>
      <c r="L132" s="2"/>
      <c r="M132" s="2"/>
      <c r="N132" s="2"/>
    </row>
    <row r="133" spans="9:14" x14ac:dyDescent="0.3">
      <c r="I133" s="2"/>
      <c r="J133" s="2"/>
      <c r="K133" s="2"/>
      <c r="L133" s="2"/>
      <c r="M133" s="2"/>
      <c r="N133" s="2"/>
    </row>
    <row r="134" spans="9:14" x14ac:dyDescent="0.3">
      <c r="I134" s="2"/>
      <c r="J134" s="2"/>
      <c r="K134" s="2"/>
      <c r="L134" s="2"/>
      <c r="M134" s="2"/>
      <c r="N134" s="2"/>
    </row>
    <row r="135" spans="9:14" x14ac:dyDescent="0.3">
      <c r="I135" s="2"/>
      <c r="J135" s="2"/>
      <c r="K135" s="2"/>
      <c r="L135" s="2"/>
      <c r="M135" s="2"/>
      <c r="N135" s="2"/>
    </row>
    <row r="136" spans="9:14" x14ac:dyDescent="0.3">
      <c r="I136" s="2"/>
      <c r="J136" s="2"/>
      <c r="K136" s="2"/>
      <c r="L136" s="2"/>
      <c r="M136" s="2"/>
      <c r="N136" s="2"/>
    </row>
    <row r="137" spans="9:14" x14ac:dyDescent="0.3">
      <c r="I137" s="2"/>
      <c r="J137" s="2"/>
      <c r="K137" s="2"/>
      <c r="L137" s="2"/>
      <c r="M137" s="2"/>
      <c r="N137" s="2"/>
    </row>
    <row r="138" spans="9:14" x14ac:dyDescent="0.3">
      <c r="I138" s="2"/>
      <c r="J138" s="2"/>
      <c r="K138" s="2"/>
      <c r="L138" s="2"/>
      <c r="M138" s="2"/>
      <c r="N138" s="2"/>
    </row>
    <row r="139" spans="9:14" x14ac:dyDescent="0.3">
      <c r="I139" s="2"/>
      <c r="J139" s="2"/>
      <c r="K139" s="2"/>
      <c r="L139" s="2"/>
      <c r="M139" s="2"/>
      <c r="N139" s="2"/>
    </row>
    <row r="140" spans="9:14" x14ac:dyDescent="0.3">
      <c r="I140" s="2"/>
      <c r="J140" s="2"/>
      <c r="K140" s="2"/>
      <c r="L140" s="2"/>
      <c r="M140" s="2"/>
      <c r="N140" s="2"/>
    </row>
    <row r="141" spans="9:14" x14ac:dyDescent="0.3">
      <c r="I141" s="2"/>
      <c r="J141" s="2"/>
      <c r="K141" s="2"/>
      <c r="L141" s="2"/>
      <c r="M141" s="2"/>
      <c r="N141" s="2"/>
    </row>
    <row r="142" spans="9:14" x14ac:dyDescent="0.3">
      <c r="I142" s="2"/>
      <c r="J142" s="2"/>
      <c r="K142" s="2"/>
      <c r="L142" s="2"/>
      <c r="M142" s="2"/>
      <c r="N142" s="2"/>
    </row>
    <row r="143" spans="9:14" x14ac:dyDescent="0.3">
      <c r="I143" s="2"/>
      <c r="J143" s="2"/>
      <c r="K143" s="2"/>
      <c r="L143" s="2"/>
      <c r="M143" s="2"/>
      <c r="N143" s="2"/>
    </row>
    <row r="144" spans="9:14" x14ac:dyDescent="0.3">
      <c r="I144" s="2"/>
      <c r="J144" s="2"/>
      <c r="K144" s="2"/>
      <c r="L144" s="2"/>
      <c r="M144" s="2"/>
      <c r="N144" s="2"/>
    </row>
    <row r="145" spans="9:14" x14ac:dyDescent="0.3">
      <c r="I145" s="2"/>
      <c r="J145" s="2"/>
      <c r="K145" s="2"/>
      <c r="L145" s="2"/>
      <c r="M145" s="2"/>
      <c r="N145" s="2"/>
    </row>
    <row r="146" spans="9:14" x14ac:dyDescent="0.3">
      <c r="I146" s="2"/>
      <c r="J146" s="2"/>
      <c r="K146" s="2"/>
      <c r="L146" s="2"/>
      <c r="M146" s="2"/>
      <c r="N146" s="2"/>
    </row>
    <row r="147" spans="9:14" x14ac:dyDescent="0.3">
      <c r="I147" s="2"/>
      <c r="J147" s="2"/>
      <c r="K147" s="2"/>
      <c r="L147" s="2"/>
      <c r="M147" s="2"/>
      <c r="N147" s="2"/>
    </row>
    <row r="148" spans="9:14" x14ac:dyDescent="0.3">
      <c r="I148" s="2"/>
      <c r="J148" s="2"/>
      <c r="K148" s="2"/>
      <c r="L148" s="2"/>
      <c r="M148" s="2"/>
      <c r="N148" s="2"/>
    </row>
    <row r="149" spans="9:14" x14ac:dyDescent="0.3">
      <c r="I149" s="2"/>
      <c r="J149" s="2"/>
      <c r="K149" s="2"/>
      <c r="L149" s="2"/>
      <c r="M149" s="2"/>
      <c r="N149" s="2"/>
    </row>
    <row r="150" spans="9:14" x14ac:dyDescent="0.3">
      <c r="I150" s="2"/>
      <c r="J150" s="2"/>
      <c r="K150" s="2"/>
      <c r="L150" s="2"/>
      <c r="M150" s="2"/>
      <c r="N150" s="2"/>
    </row>
    <row r="151" spans="9:14" x14ac:dyDescent="0.3">
      <c r="I151" s="2"/>
      <c r="J151" s="2"/>
      <c r="K151" s="2"/>
      <c r="L151" s="2"/>
      <c r="M151" s="2"/>
      <c r="N151" s="2"/>
    </row>
    <row r="152" spans="9:14" x14ac:dyDescent="0.3">
      <c r="I152" s="2"/>
      <c r="J152" s="2"/>
      <c r="K152" s="2"/>
      <c r="L152" s="2"/>
      <c r="M152" s="2"/>
      <c r="N152" s="2"/>
    </row>
    <row r="153" spans="9:14" x14ac:dyDescent="0.3">
      <c r="I153" s="2"/>
      <c r="J153" s="2"/>
      <c r="K153" s="2"/>
      <c r="L153" s="2"/>
      <c r="M153" s="2"/>
      <c r="N153" s="2"/>
    </row>
    <row r="154" spans="9:14" x14ac:dyDescent="0.3">
      <c r="I154" s="2"/>
      <c r="J154" s="2"/>
      <c r="K154" s="2"/>
      <c r="L154" s="2"/>
      <c r="M154" s="2"/>
      <c r="N154" s="2"/>
    </row>
    <row r="155" spans="9:14" x14ac:dyDescent="0.3">
      <c r="I155" s="2"/>
      <c r="J155" s="2"/>
      <c r="K155" s="2"/>
      <c r="L155" s="2"/>
      <c r="M155" s="2"/>
      <c r="N155" s="2"/>
    </row>
    <row r="156" spans="9:14" x14ac:dyDescent="0.3">
      <c r="I156" s="2"/>
      <c r="J156" s="2"/>
      <c r="K156" s="2"/>
      <c r="L156" s="2"/>
      <c r="M156" s="2"/>
      <c r="N156" s="2"/>
    </row>
    <row r="157" spans="9:14" x14ac:dyDescent="0.3">
      <c r="I157" s="2"/>
      <c r="J157" s="2"/>
      <c r="K157" s="2"/>
      <c r="L157" s="2"/>
      <c r="M157" s="2"/>
      <c r="N157" s="2"/>
    </row>
    <row r="158" spans="9:14" x14ac:dyDescent="0.3">
      <c r="I158" s="2"/>
      <c r="J158" s="2"/>
      <c r="K158" s="2"/>
      <c r="L158" s="2"/>
      <c r="M158" s="2"/>
      <c r="N158" s="2"/>
    </row>
    <row r="159" spans="9:14" x14ac:dyDescent="0.3">
      <c r="I159" s="2"/>
      <c r="J159" s="2"/>
      <c r="K159" s="2"/>
      <c r="L159" s="2"/>
      <c r="M159" s="2"/>
      <c r="N159" s="2"/>
    </row>
    <row r="160" spans="9:14" x14ac:dyDescent="0.3">
      <c r="I160" s="2"/>
      <c r="J160" s="2"/>
      <c r="K160" s="2"/>
      <c r="L160" s="2"/>
      <c r="M160" s="2"/>
      <c r="N160" s="2"/>
    </row>
    <row r="161" spans="9:14" x14ac:dyDescent="0.3">
      <c r="I161" s="2"/>
      <c r="J161" s="2"/>
      <c r="K161" s="2"/>
      <c r="L161" s="2"/>
      <c r="M161" s="2"/>
      <c r="N161" s="2"/>
    </row>
    <row r="162" spans="9:14" x14ac:dyDescent="0.3">
      <c r="I162" s="2"/>
      <c r="J162" s="2"/>
      <c r="K162" s="2"/>
      <c r="L162" s="2"/>
      <c r="M162" s="2"/>
      <c r="N162" s="2"/>
    </row>
    <row r="163" spans="9:14" x14ac:dyDescent="0.3">
      <c r="I163" s="2"/>
      <c r="J163" s="2"/>
      <c r="K163" s="2"/>
      <c r="L163" s="2"/>
      <c r="M163" s="2"/>
      <c r="N163" s="2"/>
    </row>
    <row r="164" spans="9:14" x14ac:dyDescent="0.3">
      <c r="I164" s="2"/>
      <c r="J164" s="2"/>
      <c r="K164" s="2"/>
      <c r="L164" s="2"/>
      <c r="M164" s="2"/>
      <c r="N164" s="2"/>
    </row>
    <row r="165" spans="9:14" x14ac:dyDescent="0.3">
      <c r="I165" s="2"/>
      <c r="J165" s="2"/>
      <c r="K165" s="2"/>
      <c r="L165" s="2"/>
      <c r="M165" s="2"/>
      <c r="N165" s="2"/>
    </row>
    <row r="166" spans="9:14" x14ac:dyDescent="0.3">
      <c r="I166" s="2"/>
      <c r="J166" s="2"/>
      <c r="K166" s="2"/>
      <c r="L166" s="2"/>
      <c r="M166" s="2"/>
      <c r="N166" s="2"/>
    </row>
    <row r="167" spans="9:14" x14ac:dyDescent="0.3">
      <c r="I167" s="2"/>
      <c r="J167" s="2"/>
      <c r="K167" s="2"/>
      <c r="L167" s="2"/>
      <c r="M167" s="2"/>
      <c r="N167" s="2"/>
    </row>
    <row r="168" spans="9:14" x14ac:dyDescent="0.3">
      <c r="I168" s="2"/>
      <c r="J168" s="2"/>
      <c r="K168" s="2"/>
      <c r="L168" s="2"/>
      <c r="M168" s="2"/>
      <c r="N168" s="2"/>
    </row>
    <row r="169" spans="9:14" x14ac:dyDescent="0.3">
      <c r="I169" s="2"/>
      <c r="J169" s="2"/>
      <c r="K169" s="2"/>
      <c r="L169" s="2"/>
      <c r="M169" s="2"/>
      <c r="N169" s="2"/>
    </row>
    <row r="170" spans="9:14" x14ac:dyDescent="0.3">
      <c r="I170" s="2"/>
      <c r="J170" s="2"/>
      <c r="K170" s="2"/>
      <c r="L170" s="2"/>
      <c r="M170" s="2"/>
      <c r="N170" s="2"/>
    </row>
    <row r="171" spans="9:14" x14ac:dyDescent="0.3">
      <c r="I171" s="2"/>
      <c r="J171" s="2"/>
      <c r="K171" s="2"/>
      <c r="L171" s="2"/>
      <c r="M171" s="2"/>
      <c r="N171" s="2"/>
    </row>
    <row r="172" spans="9:14" x14ac:dyDescent="0.3">
      <c r="I172" s="2"/>
      <c r="J172" s="2"/>
      <c r="K172" s="2"/>
      <c r="L172" s="2"/>
      <c r="M172" s="2"/>
      <c r="N172" s="2"/>
    </row>
    <row r="173" spans="9:14" x14ac:dyDescent="0.3">
      <c r="I173" s="2"/>
      <c r="J173" s="2"/>
      <c r="K173" s="2"/>
      <c r="L173" s="2"/>
      <c r="M173" s="2"/>
      <c r="N173" s="2"/>
    </row>
    <row r="174" spans="9:14" x14ac:dyDescent="0.3">
      <c r="I174" s="2"/>
      <c r="J174" s="2"/>
      <c r="K174" s="2"/>
      <c r="L174" s="2"/>
      <c r="M174" s="2"/>
      <c r="N174" s="2"/>
    </row>
    <row r="175" spans="9:14" x14ac:dyDescent="0.3">
      <c r="I175" s="2"/>
      <c r="J175" s="2"/>
      <c r="K175" s="2"/>
      <c r="L175" s="2"/>
      <c r="M175" s="2"/>
      <c r="N175" s="2"/>
    </row>
    <row r="176" spans="9:14" x14ac:dyDescent="0.3">
      <c r="I176" s="2"/>
      <c r="J176" s="2"/>
      <c r="K176" s="2"/>
      <c r="L176" s="2"/>
      <c r="M176" s="2"/>
      <c r="N176" s="2"/>
    </row>
    <row r="177" spans="9:14" x14ac:dyDescent="0.3">
      <c r="I177" s="2"/>
      <c r="J177" s="2"/>
      <c r="K177" s="2"/>
      <c r="L177" s="2"/>
      <c r="M177" s="2"/>
      <c r="N177" s="2"/>
    </row>
    <row r="178" spans="9:14" x14ac:dyDescent="0.3">
      <c r="I178" s="2"/>
      <c r="J178" s="2"/>
      <c r="K178" s="2"/>
      <c r="L178" s="2"/>
      <c r="M178" s="2"/>
      <c r="N178" s="2"/>
    </row>
    <row r="179" spans="9:14" x14ac:dyDescent="0.3">
      <c r="I179" s="2"/>
      <c r="J179" s="2"/>
      <c r="K179" s="2"/>
      <c r="L179" s="2"/>
      <c r="M179" s="2"/>
      <c r="N179" s="2"/>
    </row>
    <row r="180" spans="9:14" x14ac:dyDescent="0.3">
      <c r="I180" s="2"/>
      <c r="J180" s="2"/>
      <c r="K180" s="2"/>
      <c r="L180" s="2"/>
      <c r="M180" s="2"/>
      <c r="N180" s="2"/>
    </row>
    <row r="181" spans="9:14" x14ac:dyDescent="0.3">
      <c r="I181" s="2"/>
      <c r="J181" s="2"/>
      <c r="K181" s="2"/>
      <c r="L181" s="2"/>
      <c r="M181" s="2"/>
      <c r="N181" s="2"/>
    </row>
    <row r="182" spans="9:14" x14ac:dyDescent="0.3">
      <c r="I182" s="2"/>
      <c r="J182" s="2"/>
      <c r="K182" s="2"/>
      <c r="L182" s="2"/>
      <c r="M182" s="2"/>
      <c r="N182" s="2"/>
    </row>
    <row r="183" spans="9:14" x14ac:dyDescent="0.3">
      <c r="I183" s="2"/>
      <c r="J183" s="2"/>
      <c r="K183" s="2"/>
      <c r="L183" s="2"/>
      <c r="M183" s="2"/>
      <c r="N183" s="2"/>
    </row>
    <row r="184" spans="9:14" x14ac:dyDescent="0.3">
      <c r="I184" s="2"/>
      <c r="J184" s="2"/>
      <c r="K184" s="2"/>
      <c r="L184" s="2"/>
      <c r="M184" s="2"/>
      <c r="N184" s="2"/>
    </row>
    <row r="185" spans="9:14" x14ac:dyDescent="0.3">
      <c r="I185" s="2"/>
      <c r="J185" s="2"/>
      <c r="K185" s="2"/>
      <c r="L185" s="2"/>
      <c r="M185" s="2"/>
      <c r="N185" s="2"/>
    </row>
    <row r="186" spans="9:14" x14ac:dyDescent="0.3">
      <c r="I186" s="2"/>
      <c r="J186" s="2"/>
      <c r="K186" s="2"/>
      <c r="L186" s="2"/>
      <c r="M186" s="2"/>
      <c r="N186" s="2"/>
    </row>
    <row r="187" spans="9:14" x14ac:dyDescent="0.3">
      <c r="I187" s="2"/>
      <c r="J187" s="2"/>
      <c r="K187" s="2"/>
      <c r="L187" s="2"/>
      <c r="M187" s="2"/>
      <c r="N187" s="2"/>
    </row>
    <row r="188" spans="9:14" x14ac:dyDescent="0.3">
      <c r="I188" s="2"/>
      <c r="J188" s="2"/>
      <c r="K188" s="2"/>
      <c r="L188" s="2"/>
      <c r="M188" s="2"/>
      <c r="N188" s="2"/>
    </row>
    <row r="189" spans="9:14" x14ac:dyDescent="0.3">
      <c r="I189" s="2"/>
      <c r="J189" s="2"/>
      <c r="K189" s="2"/>
      <c r="L189" s="2"/>
      <c r="M189" s="2"/>
      <c r="N189" s="2"/>
    </row>
    <row r="190" spans="9:14" x14ac:dyDescent="0.3">
      <c r="I190" s="2"/>
      <c r="J190" s="2"/>
      <c r="K190" s="2"/>
      <c r="L190" s="2"/>
      <c r="M190" s="2"/>
      <c r="N190" s="2"/>
    </row>
    <row r="191" spans="9:14" x14ac:dyDescent="0.3">
      <c r="I191" s="2"/>
      <c r="J191" s="2"/>
      <c r="K191" s="2"/>
      <c r="L191" s="2"/>
      <c r="M191" s="2"/>
      <c r="N191" s="2"/>
    </row>
    <row r="192" spans="9:14" x14ac:dyDescent="0.3">
      <c r="I192" s="2"/>
      <c r="J192" s="2"/>
      <c r="K192" s="2"/>
      <c r="L192" s="2"/>
      <c r="M192" s="2"/>
      <c r="N192" s="2"/>
    </row>
    <row r="193" spans="9:14" x14ac:dyDescent="0.3">
      <c r="I193" s="2"/>
      <c r="J193" s="2"/>
      <c r="K193" s="2"/>
      <c r="L193" s="2"/>
      <c r="M193" s="2"/>
      <c r="N193" s="2"/>
    </row>
    <row r="194" spans="9:14" x14ac:dyDescent="0.3">
      <c r="I194" s="2"/>
      <c r="J194" s="2"/>
      <c r="K194" s="2"/>
      <c r="L194" s="2"/>
      <c r="M194" s="2"/>
      <c r="N194" s="2"/>
    </row>
    <row r="195" spans="9:14" x14ac:dyDescent="0.3">
      <c r="I195" s="2"/>
      <c r="J195" s="2"/>
      <c r="K195" s="2"/>
      <c r="L195" s="2"/>
      <c r="M195" s="2"/>
      <c r="N195" s="2"/>
    </row>
    <row r="196" spans="9:14" x14ac:dyDescent="0.3">
      <c r="I196" s="2"/>
      <c r="J196" s="2"/>
      <c r="K196" s="2"/>
      <c r="L196" s="2"/>
      <c r="M196" s="2"/>
      <c r="N196" s="2"/>
    </row>
    <row r="197" spans="9:14" x14ac:dyDescent="0.3">
      <c r="I197" s="2"/>
      <c r="J197" s="2"/>
      <c r="K197" s="2"/>
      <c r="L197" s="2"/>
      <c r="M197" s="2"/>
      <c r="N197" s="2"/>
    </row>
    <row r="198" spans="9:14" x14ac:dyDescent="0.3">
      <c r="I198" s="2"/>
      <c r="J198" s="2"/>
      <c r="K198" s="2"/>
      <c r="L198" s="2"/>
      <c r="M198" s="2"/>
      <c r="N198" s="2"/>
    </row>
    <row r="199" spans="9:14" x14ac:dyDescent="0.3">
      <c r="I199" s="2"/>
      <c r="J199" s="2"/>
      <c r="K199" s="2"/>
      <c r="L199" s="2"/>
      <c r="M199" s="2"/>
      <c r="N199" s="2"/>
    </row>
    <row r="200" spans="9:14" x14ac:dyDescent="0.3">
      <c r="I200" s="2"/>
      <c r="J200" s="2"/>
      <c r="K200" s="2"/>
      <c r="L200" s="2"/>
      <c r="M200" s="2"/>
      <c r="N200" s="2"/>
    </row>
    <row r="201" spans="9:14" x14ac:dyDescent="0.3">
      <c r="I201" s="2"/>
      <c r="J201" s="2"/>
      <c r="K201" s="2"/>
      <c r="L201" s="2"/>
      <c r="M201" s="2"/>
      <c r="N201" s="2"/>
    </row>
    <row r="202" spans="9:14" x14ac:dyDescent="0.3">
      <c r="I202" s="2"/>
      <c r="J202" s="2"/>
      <c r="K202" s="2"/>
      <c r="L202" s="2"/>
      <c r="M202" s="2"/>
      <c r="N202" s="2"/>
    </row>
    <row r="203" spans="9:14" x14ac:dyDescent="0.3">
      <c r="I203" s="2"/>
      <c r="J203" s="2"/>
      <c r="K203" s="2"/>
      <c r="L203" s="2"/>
      <c r="M203" s="2"/>
      <c r="N203" s="2"/>
    </row>
    <row r="204" spans="9:14" x14ac:dyDescent="0.3">
      <c r="I204" s="2"/>
      <c r="J204" s="2"/>
      <c r="K204" s="2"/>
      <c r="L204" s="2"/>
      <c r="M204" s="2"/>
      <c r="N204" s="2"/>
    </row>
    <row r="205" spans="9:14" x14ac:dyDescent="0.3">
      <c r="I205" s="2"/>
      <c r="J205" s="2"/>
      <c r="K205" s="2"/>
      <c r="L205" s="2"/>
      <c r="M205" s="2"/>
      <c r="N205" s="2"/>
    </row>
    <row r="206" spans="9:14" x14ac:dyDescent="0.3">
      <c r="I206" s="2"/>
      <c r="J206" s="2"/>
      <c r="K206" s="2"/>
      <c r="L206" s="2"/>
      <c r="M206" s="2"/>
      <c r="N206" s="2"/>
    </row>
    <row r="207" spans="9:14" x14ac:dyDescent="0.3">
      <c r="I207" s="2"/>
      <c r="J207" s="2"/>
      <c r="K207" s="2"/>
      <c r="L207" s="2"/>
      <c r="M207" s="2"/>
      <c r="N207" s="2"/>
    </row>
    <row r="208" spans="9:14" x14ac:dyDescent="0.3">
      <c r="I208" s="2"/>
      <c r="J208" s="2"/>
      <c r="K208" s="2"/>
      <c r="L208" s="2"/>
      <c r="M208" s="2"/>
      <c r="N208" s="2"/>
    </row>
    <row r="209" spans="9:14" x14ac:dyDescent="0.3">
      <c r="I209" s="2"/>
      <c r="J209" s="2"/>
      <c r="K209" s="2"/>
      <c r="L209" s="2"/>
      <c r="M209" s="2"/>
      <c r="N209" s="2"/>
    </row>
    <row r="210" spans="9:14" x14ac:dyDescent="0.3">
      <c r="I210" s="2"/>
      <c r="J210" s="2"/>
      <c r="K210" s="2"/>
      <c r="L210" s="2"/>
      <c r="M210" s="2"/>
      <c r="N210" s="2"/>
    </row>
    <row r="211" spans="9:14" x14ac:dyDescent="0.3">
      <c r="I211" s="2"/>
      <c r="J211" s="2"/>
      <c r="K211" s="2"/>
      <c r="L211" s="2"/>
      <c r="M211" s="2"/>
      <c r="N211" s="2"/>
    </row>
    <row r="212" spans="9:14" x14ac:dyDescent="0.3">
      <c r="I212" s="2"/>
      <c r="J212" s="2"/>
      <c r="K212" s="2"/>
      <c r="L212" s="2"/>
      <c r="M212" s="2"/>
      <c r="N212" s="2"/>
    </row>
    <row r="213" spans="9:14" x14ac:dyDescent="0.3">
      <c r="I213" s="2"/>
      <c r="J213" s="2"/>
      <c r="K213" s="2"/>
      <c r="L213" s="2"/>
      <c r="M213" s="2"/>
      <c r="N213" s="2"/>
    </row>
    <row r="214" spans="9:14" x14ac:dyDescent="0.3">
      <c r="I214" s="2"/>
      <c r="J214" s="2"/>
      <c r="K214" s="2"/>
      <c r="L214" s="2"/>
      <c r="M214" s="2"/>
      <c r="N214" s="2"/>
    </row>
    <row r="215" spans="9:14" x14ac:dyDescent="0.3">
      <c r="I215" s="2"/>
      <c r="J215" s="2"/>
      <c r="K215" s="2"/>
      <c r="L215" s="2"/>
      <c r="M215" s="2"/>
      <c r="N215" s="2"/>
    </row>
    <row r="216" spans="9:14" x14ac:dyDescent="0.3">
      <c r="I216" s="2"/>
      <c r="J216" s="2"/>
      <c r="K216" s="2"/>
      <c r="L216" s="2"/>
      <c r="M216" s="2"/>
      <c r="N216" s="2"/>
    </row>
    <row r="217" spans="9:14" x14ac:dyDescent="0.3">
      <c r="I217" s="2"/>
      <c r="J217" s="2"/>
      <c r="K217" s="2"/>
      <c r="L217" s="2"/>
      <c r="M217" s="2"/>
      <c r="N217" s="2"/>
    </row>
    <row r="218" spans="9:14" x14ac:dyDescent="0.3">
      <c r="I218" s="2"/>
      <c r="J218" s="2"/>
      <c r="K218" s="2"/>
      <c r="L218" s="2"/>
      <c r="M218" s="2"/>
      <c r="N218" s="2"/>
    </row>
    <row r="219" spans="9:14" x14ac:dyDescent="0.3">
      <c r="I219" s="2"/>
      <c r="J219" s="2"/>
      <c r="K219" s="2"/>
      <c r="L219" s="2"/>
      <c r="M219" s="2"/>
      <c r="N219" s="2"/>
    </row>
    <row r="220" spans="9:14" x14ac:dyDescent="0.3">
      <c r="I220" s="2"/>
      <c r="J220" s="2"/>
      <c r="K220" s="2"/>
      <c r="L220" s="2"/>
      <c r="M220" s="2"/>
      <c r="N220" s="2"/>
    </row>
    <row r="221" spans="9:14" x14ac:dyDescent="0.3">
      <c r="I221" s="2"/>
      <c r="J221" s="2"/>
      <c r="K221" s="2"/>
      <c r="L221" s="2"/>
      <c r="M221" s="2"/>
      <c r="N221" s="2"/>
    </row>
    <row r="222" spans="9:14" x14ac:dyDescent="0.3">
      <c r="I222" s="2"/>
      <c r="J222" s="2"/>
      <c r="K222" s="2"/>
      <c r="L222" s="2"/>
      <c r="M222" s="2"/>
      <c r="N222" s="2"/>
    </row>
    <row r="223" spans="9:14" x14ac:dyDescent="0.3">
      <c r="I223" s="2"/>
      <c r="J223" s="2"/>
      <c r="K223" s="2"/>
      <c r="L223" s="2"/>
      <c r="M223" s="2"/>
      <c r="N223" s="2"/>
    </row>
    <row r="224" spans="9:14" x14ac:dyDescent="0.3">
      <c r="I224" s="2"/>
      <c r="J224" s="2"/>
      <c r="K224" s="2"/>
      <c r="L224" s="2"/>
      <c r="M224" s="2"/>
      <c r="N224" s="2"/>
    </row>
    <row r="225" spans="9:14" x14ac:dyDescent="0.3">
      <c r="I225" s="2"/>
      <c r="J225" s="2"/>
      <c r="K225" s="2"/>
      <c r="L225" s="2"/>
      <c r="M225" s="2"/>
      <c r="N225" s="2"/>
    </row>
    <row r="226" spans="9:14" x14ac:dyDescent="0.3">
      <c r="I226" s="2"/>
      <c r="J226" s="2"/>
      <c r="K226" s="2"/>
      <c r="L226" s="2"/>
      <c r="M226" s="2"/>
      <c r="N226" s="2"/>
    </row>
    <row r="227" spans="9:14" x14ac:dyDescent="0.3">
      <c r="I227" s="2"/>
      <c r="J227" s="2"/>
      <c r="K227" s="2"/>
      <c r="L227" s="2"/>
      <c r="M227" s="2"/>
      <c r="N227" s="2"/>
    </row>
    <row r="228" spans="9:14" x14ac:dyDescent="0.3">
      <c r="I228" s="2"/>
      <c r="J228" s="2"/>
      <c r="K228" s="2"/>
      <c r="L228" s="2"/>
      <c r="M228" s="2"/>
      <c r="N228" s="2"/>
    </row>
    <row r="229" spans="9:14" x14ac:dyDescent="0.3">
      <c r="I229" s="2"/>
      <c r="J229" s="2"/>
      <c r="K229" s="2"/>
      <c r="L229" s="2"/>
      <c r="M229" s="2"/>
      <c r="N229" s="2"/>
    </row>
    <row r="230" spans="9:14" x14ac:dyDescent="0.3">
      <c r="I230" s="2"/>
      <c r="J230" s="2"/>
      <c r="K230" s="2"/>
      <c r="L230" s="2"/>
      <c r="M230" s="2"/>
      <c r="N230" s="2"/>
    </row>
    <row r="231" spans="9:14" x14ac:dyDescent="0.3">
      <c r="I231" s="2"/>
      <c r="J231" s="2"/>
      <c r="K231" s="2"/>
      <c r="L231" s="2"/>
      <c r="M231" s="2"/>
      <c r="N231" s="2"/>
    </row>
    <row r="232" spans="9:14" x14ac:dyDescent="0.3">
      <c r="I232" s="2"/>
      <c r="J232" s="2"/>
      <c r="K232" s="2"/>
      <c r="L232" s="2"/>
      <c r="M232" s="2"/>
      <c r="N232" s="2"/>
    </row>
    <row r="233" spans="9:14" x14ac:dyDescent="0.3">
      <c r="I233" s="2"/>
      <c r="J233" s="2"/>
      <c r="K233" s="2"/>
      <c r="L233" s="2"/>
      <c r="M233" s="2"/>
      <c r="N233" s="2"/>
    </row>
    <row r="234" spans="9:14" x14ac:dyDescent="0.3">
      <c r="I234" s="2"/>
      <c r="J234" s="2"/>
      <c r="K234" s="2"/>
      <c r="L234" s="2"/>
      <c r="M234" s="2"/>
      <c r="N234" s="2"/>
    </row>
    <row r="235" spans="9:14" x14ac:dyDescent="0.3">
      <c r="I235" s="2"/>
      <c r="J235" s="2"/>
      <c r="K235" s="2"/>
      <c r="L235" s="2"/>
      <c r="M235" s="2"/>
      <c r="N235" s="2"/>
    </row>
    <row r="236" spans="9:14" x14ac:dyDescent="0.3">
      <c r="I236" s="2"/>
      <c r="J236" s="2"/>
      <c r="K236" s="2"/>
      <c r="L236" s="2"/>
      <c r="M236" s="2"/>
      <c r="N236" s="2"/>
    </row>
    <row r="237" spans="9:14" x14ac:dyDescent="0.3">
      <c r="I237" s="2"/>
      <c r="J237" s="2"/>
      <c r="K237" s="2"/>
      <c r="L237" s="2"/>
      <c r="M237" s="2"/>
      <c r="N237" s="2"/>
    </row>
    <row r="238" spans="9:14" x14ac:dyDescent="0.3">
      <c r="I238" s="2"/>
      <c r="J238" s="2"/>
      <c r="K238" s="2"/>
      <c r="L238" s="2"/>
      <c r="M238" s="2"/>
      <c r="N238" s="2"/>
    </row>
    <row r="239" spans="9:14" x14ac:dyDescent="0.3">
      <c r="I239" s="2"/>
      <c r="J239" s="2"/>
      <c r="K239" s="2"/>
      <c r="L239" s="2"/>
      <c r="M239" s="2"/>
      <c r="N239" s="2"/>
    </row>
    <row r="240" spans="9:14" x14ac:dyDescent="0.3">
      <c r="I240" s="2"/>
      <c r="J240" s="2"/>
      <c r="K240" s="2"/>
      <c r="L240" s="2"/>
      <c r="M240" s="2"/>
      <c r="N240" s="2"/>
    </row>
    <row r="241" spans="9:14" x14ac:dyDescent="0.3">
      <c r="I241" s="2"/>
      <c r="J241" s="2"/>
      <c r="K241" s="2"/>
      <c r="L241" s="2"/>
      <c r="M241" s="2"/>
      <c r="N241" s="2"/>
    </row>
    <row r="242" spans="9:14" x14ac:dyDescent="0.3">
      <c r="I242" s="2"/>
      <c r="J242" s="2"/>
      <c r="K242" s="2"/>
      <c r="L242" s="2"/>
      <c r="M242" s="2"/>
      <c r="N242" s="2"/>
    </row>
    <row r="243" spans="9:14" x14ac:dyDescent="0.3">
      <c r="I243" s="2"/>
      <c r="J243" s="2"/>
      <c r="K243" s="2"/>
      <c r="L243" s="2"/>
      <c r="M243" s="2"/>
      <c r="N243" s="2"/>
    </row>
    <row r="244" spans="9:14" x14ac:dyDescent="0.3">
      <c r="I244" s="2"/>
      <c r="J244" s="2"/>
      <c r="K244" s="2"/>
      <c r="L244" s="2"/>
      <c r="M244" s="2"/>
      <c r="N244" s="2"/>
    </row>
    <row r="245" spans="9:14" x14ac:dyDescent="0.3">
      <c r="I245" s="2"/>
      <c r="J245" s="2"/>
      <c r="K245" s="2"/>
      <c r="L245" s="2"/>
      <c r="M245" s="2"/>
      <c r="N245" s="2"/>
    </row>
    <row r="246" spans="9:14" x14ac:dyDescent="0.3">
      <c r="I246" s="2"/>
      <c r="J246" s="2"/>
      <c r="K246" s="2"/>
      <c r="L246" s="2"/>
      <c r="M246" s="2"/>
      <c r="N246" s="2"/>
    </row>
    <row r="247" spans="9:14" x14ac:dyDescent="0.3">
      <c r="I247" s="2"/>
      <c r="J247" s="2"/>
      <c r="K247" s="2"/>
      <c r="L247" s="2"/>
      <c r="M247" s="2"/>
      <c r="N247" s="2"/>
    </row>
    <row r="248" spans="9:14" x14ac:dyDescent="0.3">
      <c r="I248" s="2"/>
      <c r="J248" s="2"/>
      <c r="K248" s="2"/>
      <c r="L248" s="2"/>
      <c r="M248" s="2"/>
      <c r="N248" s="2"/>
    </row>
    <row r="249" spans="9:14" x14ac:dyDescent="0.3">
      <c r="I249" s="2"/>
      <c r="J249" s="2"/>
      <c r="K249" s="2"/>
      <c r="L249" s="2"/>
      <c r="M249" s="2"/>
      <c r="N249" s="2"/>
    </row>
    <row r="250" spans="9:14" x14ac:dyDescent="0.3">
      <c r="I250" s="2"/>
      <c r="J250" s="2"/>
      <c r="K250" s="2"/>
      <c r="L250" s="2"/>
      <c r="M250" s="2"/>
      <c r="N250" s="2"/>
    </row>
    <row r="251" spans="9:14" x14ac:dyDescent="0.3">
      <c r="I251" s="2"/>
      <c r="J251" s="2"/>
      <c r="K251" s="2"/>
      <c r="L251" s="2"/>
      <c r="M251" s="2"/>
      <c r="N251" s="2"/>
    </row>
    <row r="252" spans="9:14" x14ac:dyDescent="0.3">
      <c r="I252" s="2"/>
      <c r="J252" s="2"/>
      <c r="K252" s="2"/>
      <c r="L252" s="2"/>
      <c r="M252" s="2"/>
      <c r="N252" s="2"/>
    </row>
    <row r="253" spans="9:14" x14ac:dyDescent="0.3">
      <c r="I253" s="2"/>
      <c r="J253" s="2"/>
      <c r="K253" s="2"/>
      <c r="L253" s="2"/>
      <c r="M253" s="2"/>
      <c r="N253" s="2"/>
    </row>
    <row r="254" spans="9:14" x14ac:dyDescent="0.3">
      <c r="I254" s="2"/>
      <c r="J254" s="2"/>
      <c r="K254" s="2"/>
      <c r="L254" s="2"/>
      <c r="M254" s="2"/>
      <c r="N254" s="2"/>
    </row>
    <row r="255" spans="9:14" x14ac:dyDescent="0.3">
      <c r="I255" s="2"/>
      <c r="J255" s="2"/>
      <c r="K255" s="2"/>
      <c r="L255" s="2"/>
      <c r="M255" s="2"/>
      <c r="N255" s="2"/>
    </row>
    <row r="256" spans="9:14" x14ac:dyDescent="0.3">
      <c r="I256" s="2"/>
      <c r="J256" s="2"/>
      <c r="K256" s="2"/>
      <c r="L256" s="2"/>
      <c r="M256" s="2"/>
      <c r="N256" s="2"/>
    </row>
    <row r="257" spans="9:14" x14ac:dyDescent="0.3">
      <c r="I257" s="2"/>
      <c r="J257" s="2"/>
      <c r="K257" s="2"/>
      <c r="L257" s="2"/>
      <c r="M257" s="2"/>
      <c r="N257" s="2"/>
    </row>
    <row r="258" spans="9:14" x14ac:dyDescent="0.3">
      <c r="I258" s="2"/>
      <c r="J258" s="2"/>
      <c r="K258" s="2"/>
      <c r="L258" s="2"/>
      <c r="M258" s="2"/>
      <c r="N258" s="2"/>
    </row>
    <row r="259" spans="9:14" x14ac:dyDescent="0.3">
      <c r="I259" s="2"/>
      <c r="J259" s="2"/>
      <c r="K259" s="2"/>
      <c r="L259" s="2"/>
      <c r="M259" s="2"/>
      <c r="N259" s="2"/>
    </row>
    <row r="260" spans="9:14" x14ac:dyDescent="0.3">
      <c r="I260" s="2"/>
      <c r="J260" s="2"/>
      <c r="K260" s="2"/>
      <c r="L260" s="2"/>
      <c r="M260" s="2"/>
      <c r="N260" s="2"/>
    </row>
    <row r="261" spans="9:14" x14ac:dyDescent="0.3">
      <c r="I261" s="2"/>
      <c r="J261" s="2"/>
      <c r="K261" s="2"/>
      <c r="L261" s="2"/>
      <c r="M261" s="2"/>
      <c r="N261" s="2"/>
    </row>
    <row r="262" spans="9:14" x14ac:dyDescent="0.3">
      <c r="I262" s="2"/>
      <c r="J262" s="2"/>
      <c r="K262" s="2"/>
      <c r="L262" s="2"/>
      <c r="M262" s="2"/>
      <c r="N262" s="2"/>
    </row>
    <row r="263" spans="9:14" x14ac:dyDescent="0.3">
      <c r="I263" s="2"/>
      <c r="J263" s="2"/>
      <c r="K263" s="2"/>
      <c r="L263" s="2"/>
      <c r="M263" s="2"/>
      <c r="N263" s="2"/>
    </row>
    <row r="264" spans="9:14" x14ac:dyDescent="0.3">
      <c r="I264" s="2"/>
      <c r="J264" s="2"/>
      <c r="K264" s="2"/>
      <c r="L264" s="2"/>
      <c r="M264" s="2"/>
      <c r="N264" s="2"/>
    </row>
    <row r="265" spans="9:14" x14ac:dyDescent="0.3">
      <c r="I265" s="2"/>
      <c r="J265" s="2"/>
      <c r="K265" s="2"/>
      <c r="L265" s="2"/>
      <c r="M265" s="2"/>
      <c r="N265" s="2"/>
    </row>
    <row r="266" spans="9:14" x14ac:dyDescent="0.3">
      <c r="I266" s="2"/>
      <c r="J266" s="2"/>
      <c r="K266" s="2"/>
      <c r="L266" s="2"/>
      <c r="M266" s="2"/>
      <c r="N266" s="2"/>
    </row>
    <row r="267" spans="9:14" x14ac:dyDescent="0.3">
      <c r="I267" s="2"/>
      <c r="J267" s="2"/>
      <c r="K267" s="2"/>
      <c r="L267" s="2"/>
      <c r="M267" s="2"/>
      <c r="N267" s="2"/>
    </row>
    <row r="268" spans="9:14" x14ac:dyDescent="0.3">
      <c r="I268" s="2"/>
      <c r="J268" s="2"/>
      <c r="K268" s="2"/>
      <c r="L268" s="2"/>
      <c r="M268" s="2"/>
      <c r="N268" s="2"/>
    </row>
    <row r="269" spans="9:14" x14ac:dyDescent="0.3">
      <c r="I269" s="2"/>
      <c r="J269" s="2"/>
      <c r="K269" s="2"/>
      <c r="L269" s="2"/>
      <c r="M269" s="2"/>
      <c r="N269" s="2"/>
    </row>
    <row r="270" spans="9:14" x14ac:dyDescent="0.3">
      <c r="I270" s="2"/>
      <c r="J270" s="2"/>
      <c r="K270" s="2"/>
      <c r="L270" s="2"/>
      <c r="M270" s="2"/>
      <c r="N270" s="2"/>
    </row>
    <row r="271" spans="9:14" x14ac:dyDescent="0.3">
      <c r="I271" s="2"/>
      <c r="J271" s="2"/>
      <c r="K271" s="2"/>
      <c r="L271" s="2"/>
      <c r="M271" s="2"/>
      <c r="N271" s="2"/>
    </row>
    <row r="272" spans="9:14" x14ac:dyDescent="0.3">
      <c r="I272" s="2"/>
      <c r="J272" s="2"/>
      <c r="K272" s="2"/>
      <c r="L272" s="2"/>
      <c r="M272" s="2"/>
      <c r="N272" s="2"/>
    </row>
    <row r="273" spans="9:14" x14ac:dyDescent="0.3">
      <c r="I273" s="2"/>
      <c r="J273" s="2"/>
      <c r="K273" s="2"/>
      <c r="L273" s="2"/>
      <c r="M273" s="2"/>
      <c r="N273" s="2"/>
    </row>
    <row r="274" spans="9:14" x14ac:dyDescent="0.3">
      <c r="I274" s="2"/>
      <c r="J274" s="2"/>
      <c r="K274" s="2"/>
      <c r="L274" s="2"/>
      <c r="M274" s="2"/>
      <c r="N274" s="2"/>
    </row>
    <row r="275" spans="9:14" x14ac:dyDescent="0.3">
      <c r="I275" s="2"/>
      <c r="J275" s="2"/>
      <c r="K275" s="2"/>
      <c r="L275" s="2"/>
      <c r="M275" s="2"/>
      <c r="N275" s="2"/>
    </row>
    <row r="276" spans="9:14" x14ac:dyDescent="0.3">
      <c r="I276" s="2"/>
      <c r="J276" s="2"/>
      <c r="K276" s="2"/>
      <c r="L276" s="2"/>
      <c r="M276" s="2"/>
      <c r="N276" s="2"/>
    </row>
    <row r="277" spans="9:14" x14ac:dyDescent="0.3">
      <c r="I277" s="2"/>
      <c r="J277" s="2"/>
      <c r="K277" s="2"/>
      <c r="L277" s="2"/>
      <c r="M277" s="2"/>
      <c r="N277" s="2"/>
    </row>
    <row r="278" spans="9:14" x14ac:dyDescent="0.3">
      <c r="I278" s="2"/>
      <c r="J278" s="2"/>
      <c r="K278" s="2"/>
      <c r="L278" s="2"/>
      <c r="M278" s="2"/>
      <c r="N278" s="2"/>
    </row>
    <row r="279" spans="9:14" x14ac:dyDescent="0.3">
      <c r="I279" s="2"/>
      <c r="J279" s="2"/>
      <c r="K279" s="2"/>
      <c r="L279" s="2"/>
      <c r="M279" s="2"/>
      <c r="N279" s="2"/>
    </row>
    <row r="280" spans="9:14" x14ac:dyDescent="0.3">
      <c r="I280" s="2"/>
      <c r="J280" s="2"/>
      <c r="K280" s="2"/>
      <c r="L280" s="2"/>
      <c r="M280" s="2"/>
      <c r="N280" s="2"/>
    </row>
    <row r="281" spans="9:14" x14ac:dyDescent="0.3">
      <c r="I281" s="2"/>
      <c r="J281" s="2"/>
      <c r="K281" s="2"/>
      <c r="L281" s="2"/>
      <c r="M281" s="2"/>
      <c r="N281" s="2"/>
    </row>
    <row r="282" spans="9:14" x14ac:dyDescent="0.3">
      <c r="I282" s="2"/>
      <c r="J282" s="2"/>
      <c r="K282" s="2"/>
      <c r="L282" s="2"/>
      <c r="M282" s="2"/>
      <c r="N282" s="2"/>
    </row>
    <row r="283" spans="9:14" x14ac:dyDescent="0.3">
      <c r="I283" s="2"/>
      <c r="J283" s="2"/>
      <c r="K283" s="2"/>
      <c r="L283" s="2"/>
      <c r="M283" s="2"/>
      <c r="N283" s="2"/>
    </row>
    <row r="284" spans="9:14" x14ac:dyDescent="0.3">
      <c r="I284" s="2"/>
      <c r="J284" s="2"/>
      <c r="K284" s="2"/>
      <c r="L284" s="2"/>
      <c r="M284" s="2"/>
      <c r="N284" s="2"/>
    </row>
    <row r="285" spans="9:14" x14ac:dyDescent="0.3">
      <c r="I285" s="2"/>
      <c r="J285" s="2"/>
      <c r="K285" s="2"/>
      <c r="L285" s="2"/>
      <c r="M285" s="2"/>
      <c r="N285" s="2"/>
    </row>
    <row r="286" spans="9:14" x14ac:dyDescent="0.3">
      <c r="I286" s="2"/>
      <c r="J286" s="2"/>
      <c r="K286" s="2"/>
      <c r="L286" s="2"/>
      <c r="M286" s="2"/>
      <c r="N286" s="2"/>
    </row>
    <row r="287" spans="9:14" x14ac:dyDescent="0.3">
      <c r="I287" s="2"/>
      <c r="J287" s="2"/>
      <c r="K287" s="2"/>
      <c r="L287" s="2"/>
      <c r="M287" s="2"/>
      <c r="N287" s="2"/>
    </row>
    <row r="288" spans="9:14" x14ac:dyDescent="0.3">
      <c r="I288" s="2"/>
      <c r="J288" s="2"/>
      <c r="K288" s="2"/>
      <c r="L288" s="2"/>
      <c r="M288" s="2"/>
      <c r="N288" s="2"/>
    </row>
    <row r="289" spans="9:14" x14ac:dyDescent="0.3">
      <c r="I289" s="2"/>
      <c r="J289" s="2"/>
      <c r="K289" s="2"/>
      <c r="L289" s="2"/>
      <c r="M289" s="2"/>
      <c r="N289" s="2"/>
    </row>
    <row r="290" spans="9:14" x14ac:dyDescent="0.3">
      <c r="I290" s="2"/>
      <c r="J290" s="2"/>
      <c r="K290" s="2"/>
      <c r="L290" s="2"/>
      <c r="M290" s="2"/>
      <c r="N290" s="2"/>
    </row>
    <row r="291" spans="9:14" x14ac:dyDescent="0.3">
      <c r="I291" s="2"/>
      <c r="J291" s="2"/>
      <c r="K291" s="2"/>
      <c r="L291" s="2"/>
      <c r="M291" s="2"/>
      <c r="N291" s="2"/>
    </row>
    <row r="292" spans="9:14" x14ac:dyDescent="0.3">
      <c r="I292" s="2"/>
      <c r="J292" s="2"/>
      <c r="K292" s="2"/>
      <c r="L292" s="2"/>
      <c r="M292" s="2"/>
      <c r="N292" s="2"/>
    </row>
    <row r="293" spans="9:14" x14ac:dyDescent="0.3">
      <c r="I293" s="2"/>
      <c r="J293" s="2"/>
      <c r="K293" s="2"/>
      <c r="L293" s="2"/>
      <c r="M293" s="2"/>
      <c r="N293" s="2"/>
    </row>
    <row r="294" spans="9:14" x14ac:dyDescent="0.3">
      <c r="I294" s="2"/>
      <c r="J294" s="2"/>
      <c r="K294" s="2"/>
      <c r="L294" s="2"/>
      <c r="M294" s="2"/>
      <c r="N294" s="2"/>
    </row>
    <row r="295" spans="9:14" x14ac:dyDescent="0.3">
      <c r="I295" s="2"/>
      <c r="J295" s="2"/>
      <c r="K295" s="2"/>
      <c r="L295" s="2"/>
      <c r="M295" s="2"/>
      <c r="N295" s="2"/>
    </row>
    <row r="296" spans="9:14" x14ac:dyDescent="0.3">
      <c r="I296" s="2"/>
      <c r="J296" s="2"/>
      <c r="K296" s="2"/>
      <c r="L296" s="2"/>
      <c r="M296" s="2"/>
      <c r="N296" s="2"/>
    </row>
    <row r="297" spans="9:14" x14ac:dyDescent="0.3">
      <c r="I297" s="2"/>
      <c r="J297" s="2"/>
      <c r="K297" s="2"/>
      <c r="L297" s="2"/>
      <c r="M297" s="2"/>
      <c r="N297" s="2"/>
    </row>
    <row r="298" spans="9:14" x14ac:dyDescent="0.3">
      <c r="I298" s="2"/>
      <c r="J298" s="2"/>
      <c r="K298" s="2"/>
      <c r="L298" s="2"/>
      <c r="M298" s="2"/>
      <c r="N298" s="2"/>
    </row>
    <row r="299" spans="9:14" x14ac:dyDescent="0.3">
      <c r="I299" s="2"/>
      <c r="J299" s="2"/>
      <c r="K299" s="2"/>
      <c r="L299" s="2"/>
      <c r="M299" s="2"/>
      <c r="N299" s="2"/>
    </row>
    <row r="300" spans="9:14" x14ac:dyDescent="0.3">
      <c r="I300" s="2"/>
      <c r="J300" s="2"/>
      <c r="K300" s="2"/>
      <c r="L300" s="2"/>
      <c r="M300" s="2"/>
      <c r="N300" s="2"/>
    </row>
    <row r="301" spans="9:14" x14ac:dyDescent="0.3">
      <c r="I301" s="2"/>
      <c r="J301" s="2"/>
      <c r="K301" s="2"/>
      <c r="L301" s="2"/>
      <c r="M301" s="2"/>
      <c r="N301" s="2"/>
    </row>
    <row r="302" spans="9:14" x14ac:dyDescent="0.3">
      <c r="I302" s="2"/>
      <c r="J302" s="2"/>
      <c r="K302" s="2"/>
      <c r="L302" s="2"/>
      <c r="M302" s="2"/>
      <c r="N302" s="2"/>
    </row>
    <row r="303" spans="9:14" x14ac:dyDescent="0.3">
      <c r="I303" s="2"/>
      <c r="J303" s="2"/>
      <c r="K303" s="2"/>
      <c r="L303" s="2"/>
      <c r="M303" s="2"/>
      <c r="N303" s="2"/>
    </row>
    <row r="304" spans="9:14" x14ac:dyDescent="0.3">
      <c r="I304" s="2"/>
      <c r="J304" s="2"/>
      <c r="K304" s="2"/>
      <c r="L304" s="2"/>
      <c r="M304" s="2"/>
      <c r="N304" s="2"/>
    </row>
    <row r="305" spans="9:14" x14ac:dyDescent="0.3">
      <c r="I305" s="2"/>
      <c r="J305" s="2"/>
      <c r="K305" s="2"/>
      <c r="L305" s="2"/>
      <c r="M305" s="2"/>
      <c r="N305" s="2"/>
    </row>
    <row r="306" spans="9:14" x14ac:dyDescent="0.3">
      <c r="I306" s="2"/>
      <c r="J306" s="2"/>
      <c r="K306" s="2"/>
      <c r="L306" s="2"/>
      <c r="M306" s="2"/>
      <c r="N306" s="2"/>
    </row>
    <row r="307" spans="9:14" x14ac:dyDescent="0.3">
      <c r="I307" s="2"/>
      <c r="J307" s="2"/>
      <c r="K307" s="2"/>
      <c r="L307" s="2"/>
      <c r="M307" s="2"/>
      <c r="N307" s="2"/>
    </row>
    <row r="308" spans="9:14" x14ac:dyDescent="0.3">
      <c r="I308" s="2"/>
      <c r="J308" s="2"/>
      <c r="K308" s="2"/>
      <c r="L308" s="2"/>
      <c r="M308" s="2"/>
      <c r="N308" s="2"/>
    </row>
    <row r="309" spans="9:14" x14ac:dyDescent="0.3">
      <c r="I309" s="2"/>
      <c r="J309" s="2"/>
      <c r="K309" s="2"/>
      <c r="L309" s="2"/>
      <c r="M309" s="2"/>
      <c r="N309" s="2"/>
    </row>
    <row r="310" spans="9:14" x14ac:dyDescent="0.3">
      <c r="I310" s="2"/>
      <c r="J310" s="2"/>
      <c r="K310" s="2"/>
      <c r="L310" s="2"/>
      <c r="M310" s="2"/>
      <c r="N310" s="2"/>
    </row>
    <row r="311" spans="9:14" x14ac:dyDescent="0.3">
      <c r="I311" s="2"/>
      <c r="J311" s="2"/>
      <c r="K311" s="2"/>
      <c r="L311" s="2"/>
      <c r="M311" s="2"/>
      <c r="N311" s="2"/>
    </row>
    <row r="312" spans="9:14" x14ac:dyDescent="0.3">
      <c r="I312" s="2"/>
      <c r="J312" s="2"/>
      <c r="K312" s="2"/>
      <c r="L312" s="2"/>
      <c r="M312" s="2"/>
      <c r="N312" s="2"/>
    </row>
    <row r="313" spans="9:14" x14ac:dyDescent="0.3">
      <c r="I313" s="2"/>
      <c r="J313" s="2"/>
      <c r="K313" s="2"/>
      <c r="L313" s="2"/>
      <c r="M313" s="2"/>
      <c r="N313" s="2"/>
    </row>
    <row r="314" spans="9:14" x14ac:dyDescent="0.3">
      <c r="I314" s="2"/>
      <c r="J314" s="2"/>
      <c r="K314" s="2"/>
      <c r="L314" s="2"/>
      <c r="M314" s="2"/>
      <c r="N314" s="2"/>
    </row>
    <row r="315" spans="9:14" x14ac:dyDescent="0.3">
      <c r="I315" s="2"/>
      <c r="J315" s="2"/>
      <c r="K315" s="2"/>
      <c r="L315" s="2"/>
      <c r="M315" s="2"/>
      <c r="N315" s="2"/>
    </row>
    <row r="316" spans="9:14" x14ac:dyDescent="0.3">
      <c r="I316" s="2"/>
      <c r="J316" s="2"/>
      <c r="K316" s="2"/>
      <c r="L316" s="2"/>
      <c r="M316" s="2"/>
      <c r="N316" s="2"/>
    </row>
    <row r="317" spans="9:14" x14ac:dyDescent="0.3">
      <c r="I317" s="2"/>
      <c r="J317" s="2"/>
      <c r="K317" s="2"/>
      <c r="L317" s="2"/>
      <c r="M317" s="2"/>
      <c r="N317" s="2"/>
    </row>
    <row r="318" spans="9:14" x14ac:dyDescent="0.3">
      <c r="I318" s="2"/>
      <c r="J318" s="2"/>
      <c r="K318" s="2"/>
      <c r="L318" s="2"/>
      <c r="M318" s="2"/>
      <c r="N318" s="2"/>
    </row>
    <row r="319" spans="9:14" x14ac:dyDescent="0.3">
      <c r="I319" s="2"/>
      <c r="J319" s="2"/>
      <c r="K319" s="2"/>
      <c r="L319" s="2"/>
      <c r="M319" s="2"/>
      <c r="N319" s="2"/>
    </row>
    <row r="320" spans="9:14" x14ac:dyDescent="0.3">
      <c r="I320" s="2"/>
      <c r="J320" s="2"/>
      <c r="K320" s="2"/>
      <c r="L320" s="2"/>
      <c r="M320" s="2"/>
      <c r="N320" s="2"/>
    </row>
    <row r="321" spans="9:14" x14ac:dyDescent="0.3">
      <c r="I321" s="2"/>
      <c r="J321" s="2"/>
      <c r="K321" s="2"/>
      <c r="L321" s="2"/>
      <c r="M321" s="2"/>
      <c r="N321" s="2"/>
    </row>
    <row r="322" spans="9:14" x14ac:dyDescent="0.3">
      <c r="I322" s="2"/>
      <c r="J322" s="2"/>
      <c r="K322" s="2"/>
      <c r="L322" s="2"/>
      <c r="M322" s="2"/>
      <c r="N322" s="2"/>
    </row>
    <row r="323" spans="9:14" x14ac:dyDescent="0.3">
      <c r="I323" s="2"/>
      <c r="J323" s="2"/>
      <c r="K323" s="2"/>
      <c r="L323" s="2"/>
      <c r="M323" s="2"/>
      <c r="N323" s="2"/>
    </row>
    <row r="324" spans="9:14" x14ac:dyDescent="0.3">
      <c r="I324" s="2"/>
      <c r="J324" s="2"/>
      <c r="K324" s="2"/>
      <c r="L324" s="2"/>
      <c r="M324" s="2"/>
      <c r="N324" s="2"/>
    </row>
    <row r="325" spans="9:14" x14ac:dyDescent="0.3">
      <c r="I325" s="2"/>
      <c r="J325" s="2"/>
      <c r="K325" s="2"/>
      <c r="L325" s="2"/>
      <c r="M325" s="2"/>
      <c r="N325" s="2"/>
    </row>
    <row r="326" spans="9:14" x14ac:dyDescent="0.3">
      <c r="I326" s="2"/>
      <c r="J326" s="2"/>
      <c r="K326" s="2"/>
      <c r="L326" s="2"/>
      <c r="M326" s="2"/>
      <c r="N326" s="2"/>
    </row>
    <row r="327" spans="9:14" x14ac:dyDescent="0.3">
      <c r="I327" s="2"/>
      <c r="J327" s="2"/>
      <c r="K327" s="2"/>
      <c r="L327" s="2"/>
      <c r="M327" s="2"/>
      <c r="N327" s="2"/>
    </row>
    <row r="328" spans="9:14" x14ac:dyDescent="0.3">
      <c r="I328" s="2"/>
      <c r="J328" s="2"/>
      <c r="K328" s="2"/>
      <c r="L328" s="2"/>
      <c r="M328" s="2"/>
      <c r="N328" s="2"/>
    </row>
    <row r="329" spans="9:14" x14ac:dyDescent="0.3">
      <c r="I329" s="2"/>
      <c r="J329" s="2"/>
      <c r="K329" s="2"/>
      <c r="L329" s="2"/>
      <c r="M329" s="2"/>
      <c r="N329" s="2"/>
    </row>
    <row r="330" spans="9:14" x14ac:dyDescent="0.3">
      <c r="I330" s="2"/>
      <c r="J330" s="2"/>
      <c r="K330" s="2"/>
      <c r="L330" s="2"/>
      <c r="M330" s="2"/>
      <c r="N330" s="2"/>
    </row>
    <row r="331" spans="9:14" x14ac:dyDescent="0.3">
      <c r="I331" s="2"/>
      <c r="J331" s="2"/>
      <c r="K331" s="2"/>
      <c r="L331" s="2"/>
      <c r="M331" s="2"/>
      <c r="N331" s="2"/>
    </row>
    <row r="332" spans="9:14" x14ac:dyDescent="0.3">
      <c r="I332" s="2"/>
      <c r="J332" s="2"/>
      <c r="K332" s="2"/>
      <c r="L332" s="2"/>
      <c r="M332" s="2"/>
      <c r="N332" s="2"/>
    </row>
    <row r="333" spans="9:14" x14ac:dyDescent="0.3">
      <c r="I333" s="2"/>
      <c r="J333" s="2"/>
      <c r="K333" s="2"/>
      <c r="L333" s="2"/>
      <c r="M333" s="2"/>
      <c r="N333" s="2"/>
    </row>
    <row r="334" spans="9:14" x14ac:dyDescent="0.3">
      <c r="I334" s="2"/>
      <c r="J334" s="2"/>
      <c r="K334" s="2"/>
      <c r="L334" s="2"/>
      <c r="M334" s="2"/>
      <c r="N334" s="2"/>
    </row>
    <row r="335" spans="9:14" x14ac:dyDescent="0.3">
      <c r="I335" s="2"/>
      <c r="J335" s="2"/>
      <c r="K335" s="2"/>
      <c r="L335" s="2"/>
      <c r="M335" s="2"/>
      <c r="N335" s="2"/>
    </row>
    <row r="336" spans="9:14" x14ac:dyDescent="0.3">
      <c r="I336" s="2"/>
      <c r="J336" s="2"/>
      <c r="K336" s="2"/>
      <c r="L336" s="2"/>
      <c r="M336" s="2"/>
      <c r="N336" s="2"/>
    </row>
    <row r="337" spans="9:14" x14ac:dyDescent="0.3">
      <c r="I337" s="2"/>
      <c r="J337" s="2"/>
      <c r="K337" s="2"/>
      <c r="L337" s="2"/>
      <c r="M337" s="2"/>
      <c r="N337" s="2"/>
    </row>
    <row r="338" spans="9:14" x14ac:dyDescent="0.3">
      <c r="I338" s="2"/>
      <c r="J338" s="2"/>
      <c r="K338" s="2"/>
      <c r="L338" s="2"/>
      <c r="M338" s="2"/>
      <c r="N338" s="2"/>
    </row>
    <row r="339" spans="9:14" x14ac:dyDescent="0.3">
      <c r="I339" s="2"/>
      <c r="J339" s="2"/>
      <c r="K339" s="2"/>
      <c r="L339" s="2"/>
      <c r="M339" s="2"/>
      <c r="N339" s="2"/>
    </row>
    <row r="340" spans="9:14" x14ac:dyDescent="0.3">
      <c r="I340" s="2"/>
      <c r="J340" s="2"/>
      <c r="K340" s="2"/>
      <c r="L340" s="2"/>
      <c r="M340" s="2"/>
      <c r="N340" s="2"/>
    </row>
    <row r="341" spans="9:14" x14ac:dyDescent="0.3">
      <c r="I341" s="2"/>
      <c r="J341" s="2"/>
      <c r="K341" s="2"/>
      <c r="L341" s="2"/>
      <c r="M341" s="2"/>
      <c r="N341" s="2"/>
    </row>
    <row r="342" spans="9:14" x14ac:dyDescent="0.3">
      <c r="I342" s="2"/>
      <c r="J342" s="2"/>
      <c r="K342" s="2"/>
      <c r="L342" s="2"/>
      <c r="M342" s="2"/>
      <c r="N342" s="2"/>
    </row>
    <row r="343" spans="9:14" x14ac:dyDescent="0.3">
      <c r="I343" s="2"/>
      <c r="J343" s="2"/>
      <c r="K343" s="2"/>
      <c r="L343" s="2"/>
      <c r="M343" s="2"/>
      <c r="N343" s="2"/>
    </row>
    <row r="344" spans="9:14" x14ac:dyDescent="0.3">
      <c r="I344" s="2"/>
      <c r="J344" s="2"/>
      <c r="K344" s="2"/>
      <c r="L344" s="2"/>
      <c r="M344" s="2"/>
      <c r="N344" s="2"/>
    </row>
    <row r="345" spans="9:14" x14ac:dyDescent="0.3">
      <c r="I345" s="2"/>
      <c r="J345" s="2"/>
      <c r="K345" s="2"/>
      <c r="L345" s="2"/>
      <c r="M345" s="2"/>
      <c r="N345" s="2"/>
    </row>
    <row r="346" spans="9:14" x14ac:dyDescent="0.3">
      <c r="I346" s="2"/>
      <c r="J346" s="2"/>
      <c r="K346" s="2"/>
      <c r="L346" s="2"/>
      <c r="M346" s="2"/>
      <c r="N346" s="2"/>
    </row>
    <row r="347" spans="9:14" x14ac:dyDescent="0.3">
      <c r="I347" s="2"/>
      <c r="J347" s="2"/>
      <c r="K347" s="2"/>
      <c r="L347" s="2"/>
      <c r="M347" s="2"/>
      <c r="N347" s="2"/>
    </row>
    <row r="348" spans="9:14" x14ac:dyDescent="0.3">
      <c r="I348" s="2"/>
      <c r="J348" s="2"/>
      <c r="K348" s="2"/>
      <c r="L348" s="2"/>
      <c r="M348" s="2"/>
      <c r="N348" s="2"/>
    </row>
    <row r="349" spans="9:14" x14ac:dyDescent="0.3">
      <c r="I349" s="2"/>
      <c r="J349" s="2"/>
      <c r="K349" s="2"/>
      <c r="L349" s="2"/>
      <c r="M349" s="2"/>
      <c r="N349" s="2"/>
    </row>
    <row r="350" spans="9:14" x14ac:dyDescent="0.3">
      <c r="I350" s="2"/>
      <c r="J350" s="2"/>
      <c r="K350" s="2"/>
      <c r="L350" s="2"/>
      <c r="M350" s="2"/>
      <c r="N350" s="2"/>
    </row>
    <row r="351" spans="9:14" x14ac:dyDescent="0.3">
      <c r="I351" s="2"/>
      <c r="J351" s="2"/>
      <c r="K351" s="2"/>
      <c r="L351" s="2"/>
      <c r="M351" s="2"/>
      <c r="N351" s="2"/>
    </row>
    <row r="352" spans="9:14" x14ac:dyDescent="0.3">
      <c r="I352" s="2"/>
      <c r="J352" s="2"/>
      <c r="K352" s="2"/>
      <c r="L352" s="2"/>
      <c r="M352" s="2"/>
      <c r="N352" s="2"/>
    </row>
    <row r="353" spans="9:14" x14ac:dyDescent="0.3">
      <c r="I353" s="2"/>
      <c r="J353" s="2"/>
      <c r="K353" s="2"/>
      <c r="L353" s="2"/>
      <c r="M353" s="2"/>
      <c r="N353" s="2"/>
    </row>
    <row r="354" spans="9:14" x14ac:dyDescent="0.3">
      <c r="I354" s="2"/>
      <c r="J354" s="2"/>
      <c r="K354" s="2"/>
      <c r="L354" s="2"/>
      <c r="M354" s="2"/>
      <c r="N354" s="2"/>
    </row>
    <row r="355" spans="9:14" x14ac:dyDescent="0.3">
      <c r="I355" s="2"/>
      <c r="J355" s="2"/>
      <c r="K355" s="2"/>
      <c r="L355" s="2"/>
      <c r="M355" s="2"/>
      <c r="N355" s="2"/>
    </row>
    <row r="356" spans="9:14" x14ac:dyDescent="0.3">
      <c r="I356" s="2"/>
      <c r="J356" s="2"/>
      <c r="K356" s="2"/>
      <c r="L356" s="2"/>
      <c r="M356" s="2"/>
      <c r="N356" s="2"/>
    </row>
    <row r="357" spans="9:14" x14ac:dyDescent="0.3">
      <c r="I357" s="2"/>
      <c r="J357" s="2"/>
      <c r="K357" s="2"/>
      <c r="L357" s="2"/>
      <c r="M357" s="2"/>
      <c r="N357" s="2"/>
    </row>
    <row r="358" spans="9:14" x14ac:dyDescent="0.3">
      <c r="I358" s="2"/>
      <c r="J358" s="2"/>
      <c r="K358" s="2"/>
      <c r="L358" s="2"/>
      <c r="M358" s="2"/>
      <c r="N358" s="2"/>
    </row>
    <row r="359" spans="9:14" x14ac:dyDescent="0.3">
      <c r="I359" s="2"/>
      <c r="J359" s="2"/>
      <c r="K359" s="2"/>
      <c r="L359" s="2"/>
      <c r="M359" s="2"/>
      <c r="N359" s="2"/>
    </row>
    <row r="360" spans="9:14" x14ac:dyDescent="0.3">
      <c r="I360" s="2"/>
      <c r="J360" s="2"/>
      <c r="K360" s="2"/>
      <c r="L360" s="2"/>
      <c r="M360" s="2"/>
      <c r="N360" s="2"/>
    </row>
    <row r="361" spans="9:14" x14ac:dyDescent="0.3">
      <c r="I361" s="2"/>
      <c r="J361" s="2"/>
      <c r="K361" s="2"/>
      <c r="L361" s="2"/>
      <c r="M361" s="2"/>
      <c r="N361" s="2"/>
    </row>
    <row r="362" spans="9:14" x14ac:dyDescent="0.3">
      <c r="I362" s="2"/>
      <c r="J362" s="2"/>
      <c r="K362" s="2"/>
      <c r="L362" s="2"/>
      <c r="M362" s="2"/>
      <c r="N362" s="2"/>
    </row>
    <row r="363" spans="9:14" x14ac:dyDescent="0.3">
      <c r="I363" s="2"/>
      <c r="J363" s="2"/>
      <c r="K363" s="2"/>
      <c r="L363" s="2"/>
      <c r="M363" s="2"/>
      <c r="N363" s="2"/>
    </row>
    <row r="364" spans="9:14" x14ac:dyDescent="0.3">
      <c r="I364" s="2"/>
      <c r="J364" s="2"/>
      <c r="K364" s="2"/>
      <c r="L364" s="2"/>
      <c r="M364" s="2"/>
      <c r="N364" s="2"/>
    </row>
    <row r="365" spans="9:14" x14ac:dyDescent="0.3">
      <c r="I365" s="2"/>
      <c r="J365" s="2"/>
      <c r="K365" s="2"/>
      <c r="L365" s="2"/>
      <c r="M365" s="2"/>
      <c r="N365" s="2"/>
    </row>
    <row r="366" spans="9:14" x14ac:dyDescent="0.3">
      <c r="I366" s="2"/>
      <c r="J366" s="2"/>
      <c r="K366" s="2"/>
      <c r="L366" s="2"/>
      <c r="M366" s="2"/>
      <c r="N366" s="2"/>
    </row>
    <row r="367" spans="9:14" x14ac:dyDescent="0.3">
      <c r="I367" s="2"/>
      <c r="J367" s="2"/>
      <c r="K367" s="2"/>
      <c r="L367" s="2"/>
      <c r="M367" s="2"/>
      <c r="N367" s="2"/>
    </row>
    <row r="368" spans="9:14" x14ac:dyDescent="0.3">
      <c r="I368" s="2"/>
      <c r="J368" s="2"/>
      <c r="K368" s="2"/>
      <c r="L368" s="2"/>
      <c r="M368" s="2"/>
      <c r="N368" s="2"/>
    </row>
    <row r="369" spans="9:14" x14ac:dyDescent="0.3">
      <c r="I369" s="2"/>
      <c r="J369" s="2"/>
      <c r="K369" s="2"/>
      <c r="L369" s="2"/>
      <c r="M369" s="2"/>
      <c r="N369" s="2"/>
    </row>
    <row r="370" spans="9:14" x14ac:dyDescent="0.3">
      <c r="I370" s="2"/>
      <c r="J370" s="2"/>
      <c r="K370" s="2"/>
      <c r="L370" s="2"/>
      <c r="M370" s="2"/>
      <c r="N370" s="2"/>
    </row>
    <row r="371" spans="9:14" x14ac:dyDescent="0.3">
      <c r="I371" s="2"/>
      <c r="J371" s="2"/>
      <c r="K371" s="2"/>
      <c r="L371" s="2"/>
      <c r="M371" s="2"/>
      <c r="N371" s="2"/>
    </row>
    <row r="372" spans="9:14" x14ac:dyDescent="0.3">
      <c r="I372" s="2"/>
      <c r="J372" s="2"/>
      <c r="K372" s="2"/>
      <c r="L372" s="2"/>
      <c r="M372" s="2"/>
      <c r="N372" s="2"/>
    </row>
    <row r="373" spans="9:14" x14ac:dyDescent="0.3">
      <c r="I373" s="2"/>
      <c r="J373" s="2"/>
      <c r="K373" s="2"/>
      <c r="L373" s="2"/>
      <c r="M373" s="2"/>
      <c r="N373" s="2"/>
    </row>
    <row r="374" spans="9:14" x14ac:dyDescent="0.3">
      <c r="I374" s="2"/>
      <c r="J374" s="2"/>
      <c r="K374" s="2"/>
      <c r="L374" s="2"/>
      <c r="M374" s="2"/>
      <c r="N374" s="2"/>
    </row>
    <row r="375" spans="9:14" x14ac:dyDescent="0.3">
      <c r="I375" s="2"/>
      <c r="J375" s="2"/>
      <c r="K375" s="2"/>
      <c r="L375" s="2"/>
      <c r="M375" s="2"/>
      <c r="N375" s="2"/>
    </row>
    <row r="376" spans="9:14" x14ac:dyDescent="0.3">
      <c r="I376" s="2"/>
      <c r="J376" s="2"/>
      <c r="K376" s="2"/>
      <c r="L376" s="2"/>
      <c r="M376" s="2"/>
      <c r="N376" s="2"/>
    </row>
    <row r="377" spans="9:14" x14ac:dyDescent="0.3">
      <c r="I377" s="2"/>
      <c r="J377" s="2"/>
      <c r="K377" s="2"/>
      <c r="L377" s="2"/>
      <c r="M377" s="2"/>
      <c r="N377" s="2"/>
    </row>
    <row r="378" spans="9:14" x14ac:dyDescent="0.3">
      <c r="I378" s="2"/>
      <c r="J378" s="2"/>
      <c r="K378" s="2"/>
      <c r="L378" s="2"/>
      <c r="M378" s="2"/>
      <c r="N378" s="2"/>
    </row>
    <row r="379" spans="9:14" x14ac:dyDescent="0.3">
      <c r="I379" s="2"/>
      <c r="J379" s="2"/>
      <c r="K379" s="2"/>
      <c r="L379" s="2"/>
      <c r="M379" s="2"/>
      <c r="N379" s="2"/>
    </row>
    <row r="380" spans="9:14" x14ac:dyDescent="0.3">
      <c r="I380" s="2"/>
      <c r="J380" s="2"/>
      <c r="K380" s="2"/>
      <c r="L380" s="2"/>
      <c r="M380" s="2"/>
      <c r="N380" s="2"/>
    </row>
    <row r="381" spans="9:14" x14ac:dyDescent="0.3">
      <c r="I381" s="2"/>
      <c r="J381" s="2"/>
      <c r="K381" s="2"/>
      <c r="L381" s="2"/>
      <c r="M381" s="2"/>
      <c r="N381" s="2"/>
    </row>
    <row r="382" spans="9:14" x14ac:dyDescent="0.3">
      <c r="I382" s="2"/>
      <c r="J382" s="2"/>
      <c r="K382" s="2"/>
      <c r="L382" s="2"/>
      <c r="M382" s="2"/>
      <c r="N382" s="2"/>
    </row>
    <row r="383" spans="9:14" x14ac:dyDescent="0.3">
      <c r="I383" s="2"/>
      <c r="J383" s="2"/>
      <c r="K383" s="2"/>
      <c r="L383" s="2"/>
      <c r="M383" s="2"/>
      <c r="N383" s="2"/>
    </row>
    <row r="384" spans="9:14" x14ac:dyDescent="0.3">
      <c r="I384" s="2"/>
      <c r="J384" s="2"/>
      <c r="K384" s="2"/>
      <c r="L384" s="2"/>
      <c r="M384" s="2"/>
      <c r="N384" s="2"/>
    </row>
    <row r="385" spans="9:14" x14ac:dyDescent="0.3">
      <c r="I385" s="2"/>
      <c r="J385" s="2"/>
      <c r="K385" s="2"/>
      <c r="L385" s="2"/>
      <c r="M385" s="2"/>
      <c r="N385" s="2"/>
    </row>
    <row r="386" spans="9:14" x14ac:dyDescent="0.3">
      <c r="I386" s="2"/>
      <c r="J386" s="2"/>
      <c r="K386" s="2"/>
      <c r="L386" s="2"/>
      <c r="M386" s="2"/>
      <c r="N386" s="2"/>
    </row>
    <row r="387" spans="9:14" x14ac:dyDescent="0.3">
      <c r="I387" s="2"/>
      <c r="J387" s="2"/>
      <c r="K387" s="2"/>
      <c r="L387" s="2"/>
      <c r="M387" s="2"/>
      <c r="N387" s="2"/>
    </row>
    <row r="388" spans="9:14" x14ac:dyDescent="0.3">
      <c r="I388" s="2"/>
      <c r="J388" s="2"/>
      <c r="K388" s="2"/>
      <c r="L388" s="2"/>
      <c r="M388" s="2"/>
      <c r="N388" s="2"/>
    </row>
    <row r="389" spans="9:14" x14ac:dyDescent="0.3">
      <c r="I389" s="2"/>
      <c r="J389" s="2"/>
      <c r="K389" s="2"/>
      <c r="L389" s="2"/>
      <c r="M389" s="2"/>
      <c r="N389" s="2"/>
    </row>
    <row r="390" spans="9:14" x14ac:dyDescent="0.3">
      <c r="I390" s="2"/>
      <c r="J390" s="2"/>
      <c r="K390" s="2"/>
      <c r="L390" s="2"/>
      <c r="M390" s="2"/>
      <c r="N390" s="2"/>
    </row>
    <row r="391" spans="9:14" x14ac:dyDescent="0.3">
      <c r="I391" s="2"/>
      <c r="J391" s="2"/>
      <c r="K391" s="2"/>
      <c r="L391" s="2"/>
      <c r="M391" s="2"/>
      <c r="N391" s="2"/>
    </row>
    <row r="392" spans="9:14" x14ac:dyDescent="0.3">
      <c r="I392" s="2"/>
      <c r="J392" s="2"/>
      <c r="K392" s="2"/>
      <c r="L392" s="2"/>
      <c r="M392" s="2"/>
      <c r="N392" s="2"/>
    </row>
    <row r="393" spans="9:14" x14ac:dyDescent="0.3">
      <c r="I393" s="2"/>
      <c r="J393" s="2"/>
      <c r="K393" s="2"/>
      <c r="L393" s="2"/>
      <c r="M393" s="2"/>
      <c r="N393" s="2"/>
    </row>
    <row r="394" spans="9:14" x14ac:dyDescent="0.3">
      <c r="I394" s="2"/>
      <c r="J394" s="2"/>
      <c r="K394" s="2"/>
      <c r="L394" s="2"/>
      <c r="M394" s="2"/>
      <c r="N394" s="2"/>
    </row>
    <row r="395" spans="9:14" x14ac:dyDescent="0.3">
      <c r="I395" s="2"/>
      <c r="J395" s="2"/>
      <c r="K395" s="2"/>
      <c r="L395" s="2"/>
      <c r="M395" s="2"/>
      <c r="N395" s="2"/>
    </row>
    <row r="396" spans="9:14" x14ac:dyDescent="0.3">
      <c r="I396" s="2"/>
      <c r="J396" s="2"/>
      <c r="K396" s="2"/>
      <c r="L396" s="2"/>
      <c r="M396" s="2"/>
      <c r="N396" s="2"/>
    </row>
    <row r="397" spans="9:14" x14ac:dyDescent="0.3">
      <c r="I397" s="2"/>
      <c r="J397" s="2"/>
      <c r="K397" s="2"/>
      <c r="L397" s="2"/>
      <c r="M397" s="2"/>
      <c r="N397" s="2"/>
    </row>
    <row r="398" spans="9:14" x14ac:dyDescent="0.3">
      <c r="I398" s="2"/>
      <c r="J398" s="2"/>
      <c r="K398" s="2"/>
      <c r="L398" s="2"/>
      <c r="M398" s="2"/>
      <c r="N398" s="2"/>
    </row>
    <row r="399" spans="9:14" x14ac:dyDescent="0.3">
      <c r="I399" s="2"/>
      <c r="J399" s="2"/>
      <c r="K399" s="2"/>
      <c r="L399" s="2"/>
      <c r="M399" s="2"/>
      <c r="N399" s="2"/>
    </row>
    <row r="400" spans="9:14" x14ac:dyDescent="0.3">
      <c r="I400" s="2"/>
      <c r="J400" s="2"/>
      <c r="K400" s="2"/>
      <c r="L400" s="2"/>
      <c r="M400" s="2"/>
      <c r="N400" s="2"/>
    </row>
    <row r="401" spans="9:14" x14ac:dyDescent="0.3">
      <c r="I401" s="2"/>
      <c r="J401" s="2"/>
      <c r="K401" s="2"/>
      <c r="L401" s="2"/>
      <c r="M401" s="2"/>
      <c r="N401" s="2"/>
    </row>
    <row r="402" spans="9:14" x14ac:dyDescent="0.3">
      <c r="I402" s="2"/>
      <c r="J402" s="2"/>
      <c r="K402" s="2"/>
      <c r="L402" s="2"/>
      <c r="M402" s="2"/>
      <c r="N402" s="2"/>
    </row>
    <row r="403" spans="9:14" x14ac:dyDescent="0.3">
      <c r="I403" s="2"/>
      <c r="J403" s="2"/>
      <c r="K403" s="2"/>
      <c r="L403" s="2"/>
      <c r="M403" s="2"/>
      <c r="N403" s="2"/>
    </row>
    <row r="404" spans="9:14" x14ac:dyDescent="0.3">
      <c r="I404" s="2"/>
      <c r="J404" s="2"/>
      <c r="K404" s="2"/>
      <c r="L404" s="2"/>
      <c r="M404" s="2"/>
      <c r="N404" s="2"/>
    </row>
    <row r="405" spans="9:14" x14ac:dyDescent="0.3">
      <c r="I405" s="2"/>
      <c r="J405" s="2"/>
      <c r="K405" s="2"/>
      <c r="L405" s="2"/>
      <c r="M405" s="2"/>
      <c r="N405" s="2"/>
    </row>
    <row r="406" spans="9:14" x14ac:dyDescent="0.3">
      <c r="I406" s="2"/>
      <c r="J406" s="2"/>
      <c r="K406" s="2"/>
      <c r="L406" s="2"/>
      <c r="M406" s="2"/>
      <c r="N406" s="2"/>
    </row>
    <row r="407" spans="9:14" x14ac:dyDescent="0.3">
      <c r="I407" s="2"/>
      <c r="J407" s="2"/>
      <c r="K407" s="2"/>
      <c r="L407" s="2"/>
      <c r="M407" s="2"/>
      <c r="N407" s="2"/>
    </row>
    <row r="408" spans="9:14" x14ac:dyDescent="0.3">
      <c r="I408" s="2"/>
      <c r="J408" s="2"/>
      <c r="K408" s="2"/>
      <c r="L408" s="2"/>
      <c r="M408" s="2"/>
      <c r="N408" s="2"/>
    </row>
    <row r="409" spans="9:14" x14ac:dyDescent="0.3">
      <c r="I409" s="2"/>
      <c r="J409" s="2"/>
      <c r="K409" s="2"/>
      <c r="L409" s="2"/>
      <c r="M409" s="2"/>
      <c r="N409" s="2"/>
    </row>
    <row r="410" spans="9:14" x14ac:dyDescent="0.3">
      <c r="I410" s="2"/>
      <c r="J410" s="2"/>
      <c r="K410" s="2"/>
      <c r="L410" s="2"/>
      <c r="M410" s="2"/>
      <c r="N410" s="2"/>
    </row>
    <row r="411" spans="9:14" x14ac:dyDescent="0.3">
      <c r="I411" s="2"/>
      <c r="J411" s="2"/>
      <c r="K411" s="2"/>
      <c r="L411" s="2"/>
      <c r="M411" s="2"/>
      <c r="N411" s="2"/>
    </row>
    <row r="412" spans="9:14" x14ac:dyDescent="0.3">
      <c r="I412" s="2"/>
      <c r="J412" s="2"/>
      <c r="K412" s="2"/>
      <c r="L412" s="2"/>
      <c r="M412" s="2"/>
      <c r="N412" s="2"/>
    </row>
    <row r="413" spans="9:14" x14ac:dyDescent="0.3">
      <c r="I413" s="2"/>
      <c r="J413" s="2"/>
      <c r="K413" s="2"/>
      <c r="L413" s="2"/>
      <c r="M413" s="2"/>
      <c r="N413" s="2"/>
    </row>
    <row r="414" spans="9:14" x14ac:dyDescent="0.3">
      <c r="I414" s="2"/>
      <c r="J414" s="2"/>
      <c r="K414" s="2"/>
      <c r="L414" s="2"/>
      <c r="M414" s="2"/>
      <c r="N414" s="2"/>
    </row>
    <row r="415" spans="9:14" x14ac:dyDescent="0.3">
      <c r="I415" s="2"/>
      <c r="J415" s="2"/>
      <c r="K415" s="2"/>
      <c r="L415" s="2"/>
      <c r="M415" s="2"/>
      <c r="N415" s="2"/>
    </row>
    <row r="416" spans="9:14" x14ac:dyDescent="0.3">
      <c r="I416" s="2"/>
      <c r="J416" s="2"/>
      <c r="K416" s="2"/>
      <c r="L416" s="2"/>
      <c r="M416" s="2"/>
      <c r="N416" s="2"/>
    </row>
    <row r="417" spans="9:14" x14ac:dyDescent="0.3">
      <c r="I417" s="2"/>
      <c r="J417" s="2"/>
      <c r="K417" s="2"/>
      <c r="L417" s="2"/>
      <c r="M417" s="2"/>
      <c r="N417" s="2"/>
    </row>
    <row r="418" spans="9:14" x14ac:dyDescent="0.3">
      <c r="I418" s="2"/>
      <c r="J418" s="2"/>
      <c r="K418" s="2"/>
      <c r="L418" s="2"/>
      <c r="M418" s="2"/>
      <c r="N418" s="2"/>
    </row>
    <row r="419" spans="9:14" x14ac:dyDescent="0.3">
      <c r="I419" s="2"/>
      <c r="J419" s="2"/>
      <c r="K419" s="2"/>
      <c r="L419" s="2"/>
      <c r="M419" s="2"/>
      <c r="N419" s="2"/>
    </row>
    <row r="420" spans="9:14" x14ac:dyDescent="0.3">
      <c r="I420" s="2"/>
      <c r="J420" s="2"/>
      <c r="K420" s="2"/>
      <c r="L420" s="2"/>
      <c r="M420" s="2"/>
      <c r="N420" s="2"/>
    </row>
    <row r="421" spans="9:14" x14ac:dyDescent="0.3">
      <c r="I421" s="2"/>
      <c r="J421" s="2"/>
      <c r="K421" s="2"/>
      <c r="L421" s="2"/>
      <c r="M421" s="2"/>
      <c r="N421" s="2"/>
    </row>
    <row r="422" spans="9:14" x14ac:dyDescent="0.3">
      <c r="I422" s="2"/>
      <c r="J422" s="2"/>
      <c r="K422" s="2"/>
      <c r="L422" s="2"/>
      <c r="M422" s="2"/>
      <c r="N422" s="2"/>
    </row>
    <row r="423" spans="9:14" x14ac:dyDescent="0.3">
      <c r="I423" s="2"/>
      <c r="J423" s="2"/>
      <c r="K423" s="2"/>
      <c r="L423" s="2"/>
      <c r="M423" s="2"/>
      <c r="N423" s="2"/>
    </row>
    <row r="424" spans="9:14" x14ac:dyDescent="0.3">
      <c r="I424" s="2"/>
      <c r="J424" s="2"/>
      <c r="K424" s="2"/>
      <c r="L424" s="2"/>
      <c r="M424" s="2"/>
      <c r="N424" s="2"/>
    </row>
    <row r="425" spans="9:14" x14ac:dyDescent="0.3">
      <c r="I425" s="2"/>
      <c r="J425" s="2"/>
      <c r="K425" s="2"/>
      <c r="L425" s="2"/>
      <c r="M425" s="2"/>
      <c r="N425" s="2"/>
    </row>
    <row r="426" spans="9:14" x14ac:dyDescent="0.3">
      <c r="I426" s="2"/>
      <c r="J426" s="2"/>
      <c r="K426" s="2"/>
      <c r="L426" s="2"/>
      <c r="M426" s="2"/>
      <c r="N426" s="2"/>
    </row>
    <row r="427" spans="9:14" x14ac:dyDescent="0.3">
      <c r="I427" s="2"/>
      <c r="J427" s="2"/>
      <c r="K427" s="2"/>
      <c r="L427" s="2"/>
      <c r="M427" s="2"/>
      <c r="N427" s="2"/>
    </row>
    <row r="428" spans="9:14" x14ac:dyDescent="0.3">
      <c r="I428" s="2"/>
      <c r="J428" s="2"/>
      <c r="K428" s="2"/>
      <c r="L428" s="2"/>
      <c r="M428" s="2"/>
      <c r="N428" s="2"/>
    </row>
    <row r="429" spans="9:14" x14ac:dyDescent="0.3">
      <c r="I429" s="2"/>
      <c r="J429" s="2"/>
      <c r="K429" s="2"/>
      <c r="L429" s="2"/>
      <c r="M429" s="2"/>
      <c r="N429" s="2"/>
    </row>
    <row r="430" spans="9:14" x14ac:dyDescent="0.3">
      <c r="I430" s="2"/>
      <c r="J430" s="2"/>
      <c r="K430" s="2"/>
      <c r="L430" s="2"/>
      <c r="M430" s="2"/>
      <c r="N430" s="2"/>
    </row>
    <row r="431" spans="9:14" x14ac:dyDescent="0.3">
      <c r="I431" s="2"/>
      <c r="J431" s="2"/>
      <c r="K431" s="2"/>
      <c r="L431" s="2"/>
      <c r="M431" s="2"/>
      <c r="N431" s="2"/>
    </row>
    <row r="432" spans="9:14" x14ac:dyDescent="0.3">
      <c r="I432" s="2"/>
      <c r="J432" s="2"/>
      <c r="K432" s="2"/>
      <c r="L432" s="2"/>
      <c r="M432" s="2"/>
      <c r="N432" s="2"/>
    </row>
    <row r="433" spans="9:14" x14ac:dyDescent="0.3">
      <c r="I433" s="2"/>
      <c r="J433" s="2"/>
      <c r="K433" s="2"/>
      <c r="L433" s="2"/>
      <c r="M433" s="2"/>
      <c r="N433" s="2"/>
    </row>
    <row r="434" spans="9:14" x14ac:dyDescent="0.3">
      <c r="I434" s="2"/>
      <c r="J434" s="2"/>
      <c r="K434" s="2"/>
      <c r="L434" s="2"/>
      <c r="M434" s="2"/>
      <c r="N434" s="2"/>
    </row>
    <row r="435" spans="9:14" x14ac:dyDescent="0.3">
      <c r="I435" s="2"/>
      <c r="J435" s="2"/>
      <c r="K435" s="2"/>
      <c r="L435" s="2"/>
      <c r="M435" s="2"/>
      <c r="N435" s="2"/>
    </row>
    <row r="436" spans="9:14" x14ac:dyDescent="0.3">
      <c r="I436" s="2"/>
      <c r="J436" s="2"/>
      <c r="K436" s="2"/>
      <c r="L436" s="2"/>
      <c r="M436" s="2"/>
      <c r="N436" s="2"/>
    </row>
    <row r="437" spans="9:14" x14ac:dyDescent="0.3">
      <c r="I437" s="2"/>
      <c r="J437" s="2"/>
      <c r="K437" s="2"/>
      <c r="L437" s="2"/>
      <c r="M437" s="2"/>
      <c r="N437" s="2"/>
    </row>
    <row r="438" spans="9:14" x14ac:dyDescent="0.3">
      <c r="I438" s="2"/>
      <c r="J438" s="2"/>
      <c r="K438" s="2"/>
      <c r="L438" s="2"/>
      <c r="M438" s="2"/>
      <c r="N438" s="2"/>
    </row>
    <row r="439" spans="9:14" x14ac:dyDescent="0.3">
      <c r="I439" s="2"/>
      <c r="J439" s="2"/>
      <c r="K439" s="2"/>
      <c r="L439" s="2"/>
      <c r="M439" s="2"/>
      <c r="N439" s="2"/>
    </row>
    <row r="440" spans="9:14" x14ac:dyDescent="0.3">
      <c r="I440" s="2"/>
      <c r="J440" s="2"/>
      <c r="K440" s="2"/>
      <c r="L440" s="2"/>
      <c r="M440" s="2"/>
      <c r="N440" s="2"/>
    </row>
    <row r="441" spans="9:14" x14ac:dyDescent="0.3">
      <c r="I441" s="2"/>
      <c r="J441" s="2"/>
      <c r="K441" s="2"/>
      <c r="L441" s="2"/>
      <c r="M441" s="2"/>
      <c r="N441" s="2"/>
    </row>
    <row r="442" spans="9:14" x14ac:dyDescent="0.3">
      <c r="I442" s="2"/>
      <c r="J442" s="2"/>
      <c r="K442" s="2"/>
      <c r="L442" s="2"/>
      <c r="M442" s="2"/>
      <c r="N442" s="2"/>
    </row>
    <row r="443" spans="9:14" x14ac:dyDescent="0.3">
      <c r="I443" s="2"/>
      <c r="J443" s="2"/>
      <c r="K443" s="2"/>
      <c r="L443" s="2"/>
      <c r="M443" s="2"/>
      <c r="N443" s="2"/>
    </row>
    <row r="444" spans="9:14" x14ac:dyDescent="0.3">
      <c r="I444" s="2"/>
      <c r="J444" s="2"/>
      <c r="K444" s="2"/>
      <c r="L444" s="2"/>
      <c r="M444" s="2"/>
      <c r="N444" s="2"/>
    </row>
    <row r="445" spans="9:14" x14ac:dyDescent="0.3">
      <c r="I445" s="2"/>
      <c r="J445" s="2"/>
      <c r="K445" s="2"/>
      <c r="L445" s="2"/>
      <c r="M445" s="2"/>
      <c r="N445" s="2"/>
    </row>
    <row r="446" spans="9:14" x14ac:dyDescent="0.3">
      <c r="I446" s="2"/>
      <c r="J446" s="2"/>
      <c r="K446" s="2"/>
      <c r="L446" s="2"/>
      <c r="M446" s="2"/>
      <c r="N446" s="2"/>
    </row>
    <row r="447" spans="9:14" x14ac:dyDescent="0.3">
      <c r="I447" s="2"/>
      <c r="J447" s="2"/>
      <c r="K447" s="2"/>
      <c r="L447" s="2"/>
      <c r="M447" s="2"/>
      <c r="N447" s="2"/>
    </row>
    <row r="448" spans="9:14" x14ac:dyDescent="0.3">
      <c r="I448" s="2"/>
      <c r="J448" s="2"/>
      <c r="K448" s="2"/>
      <c r="L448" s="2"/>
      <c r="M448" s="2"/>
      <c r="N448" s="2"/>
    </row>
    <row r="449" spans="9:14" x14ac:dyDescent="0.3">
      <c r="I449" s="2"/>
      <c r="J449" s="2"/>
      <c r="K449" s="2"/>
      <c r="L449" s="2"/>
      <c r="M449" s="2"/>
      <c r="N449" s="2"/>
    </row>
    <row r="450" spans="9:14" x14ac:dyDescent="0.3">
      <c r="I450" s="2"/>
      <c r="J450" s="2"/>
      <c r="K450" s="2"/>
      <c r="L450" s="2"/>
      <c r="M450" s="2"/>
      <c r="N450" s="2"/>
    </row>
    <row r="451" spans="9:14" x14ac:dyDescent="0.3">
      <c r="I451" s="2"/>
      <c r="J451" s="2"/>
      <c r="K451" s="2"/>
      <c r="L451" s="2"/>
      <c r="M451" s="2"/>
      <c r="N451" s="2"/>
    </row>
    <row r="452" spans="9:14" x14ac:dyDescent="0.3">
      <c r="I452" s="2"/>
      <c r="J452" s="2"/>
      <c r="K452" s="2"/>
      <c r="L452" s="2"/>
      <c r="M452" s="2"/>
      <c r="N452" s="2"/>
    </row>
    <row r="453" spans="9:14" x14ac:dyDescent="0.3">
      <c r="I453" s="2"/>
      <c r="J453" s="2"/>
      <c r="K453" s="2"/>
      <c r="L453" s="2"/>
      <c r="M453" s="2"/>
      <c r="N453" s="2"/>
    </row>
    <row r="454" spans="9:14" x14ac:dyDescent="0.3">
      <c r="I454" s="2"/>
      <c r="J454" s="2"/>
      <c r="K454" s="2"/>
      <c r="L454" s="2"/>
      <c r="M454" s="2"/>
      <c r="N454" s="2"/>
    </row>
    <row r="455" spans="9:14" x14ac:dyDescent="0.3">
      <c r="I455" s="2"/>
      <c r="J455" s="2"/>
      <c r="K455" s="2"/>
      <c r="L455" s="2"/>
      <c r="M455" s="2"/>
      <c r="N455" s="2"/>
    </row>
    <row r="456" spans="9:14" x14ac:dyDescent="0.3">
      <c r="I456" s="2"/>
      <c r="J456" s="2"/>
      <c r="K456" s="2"/>
      <c r="L456" s="2"/>
      <c r="M456" s="2"/>
      <c r="N456" s="2"/>
    </row>
    <row r="457" spans="9:14" x14ac:dyDescent="0.3">
      <c r="I457" s="2"/>
      <c r="J457" s="2"/>
      <c r="K457" s="2"/>
      <c r="L457" s="2"/>
      <c r="M457" s="2"/>
      <c r="N457" s="2"/>
    </row>
    <row r="458" spans="9:14" x14ac:dyDescent="0.3">
      <c r="I458" s="2"/>
      <c r="J458" s="2"/>
      <c r="K458" s="2"/>
      <c r="L458" s="2"/>
      <c r="M458" s="2"/>
      <c r="N458" s="2"/>
    </row>
    <row r="459" spans="9:14" x14ac:dyDescent="0.3">
      <c r="I459" s="2"/>
      <c r="J459" s="2"/>
      <c r="K459" s="2"/>
      <c r="L459" s="2"/>
      <c r="M459" s="2"/>
      <c r="N459" s="2"/>
    </row>
    <row r="460" spans="9:14" x14ac:dyDescent="0.3">
      <c r="I460" s="2"/>
      <c r="J460" s="2"/>
      <c r="K460" s="2"/>
      <c r="L460" s="2"/>
      <c r="M460" s="2"/>
      <c r="N460" s="2"/>
    </row>
    <row r="461" spans="9:14" x14ac:dyDescent="0.3">
      <c r="I461" s="2"/>
      <c r="J461" s="2"/>
      <c r="K461" s="2"/>
      <c r="L461" s="2"/>
      <c r="M461" s="2"/>
      <c r="N461" s="2"/>
    </row>
    <row r="462" spans="9:14" x14ac:dyDescent="0.3">
      <c r="I462" s="2"/>
      <c r="J462" s="2"/>
      <c r="K462" s="2"/>
      <c r="L462" s="2"/>
      <c r="M462" s="2"/>
      <c r="N462" s="2"/>
    </row>
    <row r="463" spans="9:14" x14ac:dyDescent="0.3">
      <c r="I463" s="2"/>
      <c r="J463" s="2"/>
      <c r="K463" s="2"/>
      <c r="L463" s="2"/>
      <c r="M463" s="2"/>
      <c r="N463" s="2"/>
    </row>
    <row r="464" spans="9:14" x14ac:dyDescent="0.3">
      <c r="I464" s="2"/>
      <c r="J464" s="2"/>
      <c r="K464" s="2"/>
      <c r="L464" s="2"/>
      <c r="M464" s="2"/>
      <c r="N464" s="2"/>
    </row>
    <row r="465" spans="9:14" x14ac:dyDescent="0.3">
      <c r="I465" s="2"/>
      <c r="J465" s="2"/>
      <c r="K465" s="2"/>
      <c r="L465" s="2"/>
      <c r="M465" s="2"/>
      <c r="N465" s="2"/>
    </row>
    <row r="466" spans="9:14" x14ac:dyDescent="0.3">
      <c r="I466" s="2"/>
      <c r="J466" s="2"/>
      <c r="K466" s="2"/>
      <c r="L466" s="2"/>
      <c r="M466" s="2"/>
      <c r="N466" s="2"/>
    </row>
    <row r="467" spans="9:14" x14ac:dyDescent="0.3">
      <c r="I467" s="2"/>
      <c r="J467" s="2"/>
      <c r="K467" s="2"/>
      <c r="L467" s="2"/>
      <c r="M467" s="2"/>
      <c r="N467" s="2"/>
    </row>
    <row r="468" spans="9:14" x14ac:dyDescent="0.3">
      <c r="I468" s="2"/>
      <c r="J468" s="2"/>
      <c r="K468" s="2"/>
      <c r="L468" s="2"/>
      <c r="M468" s="2"/>
      <c r="N468" s="2"/>
    </row>
    <row r="469" spans="9:14" x14ac:dyDescent="0.3">
      <c r="I469" s="2"/>
      <c r="J469" s="2"/>
      <c r="K469" s="2"/>
      <c r="L469" s="2"/>
      <c r="M469" s="2"/>
      <c r="N469" s="2"/>
    </row>
    <row r="470" spans="9:14" x14ac:dyDescent="0.3">
      <c r="I470" s="2"/>
      <c r="J470" s="2"/>
      <c r="K470" s="2"/>
      <c r="L470" s="2"/>
      <c r="M470" s="2"/>
      <c r="N470" s="2"/>
    </row>
    <row r="471" spans="9:14" x14ac:dyDescent="0.3">
      <c r="I471" s="2"/>
      <c r="J471" s="2"/>
      <c r="K471" s="2"/>
      <c r="L471" s="2"/>
      <c r="M471" s="2"/>
      <c r="N471" s="2"/>
    </row>
    <row r="472" spans="9:14" x14ac:dyDescent="0.3">
      <c r="I472" s="2"/>
      <c r="J472" s="2"/>
      <c r="K472" s="2"/>
      <c r="L472" s="2"/>
      <c r="M472" s="2"/>
      <c r="N472" s="2"/>
    </row>
    <row r="473" spans="9:14" x14ac:dyDescent="0.3">
      <c r="I473" s="2"/>
      <c r="J473" s="2"/>
      <c r="K473" s="2"/>
      <c r="L473" s="2"/>
      <c r="M473" s="2"/>
      <c r="N473" s="2"/>
    </row>
    <row r="474" spans="9:14" x14ac:dyDescent="0.3">
      <c r="I474" s="2"/>
      <c r="J474" s="2"/>
      <c r="K474" s="2"/>
      <c r="L474" s="2"/>
      <c r="M474" s="2"/>
      <c r="N474" s="2"/>
    </row>
    <row r="475" spans="9:14" x14ac:dyDescent="0.3">
      <c r="I475" s="2"/>
      <c r="J475" s="2"/>
      <c r="K475" s="2"/>
      <c r="L475" s="2"/>
      <c r="M475" s="2"/>
      <c r="N475" s="2"/>
    </row>
    <row r="476" spans="9:14" x14ac:dyDescent="0.3">
      <c r="I476" s="2"/>
      <c r="J476" s="2"/>
      <c r="K476" s="2"/>
      <c r="L476" s="2"/>
      <c r="M476" s="2"/>
      <c r="N476" s="2"/>
    </row>
    <row r="477" spans="9:14" x14ac:dyDescent="0.3">
      <c r="I477" s="2"/>
      <c r="J477" s="2"/>
      <c r="K477" s="2"/>
      <c r="L477" s="2"/>
      <c r="M477" s="2"/>
      <c r="N477" s="2"/>
    </row>
    <row r="478" spans="9:14" x14ac:dyDescent="0.3">
      <c r="I478" s="2"/>
      <c r="J478" s="2"/>
      <c r="K478" s="2"/>
      <c r="L478" s="2"/>
      <c r="M478" s="2"/>
      <c r="N478" s="2"/>
    </row>
    <row r="479" spans="9:14" x14ac:dyDescent="0.3">
      <c r="I479" s="2"/>
      <c r="J479" s="2"/>
      <c r="K479" s="2"/>
      <c r="L479" s="2"/>
      <c r="M479" s="2"/>
      <c r="N479" s="2"/>
    </row>
    <row r="480" spans="9:14" x14ac:dyDescent="0.3">
      <c r="I480" s="2"/>
      <c r="J480" s="2"/>
      <c r="K480" s="2"/>
      <c r="L480" s="2"/>
      <c r="M480" s="2"/>
      <c r="N480" s="2"/>
    </row>
    <row r="481" spans="9:14" x14ac:dyDescent="0.3">
      <c r="I481" s="2"/>
      <c r="J481" s="2"/>
      <c r="K481" s="2"/>
      <c r="L481" s="2"/>
      <c r="M481" s="2"/>
      <c r="N481" s="2"/>
    </row>
    <row r="482" spans="9:14" x14ac:dyDescent="0.3">
      <c r="I482" s="2"/>
      <c r="J482" s="2"/>
      <c r="K482" s="2"/>
      <c r="L482" s="2"/>
      <c r="M482" s="2"/>
      <c r="N482" s="2"/>
    </row>
    <row r="483" spans="9:14" x14ac:dyDescent="0.3">
      <c r="I483" s="2"/>
      <c r="J483" s="2"/>
      <c r="K483" s="2"/>
      <c r="L483" s="2"/>
      <c r="M483" s="2"/>
      <c r="N483" s="2"/>
    </row>
    <row r="484" spans="9:14" x14ac:dyDescent="0.3">
      <c r="I484" s="2"/>
      <c r="J484" s="2"/>
      <c r="K484" s="2"/>
      <c r="L484" s="2"/>
      <c r="M484" s="2"/>
      <c r="N484" s="2"/>
    </row>
    <row r="485" spans="9:14" x14ac:dyDescent="0.3">
      <c r="I485" s="2"/>
      <c r="J485" s="2"/>
      <c r="K485" s="2"/>
      <c r="L485" s="2"/>
      <c r="M485" s="2"/>
      <c r="N485" s="2"/>
    </row>
    <row r="486" spans="9:14" x14ac:dyDescent="0.3">
      <c r="I486" s="2"/>
      <c r="J486" s="2"/>
      <c r="K486" s="2"/>
      <c r="L486" s="2"/>
      <c r="M486" s="2"/>
      <c r="N486" s="2"/>
    </row>
    <row r="487" spans="9:14" x14ac:dyDescent="0.3">
      <c r="I487" s="2"/>
      <c r="J487" s="2"/>
      <c r="K487" s="2"/>
      <c r="L487" s="2"/>
      <c r="M487" s="2"/>
      <c r="N487" s="2"/>
    </row>
    <row r="488" spans="9:14" x14ac:dyDescent="0.3">
      <c r="I488" s="2"/>
      <c r="J488" s="2"/>
      <c r="K488" s="2"/>
      <c r="L488" s="2"/>
      <c r="M488" s="2"/>
      <c r="N488" s="2"/>
    </row>
    <row r="489" spans="9:14" x14ac:dyDescent="0.3">
      <c r="I489" s="2"/>
      <c r="J489" s="2"/>
      <c r="K489" s="2"/>
      <c r="L489" s="2"/>
      <c r="M489" s="2"/>
      <c r="N489" s="2"/>
    </row>
    <row r="490" spans="9:14" x14ac:dyDescent="0.3">
      <c r="I490" s="2"/>
      <c r="J490" s="2"/>
      <c r="K490" s="2"/>
      <c r="L490" s="2"/>
      <c r="M490" s="2"/>
      <c r="N490" s="2"/>
    </row>
    <row r="491" spans="9:14" x14ac:dyDescent="0.3">
      <c r="I491" s="2"/>
      <c r="J491" s="2"/>
      <c r="K491" s="2"/>
      <c r="L491" s="2"/>
      <c r="M491" s="2"/>
      <c r="N491" s="2"/>
    </row>
    <row r="492" spans="9:14" x14ac:dyDescent="0.3">
      <c r="I492" s="2"/>
      <c r="J492" s="2"/>
      <c r="K492" s="2"/>
      <c r="L492" s="2"/>
      <c r="M492" s="2"/>
      <c r="N492" s="2"/>
    </row>
    <row r="493" spans="9:14" x14ac:dyDescent="0.3">
      <c r="I493" s="2"/>
      <c r="J493" s="2"/>
      <c r="K493" s="2"/>
      <c r="L493" s="2"/>
      <c r="M493" s="2"/>
      <c r="N493" s="2"/>
    </row>
    <row r="494" spans="9:14" x14ac:dyDescent="0.3">
      <c r="I494" s="2"/>
      <c r="J494" s="2"/>
      <c r="K494" s="2"/>
      <c r="L494" s="2"/>
      <c r="M494" s="2"/>
      <c r="N494" s="2"/>
    </row>
    <row r="495" spans="9:14" x14ac:dyDescent="0.3">
      <c r="I495" s="2"/>
      <c r="J495" s="2"/>
      <c r="K495" s="2"/>
      <c r="L495" s="2"/>
      <c r="M495" s="2"/>
      <c r="N495" s="2"/>
    </row>
    <row r="496" spans="9:14" x14ac:dyDescent="0.3">
      <c r="I496" s="2"/>
      <c r="J496" s="2"/>
      <c r="K496" s="2"/>
      <c r="L496" s="2"/>
      <c r="M496" s="2"/>
      <c r="N496" s="2"/>
    </row>
    <row r="497" spans="9:14" x14ac:dyDescent="0.3">
      <c r="I497" s="2"/>
      <c r="J497" s="2"/>
      <c r="K497" s="2"/>
      <c r="L497" s="2"/>
      <c r="M497" s="2"/>
      <c r="N497" s="2"/>
    </row>
    <row r="498" spans="9:14" x14ac:dyDescent="0.3">
      <c r="I498" s="2"/>
      <c r="J498" s="2"/>
      <c r="K498" s="2"/>
      <c r="L498" s="2"/>
      <c r="M498" s="2"/>
      <c r="N498" s="2"/>
    </row>
    <row r="499" spans="9:14" x14ac:dyDescent="0.3">
      <c r="I499" s="2"/>
      <c r="J499" s="2"/>
      <c r="K499" s="2"/>
      <c r="L499" s="2"/>
      <c r="M499" s="2"/>
      <c r="N499" s="2"/>
    </row>
    <row r="500" spans="9:14" x14ac:dyDescent="0.3">
      <c r="I500" s="2"/>
      <c r="J500" s="2"/>
      <c r="K500" s="2"/>
      <c r="L500" s="2"/>
      <c r="M500" s="2"/>
      <c r="N500" s="2"/>
    </row>
    <row r="501" spans="9:14" x14ac:dyDescent="0.3">
      <c r="I501" s="2"/>
      <c r="J501" s="2"/>
      <c r="K501" s="2"/>
      <c r="L501" s="2"/>
      <c r="M501" s="2"/>
      <c r="N501" s="2"/>
    </row>
    <row r="502" spans="9:14" x14ac:dyDescent="0.3">
      <c r="I502" s="2"/>
      <c r="J502" s="2"/>
      <c r="K502" s="2"/>
      <c r="L502" s="2"/>
      <c r="M502" s="2"/>
      <c r="N502" s="2"/>
    </row>
    <row r="503" spans="9:14" x14ac:dyDescent="0.3">
      <c r="I503" s="2"/>
      <c r="J503" s="2"/>
      <c r="K503" s="2"/>
      <c r="L503" s="2"/>
      <c r="M503" s="2"/>
      <c r="N503" s="2"/>
    </row>
    <row r="504" spans="9:14" x14ac:dyDescent="0.3">
      <c r="I504" s="2"/>
      <c r="J504" s="2"/>
      <c r="K504" s="2"/>
      <c r="L504" s="2"/>
      <c r="M504" s="2"/>
      <c r="N504" s="2"/>
    </row>
    <row r="505" spans="9:14" x14ac:dyDescent="0.3">
      <c r="I505" s="2"/>
      <c r="J505" s="2"/>
      <c r="K505" s="2"/>
      <c r="L505" s="2"/>
      <c r="M505" s="2"/>
      <c r="N505" s="2"/>
    </row>
    <row r="506" spans="9:14" x14ac:dyDescent="0.3">
      <c r="I506" s="2"/>
      <c r="J506" s="2"/>
      <c r="K506" s="2"/>
      <c r="L506" s="2"/>
      <c r="M506" s="2"/>
      <c r="N506" s="2"/>
    </row>
    <row r="507" spans="9:14" x14ac:dyDescent="0.3">
      <c r="I507" s="2"/>
      <c r="J507" s="2"/>
      <c r="K507" s="2"/>
      <c r="L507" s="2"/>
      <c r="M507" s="2"/>
      <c r="N507" s="2"/>
    </row>
    <row r="508" spans="9:14" x14ac:dyDescent="0.3">
      <c r="I508" s="2"/>
      <c r="J508" s="2"/>
      <c r="K508" s="2"/>
      <c r="L508" s="2"/>
      <c r="M508" s="2"/>
      <c r="N508" s="2"/>
    </row>
    <row r="509" spans="9:14" x14ac:dyDescent="0.3">
      <c r="I509" s="2"/>
      <c r="J509" s="2"/>
      <c r="K509" s="2"/>
      <c r="L509" s="2"/>
      <c r="M509" s="2"/>
      <c r="N509" s="2"/>
    </row>
    <row r="510" spans="9:14" x14ac:dyDescent="0.3">
      <c r="I510" s="2"/>
      <c r="J510" s="2"/>
      <c r="K510" s="2"/>
      <c r="L510" s="2"/>
      <c r="M510" s="2"/>
      <c r="N510" s="2"/>
    </row>
    <row r="511" spans="9:14" x14ac:dyDescent="0.3">
      <c r="I511" s="2"/>
      <c r="J511" s="2"/>
      <c r="K511" s="2"/>
      <c r="L511" s="2"/>
      <c r="M511" s="2"/>
      <c r="N511" s="2"/>
    </row>
    <row r="512" spans="9:14" x14ac:dyDescent="0.3">
      <c r="I512" s="2"/>
      <c r="J512" s="2"/>
      <c r="K512" s="2"/>
      <c r="L512" s="2"/>
      <c r="M512" s="2"/>
      <c r="N512" s="2"/>
    </row>
    <row r="513" spans="9:14" x14ac:dyDescent="0.3">
      <c r="I513" s="2"/>
      <c r="J513" s="2"/>
      <c r="K513" s="2"/>
      <c r="L513" s="2"/>
      <c r="M513" s="2"/>
      <c r="N513" s="2"/>
    </row>
    <row r="514" spans="9:14" x14ac:dyDescent="0.3">
      <c r="I514" s="2"/>
      <c r="J514" s="2"/>
      <c r="K514" s="2"/>
      <c r="L514" s="2"/>
      <c r="M514" s="2"/>
      <c r="N514" s="2"/>
    </row>
    <row r="515" spans="9:14" x14ac:dyDescent="0.3">
      <c r="I515" s="2"/>
      <c r="J515" s="2"/>
      <c r="K515" s="2"/>
      <c r="L515" s="2"/>
      <c r="M515" s="2"/>
      <c r="N515" s="2"/>
    </row>
    <row r="516" spans="9:14" x14ac:dyDescent="0.3">
      <c r="I516" s="2"/>
      <c r="J516" s="2"/>
      <c r="K516" s="2"/>
      <c r="L516" s="2"/>
      <c r="M516" s="2"/>
      <c r="N516" s="2"/>
    </row>
    <row r="517" spans="9:14" x14ac:dyDescent="0.3">
      <c r="I517" s="2"/>
      <c r="J517" s="2"/>
      <c r="K517" s="2"/>
      <c r="L517" s="2"/>
      <c r="M517" s="2"/>
      <c r="N517" s="2"/>
    </row>
    <row r="518" spans="9:14" x14ac:dyDescent="0.3">
      <c r="I518" s="2"/>
      <c r="J518" s="2"/>
      <c r="K518" s="2"/>
      <c r="L518" s="2"/>
      <c r="M518" s="2"/>
      <c r="N518" s="2"/>
    </row>
    <row r="519" spans="9:14" x14ac:dyDescent="0.3">
      <c r="I519" s="2"/>
      <c r="J519" s="2"/>
      <c r="K519" s="2"/>
      <c r="L519" s="2"/>
      <c r="M519" s="2"/>
      <c r="N519" s="2"/>
    </row>
    <row r="520" spans="9:14" x14ac:dyDescent="0.3">
      <c r="I520" s="2"/>
      <c r="J520" s="2"/>
      <c r="K520" s="2"/>
      <c r="L520" s="2"/>
      <c r="M520" s="2"/>
      <c r="N520" s="2"/>
    </row>
    <row r="521" spans="9:14" x14ac:dyDescent="0.3">
      <c r="I521" s="2"/>
      <c r="J521" s="2"/>
      <c r="K521" s="2"/>
      <c r="L521" s="2"/>
      <c r="M521" s="2"/>
      <c r="N521" s="2"/>
    </row>
    <row r="522" spans="9:14" x14ac:dyDescent="0.3">
      <c r="I522" s="2"/>
      <c r="J522" s="2"/>
      <c r="K522" s="2"/>
      <c r="L522" s="2"/>
      <c r="M522" s="2"/>
      <c r="N522" s="2"/>
    </row>
    <row r="523" spans="9:14" x14ac:dyDescent="0.3">
      <c r="I523" s="2"/>
      <c r="J523" s="2"/>
      <c r="K523" s="2"/>
      <c r="L523" s="2"/>
      <c r="M523" s="2"/>
      <c r="N523" s="2"/>
    </row>
    <row r="524" spans="9:14" x14ac:dyDescent="0.3">
      <c r="I524" s="2"/>
      <c r="J524" s="2"/>
      <c r="K524" s="2"/>
      <c r="L524" s="2"/>
      <c r="M524" s="2"/>
      <c r="N524" s="2"/>
    </row>
    <row r="525" spans="9:14" x14ac:dyDescent="0.3">
      <c r="I525" s="2"/>
      <c r="J525" s="2"/>
      <c r="K525" s="2"/>
      <c r="L525" s="2"/>
      <c r="M525" s="2"/>
      <c r="N525" s="2"/>
    </row>
    <row r="526" spans="9:14" x14ac:dyDescent="0.3">
      <c r="I526" s="2"/>
      <c r="J526" s="2"/>
      <c r="K526" s="2"/>
      <c r="L526" s="2"/>
      <c r="M526" s="2"/>
      <c r="N526" s="2"/>
    </row>
    <row r="527" spans="9:14" x14ac:dyDescent="0.3">
      <c r="I527" s="2"/>
      <c r="J527" s="2"/>
      <c r="K527" s="2"/>
      <c r="L527" s="2"/>
      <c r="M527" s="2"/>
      <c r="N527" s="2"/>
    </row>
    <row r="528" spans="9:14" x14ac:dyDescent="0.3">
      <c r="I528" s="2"/>
      <c r="J528" s="2"/>
      <c r="K528" s="2"/>
      <c r="L528" s="2"/>
      <c r="M528" s="2"/>
      <c r="N528" s="2"/>
    </row>
    <row r="529" spans="9:14" x14ac:dyDescent="0.3">
      <c r="I529" s="2"/>
      <c r="J529" s="2"/>
      <c r="K529" s="2"/>
      <c r="L529" s="2"/>
      <c r="M529" s="2"/>
      <c r="N529" s="2"/>
    </row>
    <row r="530" spans="9:14" x14ac:dyDescent="0.3">
      <c r="I530" s="2"/>
      <c r="J530" s="2"/>
      <c r="K530" s="2"/>
      <c r="L530" s="2"/>
      <c r="M530" s="2"/>
      <c r="N530" s="2"/>
    </row>
    <row r="531" spans="9:14" x14ac:dyDescent="0.3">
      <c r="I531" s="2"/>
      <c r="J531" s="2"/>
      <c r="K531" s="2"/>
      <c r="L531" s="2"/>
      <c r="M531" s="2"/>
      <c r="N531" s="2"/>
    </row>
    <row r="532" spans="9:14" x14ac:dyDescent="0.3">
      <c r="I532" s="2"/>
      <c r="J532" s="2"/>
      <c r="K532" s="2"/>
      <c r="L532" s="2"/>
      <c r="M532" s="2"/>
      <c r="N532" s="2"/>
    </row>
    <row r="533" spans="9:14" x14ac:dyDescent="0.3">
      <c r="I533" s="2"/>
      <c r="J533" s="2"/>
      <c r="K533" s="2"/>
      <c r="L533" s="2"/>
      <c r="M533" s="2"/>
      <c r="N533" s="2"/>
    </row>
    <row r="534" spans="9:14" x14ac:dyDescent="0.3">
      <c r="I534" s="2"/>
      <c r="J534" s="2"/>
      <c r="K534" s="2"/>
      <c r="L534" s="2"/>
      <c r="M534" s="2"/>
      <c r="N534" s="2"/>
    </row>
    <row r="535" spans="9:14" x14ac:dyDescent="0.3">
      <c r="I535" s="2"/>
      <c r="J535" s="2"/>
      <c r="K535" s="2"/>
      <c r="L535" s="2"/>
      <c r="M535" s="2"/>
      <c r="N535" s="2"/>
    </row>
    <row r="536" spans="9:14" x14ac:dyDescent="0.3">
      <c r="I536" s="2"/>
      <c r="J536" s="2"/>
      <c r="K536" s="2"/>
      <c r="L536" s="2"/>
      <c r="M536" s="2"/>
      <c r="N536" s="2"/>
    </row>
    <row r="537" spans="9:14" x14ac:dyDescent="0.3">
      <c r="I537" s="2"/>
      <c r="J537" s="2"/>
      <c r="K537" s="2"/>
      <c r="L537" s="2"/>
      <c r="M537" s="2"/>
      <c r="N537" s="2"/>
    </row>
    <row r="538" spans="9:14" x14ac:dyDescent="0.3">
      <c r="I538" s="2"/>
      <c r="J538" s="2"/>
      <c r="K538" s="2"/>
      <c r="L538" s="2"/>
      <c r="M538" s="2"/>
      <c r="N538" s="2"/>
    </row>
    <row r="539" spans="9:14" x14ac:dyDescent="0.3">
      <c r="I539" s="2"/>
      <c r="J539" s="2"/>
      <c r="K539" s="2"/>
      <c r="L539" s="2"/>
      <c r="M539" s="2"/>
      <c r="N539" s="2"/>
    </row>
    <row r="540" spans="9:14" x14ac:dyDescent="0.3">
      <c r="I540" s="2"/>
      <c r="J540" s="2"/>
      <c r="K540" s="2"/>
      <c r="L540" s="2"/>
      <c r="M540" s="2"/>
      <c r="N540" s="2"/>
    </row>
    <row r="541" spans="9:14" x14ac:dyDescent="0.3">
      <c r="I541" s="2"/>
      <c r="J541" s="2"/>
      <c r="K541" s="2"/>
      <c r="L541" s="2"/>
      <c r="M541" s="2"/>
      <c r="N541" s="2"/>
    </row>
    <row r="542" spans="9:14" x14ac:dyDescent="0.3">
      <c r="I542" s="2"/>
      <c r="J542" s="2"/>
      <c r="K542" s="2"/>
      <c r="L542" s="2"/>
      <c r="M542" s="2"/>
      <c r="N542" s="2"/>
    </row>
    <row r="543" spans="9:14" x14ac:dyDescent="0.3">
      <c r="I543" s="2"/>
      <c r="J543" s="2"/>
      <c r="K543" s="2"/>
      <c r="L543" s="2"/>
      <c r="M543" s="2"/>
      <c r="N543" s="2"/>
    </row>
    <row r="544" spans="9:14" x14ac:dyDescent="0.3">
      <c r="I544" s="2"/>
      <c r="J544" s="2"/>
      <c r="K544" s="2"/>
      <c r="L544" s="2"/>
      <c r="M544" s="2"/>
      <c r="N544" s="2"/>
    </row>
    <row r="545" spans="9:14" x14ac:dyDescent="0.3">
      <c r="I545" s="2"/>
      <c r="J545" s="2"/>
      <c r="K545" s="2"/>
      <c r="L545" s="2"/>
      <c r="M545" s="2"/>
      <c r="N545" s="2"/>
    </row>
    <row r="546" spans="9:14" x14ac:dyDescent="0.3">
      <c r="I546" s="2"/>
      <c r="J546" s="2"/>
      <c r="K546" s="2"/>
      <c r="L546" s="2"/>
      <c r="M546" s="2"/>
      <c r="N546" s="2"/>
    </row>
    <row r="547" spans="9:14" x14ac:dyDescent="0.3">
      <c r="I547" s="2"/>
      <c r="J547" s="2"/>
      <c r="K547" s="2"/>
      <c r="L547" s="2"/>
      <c r="M547" s="2"/>
      <c r="N547" s="2"/>
    </row>
    <row r="548" spans="9:14" x14ac:dyDescent="0.3">
      <c r="I548" s="2"/>
      <c r="J548" s="2"/>
      <c r="K548" s="2"/>
      <c r="L548" s="2"/>
      <c r="M548" s="2"/>
      <c r="N548" s="2"/>
    </row>
    <row r="549" spans="9:14" x14ac:dyDescent="0.3">
      <c r="I549" s="2"/>
      <c r="J549" s="2"/>
      <c r="K549" s="2"/>
      <c r="L549" s="2"/>
      <c r="M549" s="2"/>
      <c r="N549" s="2"/>
    </row>
    <row r="550" spans="9:14" x14ac:dyDescent="0.3">
      <c r="I550" s="2"/>
      <c r="J550" s="2"/>
      <c r="K550" s="2"/>
      <c r="L550" s="2"/>
      <c r="M550" s="2"/>
      <c r="N550" s="2"/>
    </row>
    <row r="551" spans="9:14" x14ac:dyDescent="0.3">
      <c r="I551" s="2"/>
      <c r="J551" s="2"/>
      <c r="K551" s="2"/>
      <c r="L551" s="2"/>
      <c r="M551" s="2"/>
      <c r="N551" s="2"/>
    </row>
    <row r="552" spans="9:14" x14ac:dyDescent="0.3">
      <c r="I552" s="2"/>
      <c r="J552" s="2"/>
      <c r="K552" s="2"/>
      <c r="L552" s="2"/>
      <c r="M552" s="2"/>
      <c r="N552" s="2"/>
    </row>
    <row r="553" spans="9:14" x14ac:dyDescent="0.3">
      <c r="I553" s="2"/>
      <c r="J553" s="2"/>
      <c r="K553" s="2"/>
      <c r="L553" s="2"/>
      <c r="M553" s="2"/>
      <c r="N553" s="2"/>
    </row>
    <row r="554" spans="9:14" x14ac:dyDescent="0.3">
      <c r="I554" s="2"/>
      <c r="J554" s="2"/>
      <c r="K554" s="2"/>
      <c r="L554" s="2"/>
      <c r="M554" s="2"/>
      <c r="N554" s="2"/>
    </row>
    <row r="555" spans="9:14" x14ac:dyDescent="0.3">
      <c r="I555" s="2"/>
      <c r="J555" s="2"/>
      <c r="K555" s="2"/>
      <c r="L555" s="2"/>
      <c r="M555" s="2"/>
      <c r="N555" s="2"/>
    </row>
    <row r="556" spans="9:14" x14ac:dyDescent="0.3">
      <c r="I556" s="2"/>
      <c r="J556" s="2"/>
      <c r="K556" s="2"/>
      <c r="L556" s="2"/>
      <c r="M556" s="2"/>
      <c r="N556" s="2"/>
    </row>
    <row r="557" spans="9:14" x14ac:dyDescent="0.3">
      <c r="I557" s="2"/>
      <c r="J557" s="2"/>
      <c r="K557" s="2"/>
      <c r="L557" s="2"/>
      <c r="M557" s="2"/>
      <c r="N557" s="2"/>
    </row>
    <row r="558" spans="9:14" x14ac:dyDescent="0.3">
      <c r="I558" s="2"/>
      <c r="J558" s="2"/>
      <c r="K558" s="2"/>
      <c r="L558" s="2"/>
      <c r="M558" s="2"/>
      <c r="N558" s="2"/>
    </row>
    <row r="559" spans="9:14" x14ac:dyDescent="0.3">
      <c r="I559" s="2"/>
      <c r="J559" s="2"/>
      <c r="K559" s="2"/>
      <c r="L559" s="2"/>
      <c r="M559" s="2"/>
      <c r="N559" s="2"/>
    </row>
    <row r="560" spans="9:14" x14ac:dyDescent="0.3">
      <c r="I560" s="2"/>
      <c r="J560" s="2"/>
      <c r="K560" s="2"/>
      <c r="L560" s="2"/>
      <c r="M560" s="2"/>
      <c r="N560" s="2"/>
    </row>
    <row r="561" spans="9:14" x14ac:dyDescent="0.3">
      <c r="I561" s="2"/>
      <c r="J561" s="2"/>
      <c r="K561" s="2"/>
      <c r="L561" s="2"/>
      <c r="M561" s="2"/>
      <c r="N561" s="2"/>
    </row>
    <row r="562" spans="9:14" x14ac:dyDescent="0.3">
      <c r="I562" s="2"/>
      <c r="J562" s="2"/>
      <c r="K562" s="2"/>
      <c r="L562" s="2"/>
      <c r="M562" s="2"/>
      <c r="N562" s="2"/>
    </row>
    <row r="563" spans="9:14" x14ac:dyDescent="0.3">
      <c r="I563" s="2"/>
      <c r="J563" s="2"/>
      <c r="K563" s="2"/>
      <c r="L563" s="2"/>
      <c r="M563" s="2"/>
      <c r="N563" s="2"/>
    </row>
    <row r="564" spans="9:14" x14ac:dyDescent="0.3">
      <c r="I564" s="2"/>
      <c r="J564" s="2"/>
      <c r="K564" s="2"/>
      <c r="L564" s="2"/>
      <c r="M564" s="2"/>
      <c r="N564" s="2"/>
    </row>
    <row r="565" spans="9:14" x14ac:dyDescent="0.3">
      <c r="I565" s="2"/>
      <c r="J565" s="2"/>
      <c r="K565" s="2"/>
      <c r="L565" s="2"/>
      <c r="M565" s="2"/>
      <c r="N565" s="2"/>
    </row>
    <row r="566" spans="9:14" x14ac:dyDescent="0.3">
      <c r="I566" s="2"/>
      <c r="J566" s="2"/>
      <c r="K566" s="2"/>
      <c r="L566" s="2"/>
      <c r="M566" s="2"/>
      <c r="N566" s="2"/>
    </row>
    <row r="567" spans="9:14" x14ac:dyDescent="0.3">
      <c r="I567" s="2"/>
      <c r="J567" s="2"/>
      <c r="K567" s="2"/>
      <c r="L567" s="2"/>
      <c r="M567" s="2"/>
      <c r="N567" s="2"/>
    </row>
    <row r="568" spans="9:14" x14ac:dyDescent="0.3">
      <c r="I568" s="2"/>
      <c r="J568" s="2"/>
      <c r="K568" s="2"/>
      <c r="L568" s="2"/>
      <c r="M568" s="2"/>
      <c r="N568" s="2"/>
    </row>
    <row r="569" spans="9:14" x14ac:dyDescent="0.3">
      <c r="I569" s="2"/>
      <c r="J569" s="2"/>
      <c r="K569" s="2"/>
      <c r="L569" s="2"/>
      <c r="M569" s="2"/>
      <c r="N569" s="2"/>
    </row>
    <row r="570" spans="9:14" x14ac:dyDescent="0.3">
      <c r="I570" s="2"/>
      <c r="J570" s="2"/>
      <c r="K570" s="2"/>
      <c r="L570" s="2"/>
      <c r="M570" s="2"/>
      <c r="N570" s="2"/>
    </row>
    <row r="571" spans="9:14" x14ac:dyDescent="0.3">
      <c r="I571" s="2"/>
      <c r="J571" s="2"/>
      <c r="K571" s="2"/>
      <c r="L571" s="2"/>
      <c r="M571" s="2"/>
      <c r="N571" s="2"/>
    </row>
    <row r="572" spans="9:14" x14ac:dyDescent="0.3">
      <c r="I572" s="2"/>
      <c r="J572" s="2"/>
      <c r="K572" s="2"/>
      <c r="L572" s="2"/>
      <c r="M572" s="2"/>
      <c r="N572" s="2"/>
    </row>
    <row r="573" spans="9:14" x14ac:dyDescent="0.3">
      <c r="I573" s="2"/>
      <c r="J573" s="2"/>
      <c r="K573" s="2"/>
      <c r="L573" s="2"/>
      <c r="M573" s="2"/>
      <c r="N573" s="2"/>
    </row>
    <row r="574" spans="9:14" x14ac:dyDescent="0.3">
      <c r="I574" s="2"/>
      <c r="J574" s="2"/>
      <c r="K574" s="2"/>
      <c r="L574" s="2"/>
      <c r="M574" s="2"/>
      <c r="N574" s="2"/>
    </row>
    <row r="575" spans="9:14" x14ac:dyDescent="0.3">
      <c r="I575" s="2"/>
      <c r="J575" s="2"/>
      <c r="K575" s="2"/>
      <c r="L575" s="2"/>
      <c r="M575" s="2"/>
      <c r="N575" s="2"/>
    </row>
    <row r="576" spans="9:14" x14ac:dyDescent="0.3">
      <c r="I576" s="2"/>
      <c r="J576" s="2"/>
      <c r="K576" s="2"/>
      <c r="L576" s="2"/>
      <c r="M576" s="2"/>
      <c r="N576" s="2"/>
    </row>
    <row r="577" spans="9:14" x14ac:dyDescent="0.3">
      <c r="I577" s="2"/>
      <c r="J577" s="2"/>
      <c r="K577" s="2"/>
      <c r="L577" s="2"/>
      <c r="M577" s="2"/>
      <c r="N577" s="2"/>
    </row>
    <row r="578" spans="9:14" x14ac:dyDescent="0.3">
      <c r="I578" s="2"/>
      <c r="J578" s="2"/>
      <c r="K578" s="2"/>
      <c r="L578" s="2"/>
      <c r="M578" s="2"/>
      <c r="N578" s="2"/>
    </row>
    <row r="579" spans="9:14" x14ac:dyDescent="0.3">
      <c r="I579" s="2"/>
      <c r="J579" s="2"/>
      <c r="K579" s="2"/>
      <c r="L579" s="2"/>
      <c r="M579" s="2"/>
      <c r="N579" s="2"/>
    </row>
    <row r="580" spans="9:14" x14ac:dyDescent="0.3">
      <c r="I580" s="2"/>
      <c r="J580" s="2"/>
      <c r="K580" s="2"/>
      <c r="L580" s="2"/>
      <c r="M580" s="2"/>
      <c r="N580" s="2"/>
    </row>
    <row r="581" spans="9:14" x14ac:dyDescent="0.3">
      <c r="I581" s="2"/>
      <c r="J581" s="2"/>
      <c r="K581" s="2"/>
      <c r="L581" s="2"/>
      <c r="M581" s="2"/>
      <c r="N581" s="2"/>
    </row>
    <row r="582" spans="9:14" x14ac:dyDescent="0.3">
      <c r="I582" s="2"/>
      <c r="J582" s="2"/>
      <c r="K582" s="2"/>
      <c r="L582" s="2"/>
      <c r="M582" s="2"/>
      <c r="N582" s="2"/>
    </row>
    <row r="583" spans="9:14" x14ac:dyDescent="0.3">
      <c r="I583" s="2"/>
      <c r="J583" s="2"/>
      <c r="K583" s="2"/>
      <c r="L583" s="2"/>
      <c r="M583" s="2"/>
      <c r="N583" s="2"/>
    </row>
    <row r="584" spans="9:14" x14ac:dyDescent="0.3">
      <c r="I584" s="2"/>
      <c r="J584" s="2"/>
      <c r="K584" s="2"/>
      <c r="L584" s="2"/>
      <c r="M584" s="2"/>
      <c r="N584" s="2"/>
    </row>
    <row r="585" spans="9:14" x14ac:dyDescent="0.3">
      <c r="I585" s="2"/>
      <c r="J585" s="2"/>
      <c r="K585" s="2"/>
      <c r="L585" s="2"/>
      <c r="M585" s="2"/>
      <c r="N585" s="2"/>
    </row>
    <row r="586" spans="9:14" x14ac:dyDescent="0.3">
      <c r="I586" s="2"/>
      <c r="J586" s="2"/>
      <c r="K586" s="2"/>
      <c r="L586" s="2"/>
      <c r="M586" s="2"/>
      <c r="N586" s="2"/>
    </row>
    <row r="587" spans="9:14" x14ac:dyDescent="0.3">
      <c r="I587" s="2"/>
      <c r="J587" s="2"/>
      <c r="K587" s="2"/>
      <c r="L587" s="2"/>
      <c r="M587" s="2"/>
      <c r="N587" s="2"/>
    </row>
    <row r="588" spans="9:14" x14ac:dyDescent="0.3">
      <c r="I588" s="2"/>
      <c r="J588" s="2"/>
      <c r="K588" s="2"/>
      <c r="L588" s="2"/>
      <c r="M588" s="2"/>
      <c r="N588" s="2"/>
    </row>
    <row r="589" spans="9:14" x14ac:dyDescent="0.3">
      <c r="I589" s="2"/>
      <c r="J589" s="2"/>
      <c r="K589" s="2"/>
      <c r="L589" s="2"/>
      <c r="M589" s="2"/>
      <c r="N589" s="2"/>
    </row>
    <row r="590" spans="9:14" x14ac:dyDescent="0.3">
      <c r="I590" s="2"/>
      <c r="J590" s="2"/>
      <c r="K590" s="2"/>
      <c r="L590" s="2"/>
      <c r="M590" s="2"/>
      <c r="N590" s="2"/>
    </row>
    <row r="591" spans="9:14" x14ac:dyDescent="0.3">
      <c r="I591" s="2"/>
      <c r="J591" s="2"/>
      <c r="K591" s="2"/>
      <c r="L591" s="2"/>
      <c r="M591" s="2"/>
      <c r="N591" s="2"/>
    </row>
    <row r="592" spans="9:14" x14ac:dyDescent="0.3">
      <c r="I592" s="2"/>
      <c r="J592" s="2"/>
      <c r="K592" s="2"/>
      <c r="L592" s="2"/>
      <c r="M592" s="2"/>
      <c r="N592" s="2"/>
    </row>
    <row r="593" spans="9:14" x14ac:dyDescent="0.3">
      <c r="I593" s="2"/>
      <c r="J593" s="2"/>
      <c r="K593" s="2"/>
      <c r="L593" s="2"/>
      <c r="M593" s="2"/>
      <c r="N593" s="2"/>
    </row>
    <row r="594" spans="9:14" x14ac:dyDescent="0.3">
      <c r="I594" s="2"/>
      <c r="J594" s="2"/>
      <c r="K594" s="2"/>
      <c r="L594" s="2"/>
      <c r="M594" s="2"/>
      <c r="N594" s="2"/>
    </row>
    <row r="595" spans="9:14" x14ac:dyDescent="0.3">
      <c r="I595" s="2"/>
      <c r="J595" s="2"/>
      <c r="K595" s="2"/>
      <c r="L595" s="2"/>
      <c r="M595" s="2"/>
      <c r="N595" s="2"/>
    </row>
    <row r="596" spans="9:14" x14ac:dyDescent="0.3">
      <c r="I596" s="2"/>
      <c r="J596" s="2"/>
      <c r="K596" s="2"/>
      <c r="L596" s="2"/>
      <c r="M596" s="2"/>
      <c r="N596" s="2"/>
    </row>
    <row r="597" spans="9:14" x14ac:dyDescent="0.3">
      <c r="I597" s="2"/>
      <c r="J597" s="2"/>
      <c r="K597" s="2"/>
      <c r="L597" s="2"/>
      <c r="M597" s="2"/>
      <c r="N597" s="2"/>
    </row>
    <row r="598" spans="9:14" x14ac:dyDescent="0.3">
      <c r="I598" s="2"/>
      <c r="J598" s="2"/>
      <c r="K598" s="2"/>
      <c r="L598" s="2"/>
      <c r="M598" s="2"/>
      <c r="N598" s="2"/>
    </row>
    <row r="599" spans="9:14" x14ac:dyDescent="0.3">
      <c r="I599" s="2"/>
      <c r="J599" s="2"/>
      <c r="K599" s="2"/>
      <c r="L599" s="2"/>
      <c r="M599" s="2"/>
      <c r="N599" s="2"/>
    </row>
    <row r="600" spans="9:14" x14ac:dyDescent="0.3">
      <c r="I600" s="2"/>
      <c r="J600" s="2"/>
      <c r="K600" s="2"/>
      <c r="L600" s="2"/>
      <c r="M600" s="2"/>
      <c r="N600" s="2"/>
    </row>
    <row r="601" spans="9:14" x14ac:dyDescent="0.3">
      <c r="I601" s="2"/>
      <c r="J601" s="2"/>
      <c r="K601" s="2"/>
      <c r="L601" s="2"/>
      <c r="M601" s="2"/>
      <c r="N601" s="2"/>
    </row>
    <row r="602" spans="9:14" x14ac:dyDescent="0.3">
      <c r="I602" s="2"/>
      <c r="J602" s="2"/>
      <c r="K602" s="2"/>
      <c r="L602" s="2"/>
      <c r="M602" s="2"/>
      <c r="N602" s="2"/>
    </row>
    <row r="603" spans="9:14" x14ac:dyDescent="0.3">
      <c r="I603" s="2"/>
      <c r="J603" s="2"/>
      <c r="K603" s="2"/>
      <c r="L603" s="2"/>
      <c r="M603" s="2"/>
      <c r="N603" s="2"/>
    </row>
    <row r="604" spans="9:14" x14ac:dyDescent="0.3">
      <c r="I604" s="2"/>
      <c r="J604" s="2"/>
      <c r="K604" s="2"/>
      <c r="L604" s="2"/>
      <c r="M604" s="2"/>
      <c r="N604" s="2"/>
    </row>
    <row r="605" spans="9:14" x14ac:dyDescent="0.3">
      <c r="I605" s="2"/>
      <c r="J605" s="2"/>
      <c r="K605" s="2"/>
      <c r="L605" s="2"/>
      <c r="M605" s="2"/>
      <c r="N605" s="2"/>
    </row>
    <row r="606" spans="9:14" x14ac:dyDescent="0.3">
      <c r="I606" s="2"/>
      <c r="J606" s="2"/>
      <c r="K606" s="2"/>
      <c r="L606" s="2"/>
      <c r="M606" s="2"/>
      <c r="N606" s="2"/>
    </row>
    <row r="607" spans="9:14" x14ac:dyDescent="0.3">
      <c r="I607" s="2"/>
      <c r="J607" s="2"/>
      <c r="K607" s="2"/>
      <c r="L607" s="2"/>
      <c r="M607" s="2"/>
      <c r="N607" s="2"/>
    </row>
    <row r="608" spans="9:14" x14ac:dyDescent="0.3">
      <c r="I608" s="2"/>
      <c r="J608" s="2"/>
      <c r="K608" s="2"/>
      <c r="L608" s="2"/>
      <c r="M608" s="2"/>
      <c r="N608" s="2"/>
    </row>
    <row r="609" spans="9:14" x14ac:dyDescent="0.3">
      <c r="I609" s="2"/>
      <c r="J609" s="2"/>
      <c r="K609" s="2"/>
      <c r="L609" s="2"/>
      <c r="M609" s="2"/>
      <c r="N609" s="2"/>
    </row>
    <row r="610" spans="9:14" x14ac:dyDescent="0.3">
      <c r="I610" s="2"/>
      <c r="J610" s="2"/>
      <c r="K610" s="2"/>
      <c r="L610" s="2"/>
      <c r="M610" s="2"/>
      <c r="N610" s="2"/>
    </row>
    <row r="611" spans="9:14" x14ac:dyDescent="0.3">
      <c r="I611" s="2"/>
      <c r="J611" s="2"/>
      <c r="K611" s="2"/>
      <c r="L611" s="2"/>
      <c r="M611" s="2"/>
      <c r="N611" s="2"/>
    </row>
    <row r="612" spans="9:14" x14ac:dyDescent="0.3">
      <c r="I612" s="2"/>
      <c r="J612" s="2"/>
      <c r="K612" s="2"/>
      <c r="L612" s="2"/>
      <c r="M612" s="2"/>
      <c r="N612" s="2"/>
    </row>
    <row r="613" spans="9:14" x14ac:dyDescent="0.3">
      <c r="I613" s="2"/>
      <c r="J613" s="2"/>
      <c r="K613" s="2"/>
      <c r="L613" s="2"/>
      <c r="M613" s="2"/>
      <c r="N613" s="2"/>
    </row>
    <row r="614" spans="9:14" x14ac:dyDescent="0.3">
      <c r="I614" s="2"/>
      <c r="J614" s="2"/>
      <c r="K614" s="2"/>
      <c r="L614" s="2"/>
      <c r="M614" s="2"/>
      <c r="N614" s="2"/>
    </row>
    <row r="615" spans="9:14" x14ac:dyDescent="0.3">
      <c r="I615" s="2"/>
      <c r="J615" s="2"/>
      <c r="K615" s="2"/>
      <c r="L615" s="2"/>
      <c r="M615" s="2"/>
      <c r="N615" s="2"/>
    </row>
    <row r="616" spans="9:14" x14ac:dyDescent="0.3">
      <c r="I616" s="2"/>
      <c r="J616" s="2"/>
      <c r="K616" s="2"/>
      <c r="L616" s="2"/>
      <c r="M616" s="2"/>
      <c r="N616" s="2"/>
    </row>
    <row r="617" spans="9:14" x14ac:dyDescent="0.3">
      <c r="I617" s="2"/>
      <c r="J617" s="2"/>
      <c r="K617" s="2"/>
      <c r="L617" s="2"/>
      <c r="M617" s="2"/>
      <c r="N617" s="2"/>
    </row>
    <row r="618" spans="9:14" x14ac:dyDescent="0.3">
      <c r="I618" s="2"/>
      <c r="J618" s="2"/>
      <c r="K618" s="2"/>
      <c r="L618" s="2"/>
      <c r="M618" s="2"/>
      <c r="N618" s="2"/>
    </row>
    <row r="619" spans="9:14" x14ac:dyDescent="0.3">
      <c r="I619" s="2"/>
      <c r="J619" s="2"/>
      <c r="K619" s="2"/>
      <c r="L619" s="2"/>
      <c r="M619" s="2"/>
      <c r="N619" s="2"/>
    </row>
    <row r="620" spans="9:14" x14ac:dyDescent="0.3">
      <c r="I620" s="2"/>
      <c r="J620" s="2"/>
      <c r="K620" s="2"/>
      <c r="L620" s="2"/>
      <c r="M620" s="2"/>
      <c r="N620" s="2"/>
    </row>
    <row r="621" spans="9:14" x14ac:dyDescent="0.3">
      <c r="I621" s="2"/>
      <c r="J621" s="2"/>
      <c r="K621" s="2"/>
      <c r="L621" s="2"/>
      <c r="M621" s="2"/>
      <c r="N621" s="2"/>
    </row>
    <row r="622" spans="9:14" x14ac:dyDescent="0.3">
      <c r="I622" s="2"/>
      <c r="J622" s="2"/>
      <c r="K622" s="2"/>
      <c r="L622" s="2"/>
      <c r="M622" s="2"/>
      <c r="N622" s="2"/>
    </row>
    <row r="623" spans="9:14" x14ac:dyDescent="0.3">
      <c r="I623" s="2"/>
      <c r="J623" s="2"/>
      <c r="K623" s="2"/>
      <c r="L623" s="2"/>
      <c r="M623" s="2"/>
      <c r="N623" s="2"/>
    </row>
    <row r="624" spans="9:14" x14ac:dyDescent="0.3">
      <c r="I624" s="2"/>
      <c r="J624" s="2"/>
      <c r="K624" s="2"/>
      <c r="L624" s="2"/>
      <c r="M624" s="2"/>
      <c r="N624" s="2"/>
    </row>
    <row r="625" spans="9:14" x14ac:dyDescent="0.3">
      <c r="I625" s="2"/>
      <c r="J625" s="2"/>
      <c r="K625" s="2"/>
      <c r="L625" s="2"/>
      <c r="M625" s="2"/>
      <c r="N625" s="2"/>
    </row>
    <row r="626" spans="9:14" x14ac:dyDescent="0.3">
      <c r="I626" s="2"/>
      <c r="J626" s="2"/>
      <c r="K626" s="2"/>
      <c r="L626" s="2"/>
      <c r="M626" s="2"/>
      <c r="N626" s="2"/>
    </row>
    <row r="627" spans="9:14" x14ac:dyDescent="0.3">
      <c r="I627" s="2"/>
      <c r="J627" s="2"/>
      <c r="K627" s="2"/>
      <c r="L627" s="2"/>
      <c r="M627" s="2"/>
      <c r="N627" s="2"/>
    </row>
    <row r="628" spans="9:14" x14ac:dyDescent="0.3">
      <c r="I628" s="2"/>
      <c r="J628" s="2"/>
      <c r="K628" s="2"/>
      <c r="L628" s="2"/>
      <c r="M628" s="2"/>
      <c r="N628" s="2"/>
    </row>
    <row r="629" spans="9:14" x14ac:dyDescent="0.3">
      <c r="I629" s="2"/>
      <c r="J629" s="2"/>
      <c r="K629" s="2"/>
      <c r="L629" s="2"/>
      <c r="M629" s="2"/>
      <c r="N629" s="2"/>
    </row>
    <row r="630" spans="9:14" x14ac:dyDescent="0.3">
      <c r="I630" s="2"/>
      <c r="J630" s="2"/>
      <c r="K630" s="2"/>
      <c r="L630" s="2"/>
      <c r="M630" s="2"/>
      <c r="N630" s="2"/>
    </row>
    <row r="631" spans="9:14" x14ac:dyDescent="0.3">
      <c r="I631" s="2"/>
      <c r="J631" s="2"/>
      <c r="K631" s="2"/>
      <c r="L631" s="2"/>
      <c r="M631" s="2"/>
      <c r="N631" s="2"/>
    </row>
    <row r="632" spans="9:14" x14ac:dyDescent="0.3">
      <c r="I632" s="2"/>
      <c r="J632" s="2"/>
      <c r="K632" s="2"/>
      <c r="L632" s="2"/>
      <c r="M632" s="2"/>
      <c r="N632" s="2"/>
    </row>
    <row r="633" spans="9:14" x14ac:dyDescent="0.3">
      <c r="I633" s="2"/>
      <c r="J633" s="2"/>
      <c r="K633" s="2"/>
      <c r="L633" s="2"/>
      <c r="M633" s="2"/>
      <c r="N633" s="2"/>
    </row>
    <row r="634" spans="9:14" x14ac:dyDescent="0.3">
      <c r="I634" s="2"/>
      <c r="J634" s="2"/>
      <c r="K634" s="2"/>
      <c r="L634" s="2"/>
      <c r="M634" s="2"/>
      <c r="N634" s="2"/>
    </row>
    <row r="635" spans="9:14" x14ac:dyDescent="0.3">
      <c r="I635" s="2"/>
      <c r="J635" s="2"/>
      <c r="K635" s="2"/>
      <c r="L635" s="2"/>
      <c r="M635" s="2"/>
      <c r="N635" s="2"/>
    </row>
    <row r="636" spans="9:14" x14ac:dyDescent="0.3">
      <c r="I636" s="2"/>
      <c r="J636" s="2"/>
      <c r="K636" s="2"/>
      <c r="L636" s="2"/>
      <c r="M636" s="2"/>
      <c r="N636" s="2"/>
    </row>
    <row r="637" spans="9:14" x14ac:dyDescent="0.3">
      <c r="I637" s="2"/>
      <c r="J637" s="2"/>
      <c r="K637" s="2"/>
      <c r="L637" s="2"/>
      <c r="M637" s="2"/>
      <c r="N637" s="2"/>
    </row>
    <row r="638" spans="9:14" x14ac:dyDescent="0.3">
      <c r="I638" s="2"/>
      <c r="J638" s="2"/>
      <c r="K638" s="2"/>
      <c r="L638" s="2"/>
      <c r="M638" s="2"/>
      <c r="N638" s="2"/>
    </row>
    <row r="639" spans="9:14" x14ac:dyDescent="0.3">
      <c r="I639" s="2"/>
      <c r="J639" s="2"/>
      <c r="K639" s="2"/>
      <c r="L639" s="2"/>
      <c r="M639" s="2"/>
      <c r="N639" s="2"/>
    </row>
    <row r="640" spans="9:14" x14ac:dyDescent="0.3">
      <c r="I640" s="2"/>
      <c r="J640" s="2"/>
      <c r="K640" s="2"/>
      <c r="L640" s="2"/>
      <c r="M640" s="2"/>
      <c r="N640" s="2"/>
    </row>
    <row r="641" spans="9:14" x14ac:dyDescent="0.3">
      <c r="I641" s="2"/>
      <c r="J641" s="2"/>
      <c r="K641" s="2"/>
      <c r="L641" s="2"/>
      <c r="M641" s="2"/>
      <c r="N641" s="2"/>
    </row>
    <row r="642" spans="9:14" x14ac:dyDescent="0.3">
      <c r="I642" s="2"/>
      <c r="J642" s="2"/>
      <c r="K642" s="2"/>
      <c r="L642" s="2"/>
      <c r="M642" s="2"/>
      <c r="N642" s="2"/>
    </row>
    <row r="643" spans="9:14" x14ac:dyDescent="0.3">
      <c r="I643" s="2"/>
      <c r="J643" s="2"/>
      <c r="K643" s="2"/>
      <c r="L643" s="2"/>
      <c r="M643" s="2"/>
      <c r="N643" s="2"/>
    </row>
    <row r="644" spans="9:14" x14ac:dyDescent="0.3">
      <c r="I644" s="2"/>
      <c r="J644" s="2"/>
      <c r="K644" s="2"/>
      <c r="L644" s="2"/>
      <c r="M644" s="2"/>
      <c r="N644" s="2"/>
    </row>
    <row r="645" spans="9:14" x14ac:dyDescent="0.3">
      <c r="I645" s="2"/>
      <c r="J645" s="2"/>
      <c r="K645" s="2"/>
      <c r="L645" s="2"/>
      <c r="M645" s="2"/>
      <c r="N645" s="2"/>
    </row>
    <row r="646" spans="9:14" x14ac:dyDescent="0.3">
      <c r="I646" s="2"/>
      <c r="J646" s="2"/>
      <c r="K646" s="2"/>
      <c r="L646" s="2"/>
      <c r="M646" s="2"/>
      <c r="N646" s="2"/>
    </row>
    <row r="647" spans="9:14" x14ac:dyDescent="0.3">
      <c r="I647" s="2"/>
      <c r="J647" s="2"/>
      <c r="K647" s="2"/>
      <c r="L647" s="2"/>
      <c r="M647" s="2"/>
      <c r="N647" s="2"/>
    </row>
    <row r="648" spans="9:14" x14ac:dyDescent="0.3">
      <c r="I648" s="2"/>
      <c r="J648" s="2"/>
      <c r="K648" s="2"/>
      <c r="L648" s="2"/>
      <c r="M648" s="2"/>
      <c r="N648" s="2"/>
    </row>
    <row r="649" spans="9:14" x14ac:dyDescent="0.3">
      <c r="I649" s="2"/>
      <c r="J649" s="2"/>
      <c r="K649" s="2"/>
      <c r="L649" s="2"/>
      <c r="M649" s="2"/>
      <c r="N649" s="2"/>
    </row>
    <row r="650" spans="9:14" x14ac:dyDescent="0.3">
      <c r="I650" s="2"/>
      <c r="J650" s="2"/>
      <c r="K650" s="2"/>
      <c r="L650" s="2"/>
      <c r="M650" s="2"/>
      <c r="N650" s="2"/>
    </row>
    <row r="651" spans="9:14" x14ac:dyDescent="0.3">
      <c r="I651" s="2"/>
      <c r="J651" s="2"/>
      <c r="K651" s="2"/>
      <c r="L651" s="2"/>
      <c r="M651" s="2"/>
      <c r="N651" s="2"/>
    </row>
    <row r="652" spans="9:14" x14ac:dyDescent="0.3">
      <c r="I652" s="2"/>
      <c r="J652" s="2"/>
      <c r="K652" s="2"/>
      <c r="L652" s="2"/>
      <c r="M652" s="2"/>
      <c r="N652" s="2"/>
    </row>
    <row r="653" spans="9:14" x14ac:dyDescent="0.3">
      <c r="I653" s="2"/>
      <c r="J653" s="2"/>
      <c r="K653" s="2"/>
      <c r="L653" s="2"/>
      <c r="M653" s="2"/>
      <c r="N653" s="2"/>
    </row>
    <row r="654" spans="9:14" x14ac:dyDescent="0.3">
      <c r="I654" s="2"/>
      <c r="J654" s="2"/>
      <c r="K654" s="2"/>
      <c r="L654" s="2"/>
      <c r="M654" s="2"/>
      <c r="N654" s="2"/>
    </row>
    <row r="655" spans="9:14" x14ac:dyDescent="0.3">
      <c r="I655" s="2"/>
      <c r="J655" s="2"/>
      <c r="K655" s="2"/>
      <c r="L655" s="2"/>
      <c r="M655" s="2"/>
      <c r="N655" s="2"/>
    </row>
    <row r="656" spans="9:14" x14ac:dyDescent="0.3">
      <c r="I656" s="2"/>
      <c r="J656" s="2"/>
      <c r="K656" s="2"/>
      <c r="L656" s="2"/>
      <c r="M656" s="2"/>
      <c r="N656" s="2"/>
    </row>
    <row r="657" spans="9:14" x14ac:dyDescent="0.3">
      <c r="I657" s="2"/>
      <c r="J657" s="2"/>
      <c r="K657" s="2"/>
      <c r="L657" s="2"/>
      <c r="M657" s="2"/>
      <c r="N657" s="2"/>
    </row>
    <row r="658" spans="9:14" x14ac:dyDescent="0.3">
      <c r="I658" s="2"/>
      <c r="J658" s="2"/>
      <c r="K658" s="2"/>
      <c r="L658" s="2"/>
      <c r="M658" s="2"/>
      <c r="N658" s="2"/>
    </row>
    <row r="659" spans="9:14" x14ac:dyDescent="0.3">
      <c r="I659" s="2"/>
      <c r="J659" s="2"/>
      <c r="K659" s="2"/>
      <c r="L659" s="2"/>
      <c r="M659" s="2"/>
      <c r="N659" s="2"/>
    </row>
    <row r="660" spans="9:14" x14ac:dyDescent="0.3">
      <c r="I660" s="2"/>
      <c r="J660" s="2"/>
      <c r="K660" s="2"/>
      <c r="L660" s="2"/>
      <c r="M660" s="2"/>
      <c r="N660" s="2"/>
    </row>
    <row r="661" spans="9:14" x14ac:dyDescent="0.3">
      <c r="I661" s="2"/>
      <c r="J661" s="2"/>
      <c r="K661" s="2"/>
      <c r="L661" s="2"/>
      <c r="M661" s="2"/>
      <c r="N661" s="2"/>
    </row>
    <row r="662" spans="9:14" x14ac:dyDescent="0.3">
      <c r="I662" s="2"/>
      <c r="J662" s="2"/>
      <c r="K662" s="2"/>
      <c r="L662" s="2"/>
      <c r="M662" s="2"/>
      <c r="N662" s="2"/>
    </row>
    <row r="663" spans="9:14" x14ac:dyDescent="0.3">
      <c r="I663" s="2"/>
      <c r="J663" s="2"/>
      <c r="K663" s="2"/>
      <c r="L663" s="2"/>
      <c r="M663" s="2"/>
      <c r="N663" s="2"/>
    </row>
    <row r="664" spans="9:14" x14ac:dyDescent="0.3">
      <c r="I664" s="2"/>
      <c r="J664" s="2"/>
      <c r="K664" s="2"/>
      <c r="L664" s="2"/>
      <c r="M664" s="2"/>
      <c r="N664" s="2"/>
    </row>
    <row r="665" spans="9:14" x14ac:dyDescent="0.3">
      <c r="I665" s="2"/>
      <c r="J665" s="2"/>
      <c r="K665" s="2"/>
      <c r="L665" s="2"/>
      <c r="M665" s="2"/>
      <c r="N665" s="2"/>
    </row>
    <row r="666" spans="9:14" x14ac:dyDescent="0.3">
      <c r="I666" s="2"/>
      <c r="J666" s="2"/>
      <c r="K666" s="2"/>
      <c r="L666" s="2"/>
      <c r="M666" s="2"/>
      <c r="N666" s="2"/>
    </row>
    <row r="667" spans="9:14" x14ac:dyDescent="0.3">
      <c r="I667" s="2"/>
      <c r="J667" s="2"/>
      <c r="K667" s="2"/>
      <c r="L667" s="2"/>
      <c r="M667" s="2"/>
      <c r="N667" s="2"/>
    </row>
    <row r="668" spans="9:14" x14ac:dyDescent="0.3">
      <c r="I668" s="2"/>
      <c r="J668" s="2"/>
      <c r="K668" s="2"/>
      <c r="L668" s="2"/>
      <c r="M668" s="2"/>
      <c r="N668" s="2"/>
    </row>
    <row r="669" spans="9:14" x14ac:dyDescent="0.3">
      <c r="I669" s="2"/>
      <c r="J669" s="2"/>
      <c r="K669" s="2"/>
      <c r="L669" s="2"/>
      <c r="M669" s="2"/>
      <c r="N669" s="2"/>
    </row>
    <row r="670" spans="9:14" x14ac:dyDescent="0.3">
      <c r="I670" s="2"/>
      <c r="J670" s="2"/>
      <c r="K670" s="2"/>
      <c r="L670" s="2"/>
      <c r="M670" s="2"/>
      <c r="N670" s="2"/>
    </row>
    <row r="671" spans="9:14" x14ac:dyDescent="0.3">
      <c r="I671" s="2"/>
      <c r="J671" s="2"/>
      <c r="K671" s="2"/>
      <c r="L671" s="2"/>
      <c r="M671" s="2"/>
      <c r="N671" s="2"/>
    </row>
    <row r="672" spans="9:14" x14ac:dyDescent="0.3">
      <c r="I672" s="2"/>
      <c r="J672" s="2"/>
      <c r="K672" s="2"/>
      <c r="L672" s="2"/>
      <c r="M672" s="2"/>
      <c r="N672" s="2"/>
    </row>
    <row r="673" spans="9:14" x14ac:dyDescent="0.3">
      <c r="I673" s="2"/>
      <c r="J673" s="2"/>
      <c r="K673" s="2"/>
      <c r="L673" s="2"/>
      <c r="M673" s="2"/>
      <c r="N673" s="2"/>
    </row>
    <row r="674" spans="9:14" x14ac:dyDescent="0.3">
      <c r="I674" s="2"/>
      <c r="J674" s="2"/>
      <c r="K674" s="2"/>
      <c r="L674" s="2"/>
      <c r="M674" s="2"/>
      <c r="N674" s="2"/>
    </row>
    <row r="675" spans="9:14" x14ac:dyDescent="0.3">
      <c r="I675" s="2"/>
      <c r="J675" s="2"/>
      <c r="K675" s="2"/>
      <c r="L675" s="2"/>
      <c r="M675" s="2"/>
      <c r="N675" s="2"/>
    </row>
    <row r="676" spans="9:14" x14ac:dyDescent="0.3">
      <c r="I676" s="2"/>
      <c r="J676" s="2"/>
      <c r="K676" s="2"/>
      <c r="L676" s="2"/>
      <c r="M676" s="2"/>
      <c r="N676" s="2"/>
    </row>
    <row r="677" spans="9:14" x14ac:dyDescent="0.3">
      <c r="I677" s="2"/>
      <c r="J677" s="2"/>
      <c r="K677" s="2"/>
      <c r="L677" s="2"/>
      <c r="M677" s="2"/>
      <c r="N677" s="2"/>
    </row>
    <row r="678" spans="9:14" x14ac:dyDescent="0.3">
      <c r="I678" s="2"/>
      <c r="J678" s="2"/>
      <c r="K678" s="2"/>
      <c r="L678" s="2"/>
      <c r="M678" s="2"/>
      <c r="N678" s="2"/>
    </row>
    <row r="679" spans="9:14" x14ac:dyDescent="0.3">
      <c r="I679" s="2"/>
      <c r="J679" s="2"/>
      <c r="K679" s="2"/>
      <c r="L679" s="2"/>
      <c r="M679" s="2"/>
      <c r="N679" s="2"/>
    </row>
    <row r="680" spans="9:14" x14ac:dyDescent="0.3">
      <c r="I680" s="2"/>
      <c r="J680" s="2"/>
      <c r="K680" s="2"/>
      <c r="L680" s="2"/>
      <c r="M680" s="2"/>
      <c r="N680" s="2"/>
    </row>
    <row r="681" spans="9:14" x14ac:dyDescent="0.3">
      <c r="I681" s="2"/>
      <c r="J681" s="2"/>
      <c r="K681" s="2"/>
      <c r="L681" s="2"/>
      <c r="M681" s="2"/>
      <c r="N681" s="2"/>
    </row>
    <row r="682" spans="9:14" x14ac:dyDescent="0.3">
      <c r="I682" s="2"/>
      <c r="J682" s="2"/>
      <c r="K682" s="2"/>
      <c r="L682" s="2"/>
      <c r="M682" s="2"/>
      <c r="N682" s="2"/>
    </row>
    <row r="683" spans="9:14" x14ac:dyDescent="0.3">
      <c r="I683" s="2"/>
      <c r="J683" s="2"/>
      <c r="K683" s="2"/>
      <c r="L683" s="2"/>
      <c r="M683" s="2"/>
      <c r="N683" s="2"/>
    </row>
    <row r="684" spans="9:14" x14ac:dyDescent="0.3">
      <c r="I684" s="2"/>
      <c r="J684" s="2"/>
      <c r="K684" s="2"/>
      <c r="L684" s="2"/>
      <c r="M684" s="2"/>
      <c r="N684" s="2"/>
    </row>
    <row r="685" spans="9:14" x14ac:dyDescent="0.3">
      <c r="I685" s="2"/>
      <c r="J685" s="2"/>
      <c r="K685" s="2"/>
      <c r="L685" s="2"/>
      <c r="M685" s="2"/>
      <c r="N685" s="2"/>
    </row>
    <row r="686" spans="9:14" x14ac:dyDescent="0.3">
      <c r="I686" s="2"/>
      <c r="J686" s="2"/>
      <c r="K686" s="2"/>
      <c r="L686" s="2"/>
      <c r="M686" s="2"/>
      <c r="N686" s="2"/>
    </row>
    <row r="687" spans="9:14" x14ac:dyDescent="0.3">
      <c r="I687" s="2"/>
      <c r="J687" s="2"/>
      <c r="K687" s="2"/>
      <c r="L687" s="2"/>
      <c r="M687" s="2"/>
      <c r="N687" s="2"/>
    </row>
    <row r="688" spans="9:14" x14ac:dyDescent="0.3">
      <c r="I688" s="2"/>
      <c r="J688" s="2"/>
      <c r="K688" s="2"/>
      <c r="L688" s="2"/>
      <c r="M688" s="2"/>
      <c r="N688" s="2"/>
    </row>
    <row r="689" spans="9:14" x14ac:dyDescent="0.3">
      <c r="I689" s="2"/>
      <c r="J689" s="2"/>
      <c r="K689" s="2"/>
      <c r="L689" s="2"/>
      <c r="M689" s="2"/>
      <c r="N689" s="2"/>
    </row>
    <row r="690" spans="9:14" x14ac:dyDescent="0.3">
      <c r="I690" s="2"/>
      <c r="J690" s="2"/>
      <c r="K690" s="2"/>
      <c r="L690" s="2"/>
      <c r="M690" s="2"/>
      <c r="N690" s="2"/>
    </row>
    <row r="691" spans="9:14" x14ac:dyDescent="0.3">
      <c r="I691" s="2"/>
      <c r="J691" s="2"/>
      <c r="K691" s="2"/>
      <c r="L691" s="2"/>
      <c r="M691" s="2"/>
      <c r="N691" s="2"/>
    </row>
    <row r="692" spans="9:14" x14ac:dyDescent="0.3">
      <c r="I692" s="2"/>
      <c r="J692" s="2"/>
      <c r="K692" s="2"/>
      <c r="L692" s="2"/>
      <c r="M692" s="2"/>
      <c r="N692" s="2"/>
    </row>
    <row r="693" spans="9:14" x14ac:dyDescent="0.3">
      <c r="I693" s="2"/>
      <c r="J693" s="2"/>
      <c r="K693" s="2"/>
      <c r="L693" s="2"/>
      <c r="M693" s="2"/>
      <c r="N693" s="2"/>
    </row>
    <row r="694" spans="9:14" x14ac:dyDescent="0.3">
      <c r="I694" s="2"/>
      <c r="J694" s="2"/>
      <c r="K694" s="2"/>
      <c r="L694" s="2"/>
      <c r="M694" s="2"/>
      <c r="N694" s="2"/>
    </row>
    <row r="695" spans="9:14" x14ac:dyDescent="0.3">
      <c r="I695" s="2"/>
      <c r="J695" s="2"/>
      <c r="K695" s="2"/>
      <c r="L695" s="2"/>
      <c r="M695" s="2"/>
      <c r="N695" s="2"/>
    </row>
    <row r="696" spans="9:14" x14ac:dyDescent="0.3">
      <c r="I696" s="2"/>
      <c r="J696" s="2"/>
      <c r="K696" s="2"/>
      <c r="L696" s="2"/>
      <c r="M696" s="2"/>
      <c r="N696" s="2"/>
    </row>
    <row r="697" spans="9:14" x14ac:dyDescent="0.3">
      <c r="I697" s="2"/>
      <c r="J697" s="2"/>
      <c r="K697" s="2"/>
      <c r="L697" s="2"/>
      <c r="M697" s="2"/>
      <c r="N697" s="2"/>
    </row>
    <row r="698" spans="9:14" x14ac:dyDescent="0.3">
      <c r="I698" s="2"/>
      <c r="J698" s="2"/>
      <c r="K698" s="2"/>
      <c r="L698" s="2"/>
      <c r="M698" s="2"/>
      <c r="N698" s="2"/>
    </row>
    <row r="699" spans="9:14" x14ac:dyDescent="0.3">
      <c r="I699" s="2"/>
      <c r="J699" s="2"/>
      <c r="K699" s="2"/>
      <c r="L699" s="2"/>
      <c r="M699" s="2"/>
      <c r="N699" s="2"/>
    </row>
    <row r="700" spans="9:14" x14ac:dyDescent="0.3">
      <c r="I700" s="2"/>
      <c r="J700" s="2"/>
      <c r="K700" s="2"/>
      <c r="L700" s="2"/>
      <c r="M700" s="2"/>
      <c r="N700" s="2"/>
    </row>
    <row r="701" spans="9:14" x14ac:dyDescent="0.3">
      <c r="I701" s="2"/>
      <c r="J701" s="2"/>
      <c r="K701" s="2"/>
      <c r="L701" s="2"/>
      <c r="M701" s="2"/>
      <c r="N701" s="2"/>
    </row>
    <row r="702" spans="9:14" x14ac:dyDescent="0.3">
      <c r="I702" s="2"/>
      <c r="J702" s="2"/>
      <c r="K702" s="2"/>
      <c r="L702" s="2"/>
      <c r="M702" s="2"/>
      <c r="N702" s="2"/>
    </row>
    <row r="703" spans="9:14" x14ac:dyDescent="0.3">
      <c r="I703" s="2"/>
      <c r="J703" s="2"/>
      <c r="K703" s="2"/>
      <c r="L703" s="2"/>
      <c r="M703" s="2"/>
      <c r="N703" s="2"/>
    </row>
    <row r="704" spans="9:14" x14ac:dyDescent="0.3">
      <c r="I704" s="2"/>
      <c r="J704" s="2"/>
      <c r="K704" s="2"/>
      <c r="L704" s="2"/>
      <c r="M704" s="2"/>
      <c r="N704" s="2"/>
    </row>
    <row r="705" spans="9:14" x14ac:dyDescent="0.3">
      <c r="I705" s="2"/>
      <c r="J705" s="2"/>
      <c r="K705" s="2"/>
      <c r="L705" s="2"/>
      <c r="M705" s="2"/>
      <c r="N705" s="2"/>
    </row>
    <row r="706" spans="9:14" x14ac:dyDescent="0.3">
      <c r="I706" s="2"/>
      <c r="J706" s="2"/>
      <c r="K706" s="2"/>
      <c r="L706" s="2"/>
      <c r="M706" s="2"/>
      <c r="N706" s="2"/>
    </row>
    <row r="707" spans="9:14" x14ac:dyDescent="0.3">
      <c r="I707" s="2"/>
      <c r="J707" s="2"/>
      <c r="K707" s="2"/>
      <c r="L707" s="2"/>
      <c r="M707" s="2"/>
      <c r="N707" s="2"/>
    </row>
    <row r="708" spans="9:14" x14ac:dyDescent="0.3">
      <c r="I708" s="2"/>
      <c r="J708" s="2"/>
      <c r="K708" s="2"/>
      <c r="L708" s="2"/>
      <c r="M708" s="2"/>
      <c r="N708" s="2"/>
    </row>
    <row r="709" spans="9:14" x14ac:dyDescent="0.3">
      <c r="I709" s="2"/>
      <c r="J709" s="2"/>
      <c r="K709" s="2"/>
      <c r="L709" s="2"/>
      <c r="M709" s="2"/>
      <c r="N709" s="2"/>
    </row>
    <row r="710" spans="9:14" x14ac:dyDescent="0.3">
      <c r="I710" s="2"/>
      <c r="J710" s="2"/>
      <c r="K710" s="2"/>
      <c r="L710" s="2"/>
      <c r="M710" s="2"/>
      <c r="N710" s="2"/>
    </row>
    <row r="711" spans="9:14" x14ac:dyDescent="0.3">
      <c r="I711" s="2"/>
      <c r="J711" s="2"/>
      <c r="K711" s="2"/>
      <c r="L711" s="2"/>
      <c r="M711" s="2"/>
      <c r="N711" s="2"/>
    </row>
    <row r="712" spans="9:14" x14ac:dyDescent="0.3">
      <c r="I712" s="2"/>
      <c r="J712" s="2"/>
      <c r="K712" s="2"/>
      <c r="L712" s="2"/>
      <c r="M712" s="2"/>
      <c r="N712" s="2"/>
    </row>
    <row r="713" spans="9:14" x14ac:dyDescent="0.3">
      <c r="I713" s="2"/>
      <c r="J713" s="2"/>
      <c r="K713" s="2"/>
      <c r="L713" s="2"/>
      <c r="M713" s="2"/>
      <c r="N713" s="2"/>
    </row>
    <row r="714" spans="9:14" x14ac:dyDescent="0.3">
      <c r="I714" s="2"/>
      <c r="J714" s="2"/>
      <c r="K714" s="2"/>
      <c r="L714" s="2"/>
      <c r="M714" s="2"/>
      <c r="N714" s="2"/>
    </row>
    <row r="715" spans="9:14" x14ac:dyDescent="0.3">
      <c r="I715" s="2"/>
      <c r="J715" s="2"/>
      <c r="K715" s="2"/>
      <c r="L715" s="2"/>
      <c r="M715" s="2"/>
      <c r="N715" s="2"/>
    </row>
    <row r="716" spans="9:14" x14ac:dyDescent="0.3">
      <c r="I716" s="2"/>
      <c r="J716" s="2"/>
      <c r="K716" s="2"/>
      <c r="L716" s="2"/>
      <c r="M716" s="2"/>
      <c r="N716" s="2"/>
    </row>
    <row r="717" spans="9:14" x14ac:dyDescent="0.3">
      <c r="I717" s="2"/>
      <c r="J717" s="2"/>
      <c r="K717" s="2"/>
      <c r="L717" s="2"/>
      <c r="M717" s="2"/>
      <c r="N717" s="2"/>
    </row>
    <row r="718" spans="9:14" x14ac:dyDescent="0.3">
      <c r="I718" s="2"/>
      <c r="J718" s="2"/>
      <c r="K718" s="2"/>
      <c r="L718" s="2"/>
      <c r="M718" s="2"/>
      <c r="N718" s="2"/>
    </row>
    <row r="719" spans="9:14" x14ac:dyDescent="0.3">
      <c r="I719" s="2"/>
      <c r="J719" s="2"/>
      <c r="K719" s="2"/>
      <c r="L719" s="2"/>
      <c r="M719" s="2"/>
      <c r="N719" s="2"/>
    </row>
    <row r="720" spans="9:14" x14ac:dyDescent="0.3">
      <c r="I720" s="2"/>
      <c r="J720" s="2"/>
      <c r="K720" s="2"/>
      <c r="L720" s="2"/>
      <c r="M720" s="2"/>
      <c r="N720" s="2"/>
    </row>
    <row r="721" spans="9:14" x14ac:dyDescent="0.3">
      <c r="I721" s="2"/>
      <c r="J721" s="2"/>
      <c r="K721" s="2"/>
      <c r="L721" s="2"/>
      <c r="M721" s="2"/>
      <c r="N721" s="2"/>
    </row>
    <row r="722" spans="9:14" x14ac:dyDescent="0.3">
      <c r="I722" s="2"/>
      <c r="J722" s="2"/>
      <c r="K722" s="2"/>
      <c r="L722" s="2"/>
      <c r="M722" s="2"/>
      <c r="N722" s="2"/>
    </row>
    <row r="723" spans="9:14" x14ac:dyDescent="0.3">
      <c r="I723" s="2"/>
      <c r="J723" s="2"/>
      <c r="K723" s="2"/>
      <c r="L723" s="2"/>
      <c r="M723" s="2"/>
      <c r="N723" s="2"/>
    </row>
    <row r="724" spans="9:14" x14ac:dyDescent="0.3">
      <c r="I724" s="2"/>
      <c r="J724" s="2"/>
      <c r="K724" s="2"/>
      <c r="L724" s="2"/>
      <c r="M724" s="2"/>
      <c r="N724" s="2"/>
    </row>
    <row r="725" spans="9:14" x14ac:dyDescent="0.3">
      <c r="I725" s="2"/>
      <c r="J725" s="2"/>
      <c r="K725" s="2"/>
      <c r="L725" s="2"/>
      <c r="M725" s="2"/>
      <c r="N725" s="2"/>
    </row>
    <row r="726" spans="9:14" x14ac:dyDescent="0.3">
      <c r="I726" s="2"/>
      <c r="J726" s="2"/>
      <c r="K726" s="2"/>
      <c r="L726" s="2"/>
      <c r="M726" s="2"/>
      <c r="N726" s="2"/>
    </row>
    <row r="727" spans="9:14" x14ac:dyDescent="0.3">
      <c r="I727" s="2"/>
      <c r="J727" s="2"/>
      <c r="K727" s="2"/>
      <c r="L727" s="2"/>
      <c r="M727" s="2"/>
      <c r="N727" s="2"/>
    </row>
    <row r="728" spans="9:14" x14ac:dyDescent="0.3">
      <c r="I728" s="2"/>
      <c r="J728" s="2"/>
      <c r="K728" s="2"/>
      <c r="L728" s="2"/>
      <c r="M728" s="2"/>
      <c r="N728" s="2"/>
    </row>
    <row r="729" spans="9:14" x14ac:dyDescent="0.3">
      <c r="I729" s="2"/>
      <c r="J729" s="2"/>
      <c r="K729" s="2"/>
      <c r="L729" s="2"/>
      <c r="M729" s="2"/>
      <c r="N729" s="2"/>
    </row>
    <row r="730" spans="9:14" x14ac:dyDescent="0.3">
      <c r="I730" s="2"/>
      <c r="J730" s="2"/>
      <c r="K730" s="2"/>
      <c r="L730" s="2"/>
      <c r="M730" s="2"/>
      <c r="N730" s="2"/>
    </row>
    <row r="731" spans="9:14" x14ac:dyDescent="0.3">
      <c r="I731" s="2"/>
      <c r="J731" s="2"/>
      <c r="K731" s="2"/>
      <c r="L731" s="2"/>
      <c r="M731" s="2"/>
      <c r="N731" s="2"/>
    </row>
    <row r="732" spans="9:14" x14ac:dyDescent="0.3">
      <c r="I732" s="2"/>
      <c r="J732" s="2"/>
      <c r="K732" s="2"/>
      <c r="L732" s="2"/>
      <c r="M732" s="2"/>
      <c r="N732" s="2"/>
    </row>
    <row r="733" spans="9:14" x14ac:dyDescent="0.3">
      <c r="I733" s="2"/>
      <c r="J733" s="2"/>
      <c r="K733" s="2"/>
      <c r="L733" s="2"/>
      <c r="M733" s="2"/>
      <c r="N733" s="2"/>
    </row>
    <row r="734" spans="9:14" x14ac:dyDescent="0.3">
      <c r="I734" s="2"/>
      <c r="J734" s="2"/>
      <c r="K734" s="2"/>
      <c r="L734" s="2"/>
      <c r="M734" s="2"/>
      <c r="N734" s="2"/>
    </row>
    <row r="735" spans="9:14" x14ac:dyDescent="0.3">
      <c r="I735" s="2"/>
      <c r="J735" s="2"/>
      <c r="K735" s="2"/>
      <c r="L735" s="2"/>
      <c r="M735" s="2"/>
      <c r="N735" s="2"/>
    </row>
    <row r="736" spans="9:14" x14ac:dyDescent="0.3">
      <c r="I736" s="2"/>
      <c r="J736" s="2"/>
      <c r="K736" s="2"/>
      <c r="L736" s="2"/>
      <c r="M736" s="2"/>
      <c r="N736" s="2"/>
    </row>
    <row r="737" spans="9:14" x14ac:dyDescent="0.3">
      <c r="I737" s="2"/>
      <c r="J737" s="2"/>
      <c r="K737" s="2"/>
      <c r="L737" s="2"/>
      <c r="M737" s="2"/>
      <c r="N737" s="2"/>
    </row>
    <row r="738" spans="9:14" x14ac:dyDescent="0.3">
      <c r="I738" s="2"/>
      <c r="J738" s="2"/>
      <c r="K738" s="2"/>
      <c r="L738" s="2"/>
      <c r="M738" s="2"/>
      <c r="N738" s="2"/>
    </row>
    <row r="739" spans="9:14" x14ac:dyDescent="0.3">
      <c r="I739" s="2"/>
      <c r="J739" s="2"/>
      <c r="K739" s="2"/>
      <c r="L739" s="2"/>
      <c r="M739" s="2"/>
      <c r="N739" s="2"/>
    </row>
    <row r="740" spans="9:14" x14ac:dyDescent="0.3">
      <c r="I740" s="2"/>
      <c r="J740" s="2"/>
      <c r="K740" s="2"/>
      <c r="L740" s="2"/>
      <c r="M740" s="2"/>
      <c r="N740" s="2"/>
    </row>
    <row r="741" spans="9:14" x14ac:dyDescent="0.3">
      <c r="I741" s="2"/>
      <c r="J741" s="2"/>
      <c r="K741" s="2"/>
      <c r="L741" s="2"/>
      <c r="M741" s="2"/>
      <c r="N741" s="2"/>
    </row>
    <row r="742" spans="9:14" x14ac:dyDescent="0.3">
      <c r="I742" s="2"/>
      <c r="J742" s="2"/>
      <c r="K742" s="2"/>
      <c r="L742" s="2"/>
      <c r="M742" s="2"/>
      <c r="N742" s="2"/>
    </row>
    <row r="743" spans="9:14" x14ac:dyDescent="0.3">
      <c r="I743" s="2"/>
      <c r="J743" s="2"/>
      <c r="K743" s="2"/>
      <c r="L743" s="2"/>
      <c r="M743" s="2"/>
      <c r="N743" s="2"/>
    </row>
    <row r="744" spans="9:14" x14ac:dyDescent="0.3">
      <c r="I744" s="2"/>
      <c r="J744" s="2"/>
      <c r="K744" s="2"/>
      <c r="L744" s="2"/>
      <c r="M744" s="2"/>
      <c r="N744" s="2"/>
    </row>
    <row r="745" spans="9:14" x14ac:dyDescent="0.3">
      <c r="I745" s="2"/>
      <c r="J745" s="2"/>
      <c r="K745" s="2"/>
      <c r="L745" s="2"/>
      <c r="M745" s="2"/>
      <c r="N745" s="2"/>
    </row>
    <row r="746" spans="9:14" x14ac:dyDescent="0.3">
      <c r="I746" s="2"/>
      <c r="J746" s="2"/>
      <c r="K746" s="2"/>
      <c r="L746" s="2"/>
      <c r="M746" s="2"/>
      <c r="N746" s="2"/>
    </row>
    <row r="747" spans="9:14" x14ac:dyDescent="0.3">
      <c r="I747" s="2"/>
      <c r="J747" s="2"/>
      <c r="K747" s="2"/>
      <c r="L747" s="2"/>
      <c r="M747" s="2"/>
      <c r="N747" s="2"/>
    </row>
    <row r="748" spans="9:14" x14ac:dyDescent="0.3">
      <c r="I748" s="2"/>
      <c r="J748" s="2"/>
      <c r="K748" s="2"/>
      <c r="L748" s="2"/>
      <c r="M748" s="2"/>
      <c r="N748" s="2"/>
    </row>
    <row r="749" spans="9:14" x14ac:dyDescent="0.3">
      <c r="I749" s="2"/>
      <c r="J749" s="2"/>
      <c r="K749" s="2"/>
      <c r="L749" s="2"/>
      <c r="M749" s="2"/>
      <c r="N749" s="2"/>
    </row>
    <row r="750" spans="9:14" x14ac:dyDescent="0.3">
      <c r="I750" s="2"/>
      <c r="J750" s="2"/>
      <c r="K750" s="2"/>
      <c r="L750" s="2"/>
      <c r="M750" s="2"/>
      <c r="N750" s="2"/>
    </row>
    <row r="751" spans="9:14" x14ac:dyDescent="0.3">
      <c r="I751" s="2"/>
      <c r="J751" s="2"/>
      <c r="K751" s="2"/>
      <c r="L751" s="2"/>
      <c r="M751" s="2"/>
      <c r="N751" s="2"/>
    </row>
    <row r="752" spans="9:14" x14ac:dyDescent="0.3">
      <c r="I752" s="2"/>
      <c r="J752" s="2"/>
      <c r="K752" s="2"/>
      <c r="L752" s="2"/>
      <c r="M752" s="2"/>
      <c r="N752" s="2"/>
    </row>
    <row r="753" spans="9:14" x14ac:dyDescent="0.3">
      <c r="I753" s="2"/>
      <c r="J753" s="2"/>
      <c r="K753" s="2"/>
      <c r="L753" s="2"/>
      <c r="M753" s="2"/>
      <c r="N753" s="2"/>
    </row>
    <row r="754" spans="9:14" x14ac:dyDescent="0.3">
      <c r="I754" s="2"/>
      <c r="J754" s="2"/>
      <c r="K754" s="2"/>
      <c r="L754" s="2"/>
      <c r="M754" s="2"/>
      <c r="N754" s="2"/>
    </row>
    <row r="755" spans="9:14" x14ac:dyDescent="0.3">
      <c r="I755" s="2"/>
      <c r="J755" s="2"/>
      <c r="K755" s="2"/>
      <c r="L755" s="2"/>
      <c r="M755" s="2"/>
      <c r="N755" s="2"/>
    </row>
    <row r="756" spans="9:14" x14ac:dyDescent="0.3">
      <c r="I756" s="2"/>
      <c r="J756" s="2"/>
      <c r="K756" s="2"/>
      <c r="L756" s="2"/>
      <c r="M756" s="2"/>
      <c r="N756" s="2"/>
    </row>
    <row r="757" spans="9:14" x14ac:dyDescent="0.3">
      <c r="I757" s="2"/>
      <c r="J757" s="2"/>
      <c r="K757" s="2"/>
      <c r="L757" s="2"/>
      <c r="M757" s="2"/>
      <c r="N757" s="2"/>
    </row>
    <row r="758" spans="9:14" x14ac:dyDescent="0.3">
      <c r="I758" s="2"/>
      <c r="J758" s="2"/>
      <c r="K758" s="2"/>
      <c r="L758" s="2"/>
      <c r="M758" s="2"/>
      <c r="N758" s="2"/>
    </row>
    <row r="759" spans="9:14" x14ac:dyDescent="0.3">
      <c r="I759" s="2"/>
      <c r="J759" s="2"/>
      <c r="K759" s="2"/>
      <c r="L759" s="2"/>
      <c r="M759" s="2"/>
      <c r="N759" s="2"/>
    </row>
    <row r="760" spans="9:14" x14ac:dyDescent="0.3">
      <c r="I760" s="2"/>
      <c r="J760" s="2"/>
      <c r="K760" s="2"/>
      <c r="L760" s="2"/>
      <c r="M760" s="2"/>
      <c r="N760" s="2"/>
    </row>
    <row r="761" spans="9:14" x14ac:dyDescent="0.3">
      <c r="I761" s="2"/>
      <c r="J761" s="2"/>
      <c r="K761" s="2"/>
      <c r="L761" s="2"/>
      <c r="M761" s="2"/>
      <c r="N761" s="2"/>
    </row>
    <row r="762" spans="9:14" x14ac:dyDescent="0.3">
      <c r="I762" s="2"/>
      <c r="J762" s="2"/>
      <c r="K762" s="2"/>
      <c r="L762" s="2"/>
      <c r="M762" s="2"/>
      <c r="N762" s="2"/>
    </row>
    <row r="763" spans="9:14" x14ac:dyDescent="0.3">
      <c r="I763" s="2"/>
      <c r="J763" s="2"/>
      <c r="K763" s="2"/>
      <c r="L763" s="2"/>
      <c r="M763" s="2"/>
      <c r="N763" s="2"/>
    </row>
    <row r="764" spans="9:14" x14ac:dyDescent="0.3">
      <c r="I764" s="2"/>
      <c r="J764" s="2"/>
      <c r="K764" s="2"/>
      <c r="L764" s="2"/>
      <c r="M764" s="2"/>
      <c r="N764" s="2"/>
    </row>
    <row r="765" spans="9:14" x14ac:dyDescent="0.3">
      <c r="I765" s="2"/>
      <c r="J765" s="2"/>
      <c r="K765" s="2"/>
      <c r="L765" s="2"/>
      <c r="M765" s="2"/>
      <c r="N765" s="2"/>
    </row>
    <row r="766" spans="9:14" x14ac:dyDescent="0.3">
      <c r="I766" s="2"/>
      <c r="J766" s="2"/>
      <c r="K766" s="2"/>
      <c r="L766" s="2"/>
      <c r="M766" s="2"/>
      <c r="N766" s="2"/>
    </row>
    <row r="767" spans="9:14" x14ac:dyDescent="0.3">
      <c r="I767" s="2"/>
      <c r="J767" s="2"/>
      <c r="K767" s="2"/>
      <c r="L767" s="2"/>
      <c r="M767" s="2"/>
      <c r="N767" s="2"/>
    </row>
    <row r="768" spans="9:14" x14ac:dyDescent="0.3">
      <c r="I768" s="2"/>
      <c r="J768" s="2"/>
      <c r="K768" s="2"/>
      <c r="L768" s="2"/>
      <c r="M768" s="2"/>
      <c r="N768" s="2"/>
    </row>
    <row r="769" spans="9:14" x14ac:dyDescent="0.3">
      <c r="I769" s="2"/>
      <c r="J769" s="2"/>
      <c r="K769" s="2"/>
      <c r="L769" s="2"/>
      <c r="M769" s="2"/>
      <c r="N769" s="2"/>
    </row>
    <row r="770" spans="9:14" x14ac:dyDescent="0.3">
      <c r="I770" s="2"/>
      <c r="J770" s="2"/>
      <c r="K770" s="2"/>
      <c r="L770" s="2"/>
      <c r="M770" s="2"/>
      <c r="N770" s="2"/>
    </row>
    <row r="771" spans="9:14" x14ac:dyDescent="0.3">
      <c r="I771" s="2"/>
      <c r="J771" s="2"/>
      <c r="K771" s="2"/>
      <c r="L771" s="2"/>
      <c r="M771" s="2"/>
      <c r="N771" s="2"/>
    </row>
    <row r="772" spans="9:14" x14ac:dyDescent="0.3">
      <c r="I772" s="2"/>
      <c r="J772" s="2"/>
      <c r="K772" s="2"/>
      <c r="L772" s="2"/>
      <c r="M772" s="2"/>
      <c r="N772" s="2"/>
    </row>
    <row r="773" spans="9:14" x14ac:dyDescent="0.3">
      <c r="I773" s="2"/>
      <c r="J773" s="2"/>
      <c r="K773" s="2"/>
      <c r="L773" s="2"/>
      <c r="M773" s="2"/>
      <c r="N773" s="2"/>
    </row>
    <row r="774" spans="9:14" x14ac:dyDescent="0.3">
      <c r="I774" s="2"/>
      <c r="J774" s="2"/>
      <c r="K774" s="2"/>
      <c r="L774" s="2"/>
      <c r="M774" s="2"/>
      <c r="N774" s="2"/>
    </row>
    <row r="775" spans="9:14" x14ac:dyDescent="0.3">
      <c r="I775" s="2"/>
      <c r="J775" s="2"/>
      <c r="K775" s="2"/>
      <c r="L775" s="2"/>
      <c r="M775" s="2"/>
      <c r="N775" s="2"/>
    </row>
    <row r="776" spans="9:14" x14ac:dyDescent="0.3">
      <c r="I776" s="2"/>
      <c r="J776" s="2"/>
      <c r="K776" s="2"/>
      <c r="L776" s="2"/>
      <c r="M776" s="2"/>
      <c r="N776" s="2"/>
    </row>
    <row r="777" spans="9:14" x14ac:dyDescent="0.3">
      <c r="I777" s="2"/>
      <c r="J777" s="2"/>
      <c r="K777" s="2"/>
      <c r="L777" s="2"/>
      <c r="M777" s="2"/>
      <c r="N777" s="2"/>
    </row>
    <row r="778" spans="9:14" x14ac:dyDescent="0.3">
      <c r="I778" s="2"/>
      <c r="J778" s="2"/>
      <c r="K778" s="2"/>
      <c r="L778" s="2"/>
      <c r="M778" s="2"/>
      <c r="N778" s="2"/>
    </row>
    <row r="779" spans="9:14" x14ac:dyDescent="0.3">
      <c r="I779" s="2"/>
      <c r="J779" s="2"/>
      <c r="K779" s="2"/>
      <c r="L779" s="2"/>
      <c r="M779" s="2"/>
      <c r="N779" s="2"/>
    </row>
    <row r="780" spans="9:14" x14ac:dyDescent="0.3">
      <c r="I780" s="2"/>
      <c r="J780" s="2"/>
      <c r="K780" s="2"/>
      <c r="L780" s="2"/>
      <c r="M780" s="2"/>
      <c r="N780" s="2"/>
    </row>
    <row r="781" spans="9:14" x14ac:dyDescent="0.3">
      <c r="I781" s="2"/>
      <c r="J781" s="2"/>
      <c r="K781" s="2"/>
      <c r="L781" s="2"/>
      <c r="M781" s="2"/>
      <c r="N781" s="2"/>
    </row>
    <row r="782" spans="9:14" x14ac:dyDescent="0.3">
      <c r="I782" s="2"/>
      <c r="J782" s="2"/>
      <c r="K782" s="2"/>
      <c r="L782" s="2"/>
      <c r="M782" s="2"/>
      <c r="N782" s="2"/>
    </row>
    <row r="783" spans="9:14" x14ac:dyDescent="0.3">
      <c r="I783" s="2"/>
      <c r="J783" s="2"/>
      <c r="K783" s="2"/>
      <c r="L783" s="2"/>
      <c r="M783" s="2"/>
      <c r="N783" s="2"/>
    </row>
    <row r="784" spans="9:14" x14ac:dyDescent="0.3">
      <c r="I784" s="2"/>
      <c r="J784" s="2"/>
      <c r="K784" s="2"/>
      <c r="L784" s="2"/>
      <c r="M784" s="2"/>
      <c r="N784" s="2"/>
    </row>
    <row r="785" spans="9:14" x14ac:dyDescent="0.3">
      <c r="I785" s="2"/>
      <c r="J785" s="2"/>
      <c r="K785" s="2"/>
      <c r="L785" s="2"/>
      <c r="M785" s="2"/>
      <c r="N785" s="2"/>
    </row>
    <row r="786" spans="9:14" x14ac:dyDescent="0.3">
      <c r="I786" s="2"/>
      <c r="J786" s="2"/>
      <c r="K786" s="2"/>
      <c r="L786" s="2"/>
      <c r="M786" s="2"/>
      <c r="N786" s="2"/>
    </row>
    <row r="787" spans="9:14" x14ac:dyDescent="0.3">
      <c r="I787" s="2"/>
      <c r="J787" s="2"/>
      <c r="K787" s="2"/>
      <c r="L787" s="2"/>
      <c r="M787" s="2"/>
      <c r="N787" s="2"/>
    </row>
    <row r="788" spans="9:14" x14ac:dyDescent="0.3">
      <c r="I788" s="2"/>
      <c r="J788" s="2"/>
      <c r="K788" s="2"/>
      <c r="L788" s="2"/>
      <c r="M788" s="2"/>
      <c r="N788" s="2"/>
    </row>
    <row r="789" spans="9:14" x14ac:dyDescent="0.3">
      <c r="I789" s="2"/>
      <c r="J789" s="2"/>
      <c r="K789" s="2"/>
      <c r="L789" s="2"/>
      <c r="M789" s="2"/>
      <c r="N789" s="2"/>
    </row>
    <row r="790" spans="9:14" x14ac:dyDescent="0.3">
      <c r="I790" s="2"/>
      <c r="J790" s="2"/>
      <c r="K790" s="2"/>
      <c r="L790" s="2"/>
      <c r="M790" s="2"/>
      <c r="N790" s="2"/>
    </row>
    <row r="791" spans="9:14" x14ac:dyDescent="0.3">
      <c r="I791" s="2"/>
      <c r="J791" s="2"/>
      <c r="K791" s="2"/>
      <c r="L791" s="2"/>
      <c r="M791" s="2"/>
      <c r="N791" s="2"/>
    </row>
    <row r="792" spans="9:14" x14ac:dyDescent="0.3">
      <c r="I792" s="2"/>
      <c r="J792" s="2"/>
      <c r="K792" s="2"/>
      <c r="L792" s="2"/>
      <c r="M792" s="2"/>
      <c r="N792" s="2"/>
    </row>
    <row r="793" spans="9:14" x14ac:dyDescent="0.3">
      <c r="I793" s="2"/>
      <c r="J793" s="2"/>
      <c r="K793" s="2"/>
      <c r="L793" s="2"/>
      <c r="M793" s="2"/>
      <c r="N793" s="2"/>
    </row>
    <row r="794" spans="9:14" x14ac:dyDescent="0.3">
      <c r="I794" s="2"/>
      <c r="J794" s="2"/>
      <c r="K794" s="2"/>
      <c r="L794" s="2"/>
      <c r="M794" s="2"/>
      <c r="N794" s="2"/>
    </row>
    <row r="795" spans="9:14" x14ac:dyDescent="0.3">
      <c r="I795" s="2"/>
      <c r="J795" s="2"/>
      <c r="K795" s="2"/>
      <c r="L795" s="2"/>
      <c r="M795" s="2"/>
      <c r="N795" s="2"/>
    </row>
    <row r="796" spans="9:14" x14ac:dyDescent="0.3">
      <c r="I796" s="2"/>
      <c r="J796" s="2"/>
      <c r="K796" s="2"/>
      <c r="L796" s="2"/>
      <c r="M796" s="2"/>
      <c r="N796" s="2"/>
    </row>
    <row r="797" spans="9:14" x14ac:dyDescent="0.3">
      <c r="I797" s="2"/>
      <c r="J797" s="2"/>
      <c r="K797" s="2"/>
      <c r="L797" s="2"/>
      <c r="M797" s="2"/>
      <c r="N797" s="2"/>
    </row>
    <row r="798" spans="9:14" x14ac:dyDescent="0.3">
      <c r="I798" s="2"/>
      <c r="J798" s="2"/>
      <c r="K798" s="2"/>
      <c r="L798" s="2"/>
      <c r="M798" s="2"/>
      <c r="N798" s="2"/>
    </row>
    <row r="799" spans="9:14" x14ac:dyDescent="0.3">
      <c r="I799" s="2"/>
      <c r="J799" s="2"/>
      <c r="K799" s="2"/>
      <c r="L799" s="2"/>
      <c r="M799" s="2"/>
      <c r="N799" s="2"/>
    </row>
    <row r="800" spans="9:14" x14ac:dyDescent="0.3">
      <c r="I800" s="2"/>
      <c r="J800" s="2"/>
      <c r="K800" s="2"/>
      <c r="L800" s="2"/>
      <c r="M800" s="2"/>
      <c r="N800" s="2"/>
    </row>
    <row r="801" spans="9:14" x14ac:dyDescent="0.3">
      <c r="I801" s="2"/>
      <c r="J801" s="2"/>
      <c r="K801" s="2"/>
      <c r="L801" s="2"/>
      <c r="M801" s="2"/>
      <c r="N801" s="2"/>
    </row>
    <row r="802" spans="9:14" x14ac:dyDescent="0.3">
      <c r="I802" s="2"/>
      <c r="J802" s="2"/>
      <c r="K802" s="2"/>
      <c r="L802" s="2"/>
      <c r="M802" s="2"/>
      <c r="N802" s="2"/>
    </row>
    <row r="803" spans="9:14" x14ac:dyDescent="0.3">
      <c r="I803" s="2"/>
      <c r="J803" s="2"/>
      <c r="K803" s="2"/>
      <c r="L803" s="2"/>
      <c r="M803" s="2"/>
      <c r="N803" s="2"/>
    </row>
    <row r="804" spans="9:14" x14ac:dyDescent="0.3">
      <c r="I804" s="2"/>
      <c r="J804" s="2"/>
      <c r="K804" s="2"/>
      <c r="L804" s="2"/>
      <c r="M804" s="2"/>
      <c r="N804" s="2"/>
    </row>
    <row r="805" spans="9:14" x14ac:dyDescent="0.3">
      <c r="I805" s="2"/>
      <c r="J805" s="2"/>
      <c r="K805" s="2"/>
      <c r="L805" s="2"/>
      <c r="M805" s="2"/>
      <c r="N805" s="2"/>
    </row>
    <row r="806" spans="9:14" x14ac:dyDescent="0.3">
      <c r="I806" s="2"/>
      <c r="J806" s="2"/>
      <c r="K806" s="2"/>
      <c r="L806" s="2"/>
      <c r="M806" s="2"/>
      <c r="N806" s="2"/>
    </row>
    <row r="807" spans="9:14" x14ac:dyDescent="0.3">
      <c r="I807" s="2"/>
      <c r="J807" s="2"/>
      <c r="K807" s="2"/>
      <c r="L807" s="2"/>
      <c r="M807" s="2"/>
      <c r="N807" s="2"/>
    </row>
    <row r="808" spans="9:14" x14ac:dyDescent="0.3">
      <c r="I808" s="2"/>
      <c r="J808" s="2"/>
      <c r="K808" s="2"/>
      <c r="L808" s="2"/>
      <c r="M808" s="2"/>
      <c r="N808" s="2"/>
    </row>
    <row r="809" spans="9:14" x14ac:dyDescent="0.3">
      <c r="I809" s="2"/>
      <c r="J809" s="2"/>
      <c r="K809" s="2"/>
      <c r="L809" s="2"/>
      <c r="M809" s="2"/>
      <c r="N809" s="2"/>
    </row>
    <row r="810" spans="9:14" x14ac:dyDescent="0.3">
      <c r="I810" s="2"/>
      <c r="J810" s="2"/>
      <c r="K810" s="2"/>
      <c r="L810" s="2"/>
      <c r="M810" s="2"/>
      <c r="N810" s="2"/>
    </row>
    <row r="811" spans="9:14" x14ac:dyDescent="0.3">
      <c r="I811" s="2"/>
      <c r="J811" s="2"/>
      <c r="K811" s="2"/>
      <c r="L811" s="2"/>
      <c r="M811" s="2"/>
      <c r="N811" s="2"/>
    </row>
    <row r="812" spans="9:14" x14ac:dyDescent="0.3">
      <c r="I812" s="2"/>
      <c r="J812" s="2"/>
      <c r="K812" s="2"/>
      <c r="L812" s="2"/>
      <c r="M812" s="2"/>
      <c r="N812" s="2"/>
    </row>
    <row r="813" spans="9:14" x14ac:dyDescent="0.3">
      <c r="I813" s="2"/>
      <c r="J813" s="2"/>
      <c r="K813" s="2"/>
      <c r="L813" s="2"/>
      <c r="M813" s="2"/>
      <c r="N813" s="2"/>
    </row>
    <row r="814" spans="9:14" x14ac:dyDescent="0.3">
      <c r="I814" s="2"/>
      <c r="J814" s="2"/>
      <c r="K814" s="2"/>
      <c r="L814" s="2"/>
      <c r="M814" s="2"/>
      <c r="N814" s="2"/>
    </row>
    <row r="815" spans="9:14" x14ac:dyDescent="0.3">
      <c r="I815" s="2"/>
      <c r="J815" s="2"/>
      <c r="K815" s="2"/>
      <c r="L815" s="2"/>
      <c r="M815" s="2"/>
      <c r="N815" s="2"/>
    </row>
    <row r="816" spans="9:14" x14ac:dyDescent="0.3">
      <c r="I816" s="2"/>
      <c r="J816" s="2"/>
      <c r="K816" s="2"/>
      <c r="L816" s="2"/>
      <c r="M816" s="2"/>
      <c r="N816" s="2"/>
    </row>
    <row r="817" spans="9:14" x14ac:dyDescent="0.3">
      <c r="I817" s="2"/>
      <c r="J817" s="2"/>
      <c r="K817" s="2"/>
      <c r="L817" s="2"/>
      <c r="M817" s="2"/>
      <c r="N817" s="2"/>
    </row>
    <row r="818" spans="9:14" x14ac:dyDescent="0.3">
      <c r="I818" s="2"/>
      <c r="J818" s="2"/>
      <c r="K818" s="2"/>
      <c r="L818" s="2"/>
      <c r="M818" s="2"/>
      <c r="N818" s="2"/>
    </row>
    <row r="819" spans="9:14" x14ac:dyDescent="0.3">
      <c r="I819" s="2"/>
      <c r="J819" s="2"/>
      <c r="K819" s="2"/>
      <c r="L819" s="2"/>
      <c r="M819" s="2"/>
      <c r="N819" s="2"/>
    </row>
    <row r="820" spans="9:14" x14ac:dyDescent="0.3">
      <c r="I820" s="2"/>
      <c r="J820" s="2"/>
      <c r="K820" s="2"/>
      <c r="L820" s="2"/>
      <c r="M820" s="2"/>
      <c r="N820" s="2"/>
    </row>
    <row r="821" spans="9:14" x14ac:dyDescent="0.3">
      <c r="I821" s="2"/>
      <c r="J821" s="2"/>
      <c r="K821" s="2"/>
      <c r="L821" s="2"/>
      <c r="M821" s="2"/>
      <c r="N821" s="2"/>
    </row>
    <row r="822" spans="9:14" x14ac:dyDescent="0.3">
      <c r="I822" s="2"/>
      <c r="J822" s="2"/>
      <c r="K822" s="2"/>
      <c r="L822" s="2"/>
      <c r="M822" s="2"/>
      <c r="N822" s="2"/>
    </row>
    <row r="823" spans="9:14" x14ac:dyDescent="0.3">
      <c r="I823" s="2"/>
      <c r="J823" s="2"/>
      <c r="K823" s="2"/>
      <c r="L823" s="2"/>
      <c r="M823" s="2"/>
      <c r="N823" s="2"/>
    </row>
    <row r="824" spans="9:14" x14ac:dyDescent="0.3">
      <c r="I824" s="2"/>
      <c r="J824" s="2"/>
      <c r="K824" s="2"/>
      <c r="L824" s="2"/>
      <c r="M824" s="2"/>
      <c r="N824" s="2"/>
    </row>
    <row r="825" spans="9:14" x14ac:dyDescent="0.3">
      <c r="I825" s="2"/>
      <c r="J825" s="2"/>
      <c r="K825" s="2"/>
      <c r="L825" s="2"/>
      <c r="M825" s="2"/>
      <c r="N825" s="2"/>
    </row>
    <row r="826" spans="9:14" x14ac:dyDescent="0.3">
      <c r="I826" s="2"/>
      <c r="J826" s="2"/>
      <c r="K826" s="2"/>
      <c r="L826" s="2"/>
      <c r="M826" s="2"/>
      <c r="N826" s="2"/>
    </row>
    <row r="827" spans="9:14" x14ac:dyDescent="0.3">
      <c r="I827" s="2"/>
      <c r="J827" s="2"/>
      <c r="K827" s="2"/>
      <c r="L827" s="2"/>
      <c r="M827" s="2"/>
      <c r="N827" s="2"/>
    </row>
    <row r="828" spans="9:14" x14ac:dyDescent="0.3">
      <c r="I828" s="2"/>
      <c r="J828" s="2"/>
      <c r="K828" s="2"/>
      <c r="L828" s="2"/>
      <c r="M828" s="2"/>
      <c r="N828" s="2"/>
    </row>
    <row r="829" spans="9:14" x14ac:dyDescent="0.3">
      <c r="I829" s="2"/>
      <c r="J829" s="2"/>
      <c r="K829" s="2"/>
      <c r="L829" s="2"/>
      <c r="M829" s="2"/>
      <c r="N829" s="2"/>
    </row>
    <row r="830" spans="9:14" x14ac:dyDescent="0.3">
      <c r="I830" s="2"/>
      <c r="J830" s="2"/>
      <c r="K830" s="2"/>
      <c r="L830" s="2"/>
      <c r="M830" s="2"/>
      <c r="N830" s="2"/>
    </row>
    <row r="831" spans="9:14" x14ac:dyDescent="0.3">
      <c r="I831" s="2"/>
      <c r="J831" s="2"/>
      <c r="K831" s="2"/>
      <c r="L831" s="2"/>
      <c r="M831" s="2"/>
      <c r="N831" s="2"/>
    </row>
    <row r="832" spans="9:14" x14ac:dyDescent="0.3">
      <c r="I832" s="2"/>
      <c r="J832" s="2"/>
      <c r="K832" s="2"/>
      <c r="L832" s="2"/>
      <c r="M832" s="2"/>
      <c r="N832" s="2"/>
    </row>
    <row r="833" spans="9:14" x14ac:dyDescent="0.3">
      <c r="I833" s="2"/>
      <c r="J833" s="2"/>
      <c r="K833" s="2"/>
      <c r="L833" s="2"/>
      <c r="M833" s="2"/>
      <c r="N833" s="2"/>
    </row>
    <row r="834" spans="9:14" x14ac:dyDescent="0.3">
      <c r="I834" s="2"/>
      <c r="J834" s="2"/>
      <c r="K834" s="2"/>
      <c r="L834" s="2"/>
      <c r="M834" s="2"/>
      <c r="N834" s="2"/>
    </row>
    <row r="835" spans="9:14" x14ac:dyDescent="0.3">
      <c r="I835" s="2"/>
      <c r="J835" s="2"/>
      <c r="K835" s="2"/>
      <c r="L835" s="2"/>
      <c r="M835" s="2"/>
      <c r="N835" s="2"/>
    </row>
    <row r="836" spans="9:14" x14ac:dyDescent="0.3">
      <c r="I836" s="2"/>
      <c r="J836" s="2"/>
      <c r="K836" s="2"/>
      <c r="L836" s="2"/>
      <c r="M836" s="2"/>
      <c r="N836" s="2"/>
    </row>
    <row r="837" spans="9:14" x14ac:dyDescent="0.3">
      <c r="I837" s="2"/>
      <c r="J837" s="2"/>
      <c r="K837" s="2"/>
      <c r="L837" s="2"/>
      <c r="M837" s="2"/>
      <c r="N837" s="2"/>
    </row>
    <row r="838" spans="9:14" x14ac:dyDescent="0.3">
      <c r="I838" s="2"/>
      <c r="J838" s="2"/>
      <c r="K838" s="2"/>
      <c r="L838" s="2"/>
      <c r="M838" s="2"/>
      <c r="N838" s="2"/>
    </row>
    <row r="839" spans="9:14" x14ac:dyDescent="0.3">
      <c r="I839" s="2"/>
      <c r="J839" s="2"/>
      <c r="K839" s="2"/>
      <c r="L839" s="2"/>
      <c r="M839" s="2"/>
      <c r="N839" s="2"/>
    </row>
    <row r="840" spans="9:14" x14ac:dyDescent="0.3">
      <c r="I840" s="2"/>
      <c r="J840" s="2"/>
      <c r="K840" s="2"/>
      <c r="L840" s="2"/>
      <c r="M840" s="2"/>
      <c r="N840" s="2"/>
    </row>
    <row r="841" spans="9:14" x14ac:dyDescent="0.3">
      <c r="I841" s="2"/>
      <c r="J841" s="2"/>
      <c r="K841" s="2"/>
      <c r="L841" s="2"/>
      <c r="M841" s="2"/>
      <c r="N841" s="2"/>
    </row>
    <row r="842" spans="9:14" x14ac:dyDescent="0.3">
      <c r="I842" s="2"/>
      <c r="J842" s="2"/>
      <c r="K842" s="2"/>
      <c r="L842" s="2"/>
      <c r="M842" s="2"/>
      <c r="N842" s="2"/>
    </row>
    <row r="843" spans="9:14" x14ac:dyDescent="0.3">
      <c r="I843" s="2"/>
      <c r="J843" s="2"/>
      <c r="K843" s="2"/>
      <c r="L843" s="2"/>
      <c r="M843" s="2"/>
      <c r="N843" s="2"/>
    </row>
    <row r="844" spans="9:14" x14ac:dyDescent="0.3">
      <c r="I844" s="2"/>
      <c r="J844" s="2"/>
      <c r="K844" s="2"/>
      <c r="L844" s="2"/>
      <c r="M844" s="2"/>
      <c r="N844" s="2"/>
    </row>
    <row r="845" spans="9:14" x14ac:dyDescent="0.3">
      <c r="I845" s="2"/>
      <c r="J845" s="2"/>
      <c r="K845" s="2"/>
      <c r="L845" s="2"/>
      <c r="M845" s="2"/>
      <c r="N845" s="2"/>
    </row>
    <row r="846" spans="9:14" x14ac:dyDescent="0.3">
      <c r="I846" s="2"/>
      <c r="J846" s="2"/>
      <c r="K846" s="2"/>
      <c r="L846" s="2"/>
      <c r="M846" s="2"/>
      <c r="N846" s="2"/>
    </row>
    <row r="847" spans="9:14" x14ac:dyDescent="0.3">
      <c r="I847" s="2"/>
      <c r="J847" s="2"/>
      <c r="K847" s="2"/>
      <c r="L847" s="2"/>
      <c r="M847" s="2"/>
      <c r="N847" s="2"/>
    </row>
    <row r="848" spans="9:14" x14ac:dyDescent="0.3">
      <c r="I848" s="2"/>
      <c r="J848" s="2"/>
      <c r="K848" s="2"/>
      <c r="L848" s="2"/>
      <c r="M848" s="2"/>
      <c r="N848" s="2"/>
    </row>
    <row r="849" spans="9:14" x14ac:dyDescent="0.3">
      <c r="I849" s="2"/>
      <c r="J849" s="2"/>
      <c r="K849" s="2"/>
      <c r="L849" s="2"/>
      <c r="M849" s="2"/>
      <c r="N849" s="2"/>
    </row>
    <row r="850" spans="9:14" x14ac:dyDescent="0.3">
      <c r="I850" s="2"/>
      <c r="J850" s="2"/>
      <c r="K850" s="2"/>
      <c r="L850" s="2"/>
      <c r="M850" s="2"/>
      <c r="N850" s="2"/>
    </row>
    <row r="851" spans="9:14" x14ac:dyDescent="0.3">
      <c r="I851" s="2"/>
      <c r="J851" s="2"/>
      <c r="K851" s="2"/>
      <c r="L851" s="2"/>
      <c r="M851" s="2"/>
      <c r="N851" s="2"/>
    </row>
    <row r="852" spans="9:14" x14ac:dyDescent="0.3">
      <c r="I852" s="2"/>
      <c r="J852" s="2"/>
      <c r="K852" s="2"/>
      <c r="L852" s="2"/>
      <c r="M852" s="2"/>
      <c r="N852" s="2"/>
    </row>
    <row r="853" spans="9:14" x14ac:dyDescent="0.3">
      <c r="I853" s="2"/>
      <c r="J853" s="2"/>
      <c r="K853" s="2"/>
      <c r="L853" s="2"/>
      <c r="M853" s="2"/>
      <c r="N853" s="2"/>
    </row>
    <row r="854" spans="9:14" x14ac:dyDescent="0.3">
      <c r="I854" s="2"/>
      <c r="J854" s="2"/>
      <c r="K854" s="2"/>
      <c r="L854" s="2"/>
      <c r="M854" s="2"/>
      <c r="N854" s="2"/>
    </row>
    <row r="855" spans="9:14" x14ac:dyDescent="0.3">
      <c r="I855" s="2"/>
      <c r="J855" s="2"/>
      <c r="K855" s="2"/>
      <c r="L855" s="2"/>
      <c r="M855" s="2"/>
      <c r="N855" s="2"/>
    </row>
    <row r="856" spans="9:14" x14ac:dyDescent="0.3">
      <c r="I856" s="2"/>
      <c r="J856" s="2"/>
      <c r="K856" s="2"/>
      <c r="L856" s="2"/>
      <c r="M856" s="2"/>
      <c r="N856" s="2"/>
    </row>
    <row r="857" spans="9:14" x14ac:dyDescent="0.3">
      <c r="I857" s="2"/>
      <c r="J857" s="2"/>
      <c r="K857" s="2"/>
      <c r="L857" s="2"/>
      <c r="M857" s="2"/>
      <c r="N857" s="2"/>
    </row>
    <row r="858" spans="9:14" x14ac:dyDescent="0.3">
      <c r="I858" s="2"/>
      <c r="J858" s="2"/>
      <c r="K858" s="2"/>
      <c r="L858" s="2"/>
      <c r="M858" s="2"/>
      <c r="N858" s="2"/>
    </row>
    <row r="859" spans="9:14" x14ac:dyDescent="0.3">
      <c r="I859" s="2"/>
      <c r="J859" s="2"/>
      <c r="K859" s="2"/>
      <c r="L859" s="2"/>
      <c r="M859" s="2"/>
      <c r="N859" s="2"/>
    </row>
    <row r="860" spans="9:14" x14ac:dyDescent="0.3">
      <c r="I860" s="2"/>
      <c r="J860" s="2"/>
      <c r="K860" s="2"/>
      <c r="L860" s="2"/>
      <c r="M860" s="2"/>
      <c r="N860" s="2"/>
    </row>
    <row r="861" spans="9:14" x14ac:dyDescent="0.3">
      <c r="I861" s="2"/>
      <c r="J861" s="2"/>
      <c r="K861" s="2"/>
      <c r="L861" s="2"/>
      <c r="M861" s="2"/>
      <c r="N861" s="2"/>
    </row>
    <row r="862" spans="9:14" x14ac:dyDescent="0.3">
      <c r="I862" s="2"/>
      <c r="J862" s="2"/>
      <c r="K862" s="2"/>
      <c r="L862" s="2"/>
      <c r="M862" s="2"/>
      <c r="N862" s="2"/>
    </row>
    <row r="863" spans="9:14" x14ac:dyDescent="0.3">
      <c r="I863" s="2"/>
      <c r="J863" s="2"/>
      <c r="K863" s="2"/>
      <c r="L863" s="2"/>
      <c r="M863" s="2"/>
      <c r="N863" s="2"/>
    </row>
    <row r="864" spans="9:14" x14ac:dyDescent="0.3">
      <c r="I864" s="2"/>
      <c r="J864" s="2"/>
      <c r="K864" s="2"/>
      <c r="L864" s="2"/>
      <c r="M864" s="2"/>
      <c r="N864" s="2"/>
    </row>
    <row r="865" spans="9:14" x14ac:dyDescent="0.3">
      <c r="I865" s="2"/>
      <c r="J865" s="2"/>
      <c r="K865" s="2"/>
      <c r="L865" s="2"/>
      <c r="M865" s="2"/>
      <c r="N865" s="2"/>
    </row>
    <row r="866" spans="9:14" x14ac:dyDescent="0.3">
      <c r="I866" s="2"/>
      <c r="J866" s="2"/>
      <c r="K866" s="2"/>
      <c r="L866" s="2"/>
      <c r="M866" s="2"/>
      <c r="N866" s="2"/>
    </row>
    <row r="867" spans="9:14" x14ac:dyDescent="0.3">
      <c r="I867" s="2"/>
      <c r="J867" s="2"/>
      <c r="K867" s="2"/>
      <c r="L867" s="2"/>
      <c r="M867" s="2"/>
      <c r="N867" s="2"/>
    </row>
    <row r="868" spans="9:14" x14ac:dyDescent="0.3">
      <c r="I868" s="2"/>
      <c r="J868" s="2"/>
      <c r="K868" s="2"/>
      <c r="L868" s="2"/>
      <c r="M868" s="2"/>
      <c r="N868" s="2"/>
    </row>
    <row r="869" spans="9:14" x14ac:dyDescent="0.3">
      <c r="I869" s="2"/>
      <c r="J869" s="2"/>
      <c r="K869" s="2"/>
      <c r="L869" s="2"/>
      <c r="M869" s="2"/>
      <c r="N869" s="2"/>
    </row>
    <row r="870" spans="9:14" x14ac:dyDescent="0.3">
      <c r="I870" s="2"/>
      <c r="J870" s="2"/>
      <c r="K870" s="2"/>
      <c r="L870" s="2"/>
      <c r="M870" s="2"/>
      <c r="N870" s="2"/>
    </row>
    <row r="871" spans="9:14" x14ac:dyDescent="0.3">
      <c r="I871" s="2"/>
      <c r="J871" s="2"/>
      <c r="K871" s="2"/>
      <c r="L871" s="2"/>
      <c r="M871" s="2"/>
      <c r="N871" s="2"/>
    </row>
    <row r="872" spans="9:14" x14ac:dyDescent="0.3">
      <c r="I872" s="2"/>
      <c r="J872" s="2"/>
      <c r="K872" s="2"/>
      <c r="L872" s="2"/>
      <c r="M872" s="2"/>
      <c r="N872" s="2"/>
    </row>
    <row r="873" spans="9:14" x14ac:dyDescent="0.3">
      <c r="I873" s="2"/>
      <c r="J873" s="2"/>
      <c r="K873" s="2"/>
      <c r="L873" s="2"/>
      <c r="M873" s="2"/>
      <c r="N873" s="2"/>
    </row>
    <row r="874" spans="9:14" x14ac:dyDescent="0.3">
      <c r="I874" s="2"/>
      <c r="J874" s="2"/>
      <c r="K874" s="2"/>
      <c r="L874" s="2"/>
      <c r="M874" s="2"/>
      <c r="N874" s="2"/>
    </row>
    <row r="875" spans="9:14" x14ac:dyDescent="0.3">
      <c r="I875" s="2"/>
      <c r="J875" s="2"/>
      <c r="K875" s="2"/>
      <c r="L875" s="2"/>
      <c r="M875" s="2"/>
      <c r="N875" s="2"/>
    </row>
    <row r="876" spans="9:14" x14ac:dyDescent="0.3">
      <c r="I876" s="2"/>
      <c r="J876" s="2"/>
      <c r="K876" s="2"/>
      <c r="L876" s="2"/>
      <c r="M876" s="2"/>
      <c r="N876" s="2"/>
    </row>
    <row r="877" spans="9:14" x14ac:dyDescent="0.3">
      <c r="I877" s="2"/>
      <c r="J877" s="2"/>
      <c r="K877" s="2"/>
      <c r="L877" s="2"/>
      <c r="M877" s="2"/>
      <c r="N877" s="2"/>
    </row>
    <row r="878" spans="9:14" x14ac:dyDescent="0.3">
      <c r="I878" s="2"/>
      <c r="J878" s="2"/>
      <c r="K878" s="2"/>
      <c r="L878" s="2"/>
      <c r="M878" s="2"/>
      <c r="N878" s="2"/>
    </row>
    <row r="879" spans="9:14" x14ac:dyDescent="0.3">
      <c r="I879" s="2"/>
      <c r="J879" s="2"/>
      <c r="K879" s="2"/>
      <c r="L879" s="2"/>
      <c r="M879" s="2"/>
      <c r="N879" s="2"/>
    </row>
    <row r="880" spans="9:14" x14ac:dyDescent="0.3">
      <c r="I880" s="2"/>
      <c r="J880" s="2"/>
      <c r="K880" s="2"/>
      <c r="L880" s="2"/>
      <c r="M880" s="2"/>
      <c r="N880" s="2"/>
    </row>
    <row r="881" spans="9:14" x14ac:dyDescent="0.3">
      <c r="I881" s="2"/>
      <c r="J881" s="2"/>
      <c r="K881" s="2"/>
      <c r="L881" s="2"/>
      <c r="M881" s="2"/>
      <c r="N881" s="2"/>
    </row>
    <row r="882" spans="9:14" x14ac:dyDescent="0.3">
      <c r="I882" s="2"/>
      <c r="J882" s="2"/>
      <c r="K882" s="2"/>
      <c r="L882" s="2"/>
      <c r="M882" s="2"/>
      <c r="N882" s="2"/>
    </row>
    <row r="883" spans="9:14" x14ac:dyDescent="0.3">
      <c r="I883" s="2"/>
      <c r="J883" s="2"/>
      <c r="K883" s="2"/>
      <c r="L883" s="2"/>
      <c r="M883" s="2"/>
      <c r="N883" s="2"/>
    </row>
    <row r="884" spans="9:14" x14ac:dyDescent="0.3">
      <c r="I884" s="2"/>
      <c r="J884" s="2"/>
      <c r="K884" s="2"/>
      <c r="L884" s="2"/>
      <c r="M884" s="2"/>
      <c r="N884" s="2"/>
    </row>
    <row r="885" spans="9:14" x14ac:dyDescent="0.3">
      <c r="I885" s="2"/>
      <c r="J885" s="2"/>
      <c r="K885" s="2"/>
      <c r="L885" s="2"/>
      <c r="M885" s="2"/>
      <c r="N885" s="2"/>
    </row>
    <row r="886" spans="9:14" x14ac:dyDescent="0.3">
      <c r="I886" s="2"/>
      <c r="J886" s="2"/>
      <c r="K886" s="2"/>
      <c r="L886" s="2"/>
      <c r="M886" s="2"/>
      <c r="N886" s="2"/>
    </row>
    <row r="887" spans="9:14" x14ac:dyDescent="0.3">
      <c r="I887" s="2"/>
      <c r="J887" s="2"/>
      <c r="K887" s="2"/>
      <c r="L887" s="2"/>
      <c r="M887" s="2"/>
      <c r="N887" s="2"/>
    </row>
    <row r="888" spans="9:14" x14ac:dyDescent="0.3">
      <c r="I888" s="2"/>
      <c r="J888" s="2"/>
      <c r="K888" s="2"/>
      <c r="L888" s="2"/>
      <c r="M888" s="2"/>
      <c r="N888" s="2"/>
    </row>
    <row r="889" spans="9:14" x14ac:dyDescent="0.3">
      <c r="I889" s="2"/>
      <c r="J889" s="2"/>
      <c r="K889" s="2"/>
      <c r="L889" s="2"/>
      <c r="M889" s="2"/>
      <c r="N889" s="2"/>
    </row>
    <row r="890" spans="9:14" x14ac:dyDescent="0.3">
      <c r="I890" s="2"/>
      <c r="J890" s="2"/>
      <c r="K890" s="2"/>
      <c r="L890" s="2"/>
      <c r="M890" s="2"/>
      <c r="N890" s="2"/>
    </row>
    <row r="891" spans="9:14" x14ac:dyDescent="0.3">
      <c r="I891" s="2"/>
      <c r="J891" s="2"/>
      <c r="K891" s="2"/>
      <c r="L891" s="2"/>
      <c r="M891" s="2"/>
      <c r="N891" s="2"/>
    </row>
    <row r="892" spans="9:14" x14ac:dyDescent="0.3">
      <c r="I892" s="2"/>
      <c r="J892" s="2"/>
      <c r="K892" s="2"/>
      <c r="L892" s="2"/>
      <c r="M892" s="2"/>
      <c r="N892" s="2"/>
    </row>
    <row r="893" spans="9:14" x14ac:dyDescent="0.3">
      <c r="I893" s="2"/>
      <c r="J893" s="2"/>
      <c r="K893" s="2"/>
      <c r="L893" s="2"/>
      <c r="M893" s="2"/>
      <c r="N893" s="2"/>
    </row>
    <row r="894" spans="9:14" x14ac:dyDescent="0.3">
      <c r="I894" s="2"/>
      <c r="J894" s="2"/>
      <c r="K894" s="2"/>
      <c r="L894" s="2"/>
      <c r="M894" s="2"/>
      <c r="N894" s="2"/>
    </row>
    <row r="895" spans="9:14" x14ac:dyDescent="0.3">
      <c r="I895" s="2"/>
      <c r="J895" s="2"/>
      <c r="K895" s="2"/>
      <c r="L895" s="2"/>
      <c r="M895" s="2"/>
      <c r="N895" s="2"/>
    </row>
    <row r="896" spans="9:14" x14ac:dyDescent="0.3">
      <c r="I896" s="2"/>
      <c r="J896" s="2"/>
      <c r="K896" s="2"/>
      <c r="L896" s="2"/>
      <c r="M896" s="2"/>
      <c r="N896" s="2"/>
    </row>
    <row r="897" spans="9:14" x14ac:dyDescent="0.3">
      <c r="I897" s="2"/>
      <c r="J897" s="2"/>
      <c r="K897" s="2"/>
      <c r="L897" s="2"/>
      <c r="M897" s="2"/>
      <c r="N897" s="2"/>
    </row>
    <row r="898" spans="9:14" x14ac:dyDescent="0.3">
      <c r="I898" s="2"/>
      <c r="J898" s="2"/>
      <c r="K898" s="2"/>
      <c r="L898" s="2"/>
      <c r="M898" s="2"/>
      <c r="N898" s="2"/>
    </row>
    <row r="899" spans="9:14" x14ac:dyDescent="0.3">
      <c r="I899" s="2"/>
      <c r="J899" s="2"/>
      <c r="K899" s="2"/>
      <c r="L899" s="2"/>
      <c r="M899" s="2"/>
      <c r="N899" s="2"/>
    </row>
    <row r="900" spans="9:14" x14ac:dyDescent="0.3">
      <c r="I900" s="2"/>
      <c r="J900" s="2"/>
      <c r="K900" s="2"/>
      <c r="L900" s="2"/>
      <c r="M900" s="2"/>
      <c r="N900" s="2"/>
    </row>
    <row r="901" spans="9:14" x14ac:dyDescent="0.3">
      <c r="I901" s="2"/>
      <c r="J901" s="2"/>
      <c r="K901" s="2"/>
      <c r="L901" s="2"/>
      <c r="M901" s="2"/>
      <c r="N901" s="2"/>
    </row>
    <row r="902" spans="9:14" x14ac:dyDescent="0.3">
      <c r="I902" s="2"/>
      <c r="J902" s="2"/>
      <c r="K902" s="2"/>
      <c r="L902" s="2"/>
      <c r="M902" s="2"/>
      <c r="N902" s="2"/>
    </row>
    <row r="903" spans="9:14" x14ac:dyDescent="0.3">
      <c r="I903" s="2"/>
      <c r="J903" s="2"/>
      <c r="K903" s="2"/>
      <c r="L903" s="2"/>
      <c r="M903" s="2"/>
      <c r="N903" s="2"/>
    </row>
    <row r="904" spans="9:14" x14ac:dyDescent="0.3">
      <c r="I904" s="2"/>
      <c r="J904" s="2"/>
      <c r="K904" s="2"/>
      <c r="L904" s="2"/>
      <c r="M904" s="2"/>
      <c r="N904" s="2"/>
    </row>
    <row r="905" spans="9:14" x14ac:dyDescent="0.3">
      <c r="I905" s="2"/>
      <c r="J905" s="2"/>
      <c r="K905" s="2"/>
      <c r="L905" s="2"/>
      <c r="M905" s="2"/>
      <c r="N905" s="2"/>
    </row>
    <row r="906" spans="9:14" x14ac:dyDescent="0.3">
      <c r="I906" s="2"/>
      <c r="J906" s="2"/>
      <c r="K906" s="2"/>
      <c r="L906" s="2"/>
      <c r="M906" s="2"/>
      <c r="N906" s="2"/>
    </row>
    <row r="907" spans="9:14" x14ac:dyDescent="0.3">
      <c r="I907" s="2"/>
      <c r="J907" s="2"/>
      <c r="K907" s="2"/>
      <c r="L907" s="2"/>
      <c r="M907" s="2"/>
      <c r="N907" s="2"/>
    </row>
    <row r="908" spans="9:14" x14ac:dyDescent="0.3">
      <c r="I908" s="2"/>
      <c r="J908" s="2"/>
      <c r="K908" s="2"/>
      <c r="L908" s="2"/>
      <c r="M908" s="2"/>
      <c r="N908" s="2"/>
    </row>
    <row r="909" spans="9:14" x14ac:dyDescent="0.3">
      <c r="I909" s="2"/>
      <c r="J909" s="2"/>
      <c r="K909" s="2"/>
      <c r="L909" s="2"/>
      <c r="M909" s="2"/>
      <c r="N909" s="2"/>
    </row>
    <row r="910" spans="9:14" x14ac:dyDescent="0.3">
      <c r="I910" s="2"/>
      <c r="J910" s="2"/>
      <c r="K910" s="2"/>
      <c r="L910" s="2"/>
      <c r="M910" s="2"/>
      <c r="N910" s="2"/>
    </row>
    <row r="911" spans="9:14" x14ac:dyDescent="0.3">
      <c r="I911" s="2"/>
      <c r="J911" s="2"/>
      <c r="K911" s="2"/>
      <c r="L911" s="2"/>
      <c r="M911" s="2"/>
      <c r="N911" s="2"/>
    </row>
    <row r="912" spans="9:14" x14ac:dyDescent="0.3">
      <c r="I912" s="2"/>
      <c r="J912" s="2"/>
      <c r="K912" s="2"/>
      <c r="L912" s="2"/>
      <c r="M912" s="2"/>
      <c r="N912" s="2"/>
    </row>
    <row r="913" spans="9:14" x14ac:dyDescent="0.3">
      <c r="I913" s="2"/>
      <c r="J913" s="2"/>
      <c r="K913" s="2"/>
      <c r="L913" s="2"/>
      <c r="M913" s="2"/>
      <c r="N913" s="2"/>
    </row>
    <row r="914" spans="9:14" x14ac:dyDescent="0.3">
      <c r="I914" s="2"/>
      <c r="J914" s="2"/>
      <c r="K914" s="2"/>
      <c r="L914" s="2"/>
      <c r="M914" s="2"/>
      <c r="N914" s="2"/>
    </row>
    <row r="915" spans="9:14" x14ac:dyDescent="0.3">
      <c r="I915" s="2"/>
      <c r="J915" s="2"/>
      <c r="K915" s="2"/>
      <c r="L915" s="2"/>
      <c r="M915" s="2"/>
      <c r="N915" s="2"/>
    </row>
    <row r="916" spans="9:14" x14ac:dyDescent="0.3">
      <c r="I916" s="2"/>
      <c r="J916" s="2"/>
      <c r="K916" s="2"/>
      <c r="L916" s="2"/>
      <c r="M916" s="2"/>
      <c r="N916" s="2"/>
    </row>
    <row r="917" spans="9:14" x14ac:dyDescent="0.3">
      <c r="I917" s="2"/>
      <c r="J917" s="2"/>
      <c r="K917" s="2"/>
      <c r="L917" s="2"/>
      <c r="M917" s="2"/>
      <c r="N917" s="2"/>
    </row>
    <row r="918" spans="9:14" x14ac:dyDescent="0.3">
      <c r="I918" s="2"/>
      <c r="J918" s="2"/>
      <c r="K918" s="2"/>
      <c r="L918" s="2"/>
      <c r="M918" s="2"/>
      <c r="N918" s="2"/>
    </row>
    <row r="919" spans="9:14" x14ac:dyDescent="0.3">
      <c r="I919" s="2"/>
      <c r="J919" s="2"/>
      <c r="K919" s="2"/>
      <c r="L919" s="2"/>
      <c r="M919" s="2"/>
      <c r="N919" s="2"/>
    </row>
    <row r="920" spans="9:14" x14ac:dyDescent="0.3">
      <c r="I920" s="2"/>
      <c r="J920" s="2"/>
      <c r="K920" s="2"/>
      <c r="L920" s="2"/>
      <c r="M920" s="2"/>
      <c r="N920" s="2"/>
    </row>
    <row r="921" spans="9:14" x14ac:dyDescent="0.3">
      <c r="I921" s="2"/>
      <c r="J921" s="2"/>
      <c r="K921" s="2"/>
      <c r="L921" s="2"/>
      <c r="M921" s="2"/>
      <c r="N921" s="2"/>
    </row>
    <row r="922" spans="9:14" x14ac:dyDescent="0.3">
      <c r="I922" s="2"/>
      <c r="J922" s="2"/>
      <c r="K922" s="2"/>
      <c r="L922" s="2"/>
      <c r="M922" s="2"/>
      <c r="N922" s="2"/>
    </row>
    <row r="923" spans="9:14" x14ac:dyDescent="0.3">
      <c r="I923" s="2"/>
      <c r="J923" s="2"/>
      <c r="K923" s="2"/>
      <c r="L923" s="2"/>
      <c r="M923" s="2"/>
      <c r="N923" s="2"/>
    </row>
    <row r="924" spans="9:14" x14ac:dyDescent="0.3">
      <c r="I924" s="2"/>
      <c r="J924" s="2"/>
      <c r="K924" s="2"/>
      <c r="L924" s="2"/>
      <c r="M924" s="2"/>
      <c r="N924" s="2"/>
    </row>
    <row r="925" spans="9:14" x14ac:dyDescent="0.3">
      <c r="I925" s="2"/>
      <c r="J925" s="2"/>
      <c r="K925" s="2"/>
      <c r="L925" s="2"/>
      <c r="M925" s="2"/>
      <c r="N925" s="2"/>
    </row>
    <row r="926" spans="9:14" x14ac:dyDescent="0.3">
      <c r="I926" s="2"/>
      <c r="J926" s="2"/>
      <c r="K926" s="2"/>
      <c r="L926" s="2"/>
      <c r="M926" s="2"/>
      <c r="N926" s="2"/>
    </row>
    <row r="927" spans="9:14" x14ac:dyDescent="0.3">
      <c r="I927" s="2"/>
      <c r="J927" s="2"/>
      <c r="K927" s="2"/>
      <c r="L927" s="2"/>
      <c r="M927" s="2"/>
      <c r="N927" s="2"/>
    </row>
    <row r="928" spans="9:14" x14ac:dyDescent="0.3">
      <c r="I928" s="2"/>
      <c r="J928" s="2"/>
      <c r="K928" s="2"/>
      <c r="L928" s="2"/>
      <c r="M928" s="2"/>
      <c r="N928" s="2"/>
    </row>
    <row r="929" spans="9:14" x14ac:dyDescent="0.3">
      <c r="I929" s="2"/>
      <c r="J929" s="2"/>
      <c r="K929" s="2"/>
      <c r="L929" s="2"/>
      <c r="M929" s="2"/>
      <c r="N929" s="2"/>
    </row>
    <row r="930" spans="9:14" x14ac:dyDescent="0.3">
      <c r="I930" s="2"/>
      <c r="J930" s="2"/>
      <c r="K930" s="2"/>
      <c r="L930" s="2"/>
      <c r="M930" s="2"/>
      <c r="N930" s="2"/>
    </row>
    <row r="931" spans="9:14" x14ac:dyDescent="0.3">
      <c r="I931" s="2"/>
      <c r="J931" s="2"/>
      <c r="K931" s="2"/>
      <c r="L931" s="2"/>
      <c r="M931" s="2"/>
      <c r="N931" s="2"/>
    </row>
    <row r="932" spans="9:14" x14ac:dyDescent="0.3">
      <c r="I932" s="2"/>
      <c r="J932" s="2"/>
      <c r="K932" s="2"/>
      <c r="L932" s="2"/>
      <c r="M932" s="2"/>
      <c r="N932" s="2"/>
    </row>
    <row r="933" spans="9:14" x14ac:dyDescent="0.3">
      <c r="I933" s="2"/>
      <c r="J933" s="2"/>
      <c r="K933" s="2"/>
      <c r="L933" s="2"/>
      <c r="M933" s="2"/>
      <c r="N933" s="2"/>
    </row>
    <row r="934" spans="9:14" x14ac:dyDescent="0.3">
      <c r="I934" s="2"/>
      <c r="J934" s="2"/>
      <c r="K934" s="2"/>
      <c r="L934" s="2"/>
      <c r="M934" s="2"/>
      <c r="N934" s="2"/>
    </row>
    <row r="935" spans="9:14" x14ac:dyDescent="0.3">
      <c r="I935" s="2"/>
      <c r="J935" s="2"/>
      <c r="K935" s="2"/>
      <c r="L935" s="2"/>
      <c r="M935" s="2"/>
      <c r="N935" s="2"/>
    </row>
    <row r="936" spans="9:14" x14ac:dyDescent="0.3">
      <c r="I936" s="2"/>
      <c r="J936" s="2"/>
      <c r="K936" s="2"/>
      <c r="L936" s="2"/>
      <c r="M936" s="2"/>
      <c r="N936" s="2"/>
    </row>
    <row r="937" spans="9:14" x14ac:dyDescent="0.3">
      <c r="I937" s="2"/>
      <c r="J937" s="2"/>
      <c r="K937" s="2"/>
      <c r="L937" s="2"/>
      <c r="M937" s="2"/>
      <c r="N937" s="2"/>
    </row>
    <row r="938" spans="9:14" x14ac:dyDescent="0.3">
      <c r="I938" s="2"/>
      <c r="J938" s="2"/>
      <c r="K938" s="2"/>
      <c r="L938" s="2"/>
      <c r="M938" s="2"/>
      <c r="N938" s="2"/>
    </row>
    <row r="939" spans="9:14" x14ac:dyDescent="0.3">
      <c r="I939" s="2"/>
      <c r="J939" s="2"/>
      <c r="K939" s="2"/>
      <c r="L939" s="2"/>
      <c r="M939" s="2"/>
      <c r="N939" s="2"/>
    </row>
    <row r="940" spans="9:14" x14ac:dyDescent="0.3">
      <c r="I940" s="2"/>
      <c r="J940" s="2"/>
      <c r="K940" s="2"/>
      <c r="L940" s="2"/>
      <c r="M940" s="2"/>
      <c r="N940" s="2"/>
    </row>
    <row r="941" spans="9:14" x14ac:dyDescent="0.3">
      <c r="I941" s="2"/>
      <c r="J941" s="2"/>
      <c r="K941" s="2"/>
      <c r="L941" s="2"/>
      <c r="M941" s="2"/>
      <c r="N941" s="2"/>
    </row>
    <row r="942" spans="9:14" x14ac:dyDescent="0.3">
      <c r="I942" s="2"/>
      <c r="J942" s="2"/>
      <c r="K942" s="2"/>
      <c r="L942" s="2"/>
      <c r="M942" s="2"/>
      <c r="N942" s="2"/>
    </row>
    <row r="943" spans="9:14" x14ac:dyDescent="0.3">
      <c r="I943" s="2"/>
      <c r="J943" s="2"/>
      <c r="K943" s="2"/>
      <c r="L943" s="2"/>
      <c r="M943" s="2"/>
      <c r="N943" s="2"/>
    </row>
    <row r="944" spans="9:14" x14ac:dyDescent="0.3">
      <c r="I944" s="2"/>
      <c r="J944" s="2"/>
      <c r="K944" s="2"/>
      <c r="L944" s="2"/>
      <c r="M944" s="2"/>
      <c r="N944" s="2"/>
    </row>
    <row r="945" spans="9:14" x14ac:dyDescent="0.3">
      <c r="I945" s="2"/>
      <c r="J945" s="2"/>
      <c r="K945" s="2"/>
      <c r="L945" s="2"/>
      <c r="M945" s="2"/>
      <c r="N945" s="2"/>
    </row>
    <row r="946" spans="9:14" x14ac:dyDescent="0.3">
      <c r="I946" s="2"/>
      <c r="J946" s="2"/>
      <c r="K946" s="2"/>
      <c r="L946" s="2"/>
      <c r="M946" s="2"/>
      <c r="N946" s="2"/>
    </row>
    <row r="947" spans="9:14" x14ac:dyDescent="0.3">
      <c r="I947" s="2"/>
      <c r="J947" s="2"/>
      <c r="K947" s="2"/>
      <c r="L947" s="2"/>
      <c r="M947" s="2"/>
      <c r="N947" s="2"/>
    </row>
    <row r="948" spans="9:14" x14ac:dyDescent="0.3">
      <c r="I948" s="2"/>
      <c r="J948" s="2"/>
      <c r="K948" s="2"/>
      <c r="L948" s="2"/>
      <c r="M948" s="2"/>
      <c r="N948" s="2"/>
    </row>
    <row r="949" spans="9:14" x14ac:dyDescent="0.3">
      <c r="I949" s="2"/>
      <c r="J949" s="2"/>
      <c r="K949" s="2"/>
      <c r="L949" s="2"/>
      <c r="M949" s="2"/>
      <c r="N949" s="2"/>
    </row>
    <row r="950" spans="9:14" x14ac:dyDescent="0.3">
      <c r="I950" s="2"/>
      <c r="J950" s="2"/>
      <c r="K950" s="2"/>
      <c r="L950" s="2"/>
      <c r="M950" s="2"/>
      <c r="N950" s="2"/>
    </row>
    <row r="951" spans="9:14" x14ac:dyDescent="0.3">
      <c r="I951" s="2"/>
      <c r="J951" s="2"/>
      <c r="K951" s="2"/>
      <c r="L951" s="2"/>
      <c r="M951" s="2"/>
      <c r="N951" s="2"/>
    </row>
    <row r="952" spans="9:14" x14ac:dyDescent="0.3">
      <c r="I952" s="2"/>
      <c r="J952" s="2"/>
      <c r="K952" s="2"/>
      <c r="L952" s="2"/>
      <c r="M952" s="2"/>
      <c r="N952" s="2"/>
    </row>
    <row r="953" spans="9:14" x14ac:dyDescent="0.3">
      <c r="I953" s="2"/>
      <c r="J953" s="2"/>
      <c r="K953" s="2"/>
      <c r="L953" s="2"/>
      <c r="M953" s="2"/>
      <c r="N953" s="2"/>
    </row>
    <row r="954" spans="9:14" x14ac:dyDescent="0.3">
      <c r="I954" s="2"/>
      <c r="J954" s="2"/>
      <c r="K954" s="2"/>
      <c r="L954" s="2"/>
      <c r="M954" s="2"/>
      <c r="N954" s="2"/>
    </row>
    <row r="955" spans="9:14" x14ac:dyDescent="0.3">
      <c r="I955" s="2"/>
      <c r="J955" s="2"/>
      <c r="K955" s="2"/>
      <c r="L955" s="2"/>
      <c r="M955" s="2"/>
      <c r="N955" s="2"/>
    </row>
    <row r="956" spans="9:14" x14ac:dyDescent="0.3">
      <c r="I956" s="2"/>
      <c r="J956" s="2"/>
      <c r="K956" s="2"/>
      <c r="L956" s="2"/>
      <c r="M956" s="2"/>
      <c r="N956" s="2"/>
    </row>
    <row r="957" spans="9:14" x14ac:dyDescent="0.3">
      <c r="I957" s="2"/>
      <c r="J957" s="2"/>
      <c r="K957" s="2"/>
      <c r="L957" s="2"/>
      <c r="M957" s="2"/>
      <c r="N957" s="2"/>
    </row>
    <row r="958" spans="9:14" x14ac:dyDescent="0.3">
      <c r="I958" s="2"/>
      <c r="J958" s="2"/>
      <c r="K958" s="2"/>
      <c r="L958" s="2"/>
      <c r="M958" s="2"/>
      <c r="N958" s="2"/>
    </row>
    <row r="959" spans="9:14" x14ac:dyDescent="0.3">
      <c r="I959" s="2"/>
      <c r="J959" s="2"/>
      <c r="K959" s="2"/>
      <c r="L959" s="2"/>
      <c r="M959" s="2"/>
      <c r="N959" s="2"/>
    </row>
    <row r="960" spans="9:14" x14ac:dyDescent="0.3">
      <c r="I960" s="2"/>
      <c r="J960" s="2"/>
      <c r="K960" s="2"/>
      <c r="L960" s="2"/>
      <c r="M960" s="2"/>
      <c r="N960" s="2"/>
    </row>
    <row r="961" spans="9:14" x14ac:dyDescent="0.3">
      <c r="I961" s="2"/>
      <c r="J961" s="2"/>
      <c r="K961" s="2"/>
      <c r="L961" s="2"/>
      <c r="M961" s="2"/>
      <c r="N961" s="2"/>
    </row>
    <row r="962" spans="9:14" x14ac:dyDescent="0.3">
      <c r="I962" s="2"/>
      <c r="J962" s="2"/>
      <c r="K962" s="2"/>
      <c r="L962" s="2"/>
      <c r="M962" s="2"/>
      <c r="N962" s="2"/>
    </row>
    <row r="963" spans="9:14" x14ac:dyDescent="0.3">
      <c r="I963" s="2"/>
      <c r="J963" s="2"/>
      <c r="K963" s="2"/>
      <c r="L963" s="2"/>
      <c r="M963" s="2"/>
      <c r="N963" s="2"/>
    </row>
    <row r="964" spans="9:14" x14ac:dyDescent="0.3">
      <c r="I964" s="2"/>
      <c r="J964" s="2"/>
      <c r="K964" s="2"/>
      <c r="L964" s="2"/>
      <c r="M964" s="2"/>
      <c r="N964" s="2"/>
    </row>
    <row r="965" spans="9:14" x14ac:dyDescent="0.3">
      <c r="I965" s="2"/>
      <c r="J965" s="2"/>
      <c r="K965" s="2"/>
      <c r="L965" s="2"/>
      <c r="M965" s="2"/>
      <c r="N965" s="2"/>
    </row>
    <row r="966" spans="9:14" x14ac:dyDescent="0.3">
      <c r="I966" s="2"/>
      <c r="J966" s="2"/>
      <c r="K966" s="2"/>
      <c r="L966" s="2"/>
      <c r="M966" s="2"/>
      <c r="N966" s="2"/>
    </row>
    <row r="967" spans="9:14" x14ac:dyDescent="0.3">
      <c r="I967" s="2"/>
      <c r="J967" s="2"/>
      <c r="K967" s="2"/>
      <c r="L967" s="2"/>
      <c r="M967" s="2"/>
      <c r="N967" s="2"/>
    </row>
    <row r="968" spans="9:14" x14ac:dyDescent="0.3">
      <c r="I968" s="2"/>
      <c r="J968" s="2"/>
      <c r="K968" s="2"/>
      <c r="L968" s="2"/>
      <c r="M968" s="2"/>
      <c r="N968" s="2"/>
    </row>
    <row r="969" spans="9:14" x14ac:dyDescent="0.3">
      <c r="I969" s="2"/>
      <c r="J969" s="2"/>
      <c r="K969" s="2"/>
      <c r="L969" s="2"/>
      <c r="M969" s="2"/>
      <c r="N969" s="2"/>
    </row>
    <row r="970" spans="9:14" x14ac:dyDescent="0.3">
      <c r="I970" s="2"/>
      <c r="J970" s="2"/>
      <c r="K970" s="2"/>
      <c r="L970" s="2"/>
      <c r="M970" s="2"/>
      <c r="N970" s="2"/>
    </row>
    <row r="971" spans="9:14" x14ac:dyDescent="0.3">
      <c r="I971" s="2"/>
      <c r="J971" s="2"/>
      <c r="K971" s="2"/>
      <c r="L971" s="2"/>
      <c r="M971" s="2"/>
      <c r="N971" s="2"/>
    </row>
    <row r="972" spans="9:14" x14ac:dyDescent="0.3">
      <c r="I972" s="2"/>
      <c r="J972" s="2"/>
      <c r="K972" s="2"/>
      <c r="L972" s="2"/>
      <c r="M972" s="2"/>
      <c r="N972" s="2"/>
    </row>
    <row r="973" spans="9:14" x14ac:dyDescent="0.3">
      <c r="I973" s="2"/>
      <c r="J973" s="2"/>
      <c r="K973" s="2"/>
      <c r="L973" s="2"/>
      <c r="M973" s="2"/>
      <c r="N973" s="2"/>
    </row>
    <row r="974" spans="9:14" x14ac:dyDescent="0.3">
      <c r="I974" s="2"/>
      <c r="J974" s="2"/>
      <c r="K974" s="2"/>
      <c r="L974" s="2"/>
      <c r="M974" s="2"/>
      <c r="N974" s="2"/>
    </row>
    <row r="975" spans="9:14" x14ac:dyDescent="0.3">
      <c r="I975" s="2"/>
      <c r="J975" s="2"/>
      <c r="K975" s="2"/>
      <c r="L975" s="2"/>
      <c r="M975" s="2"/>
      <c r="N975" s="2"/>
    </row>
    <row r="976" spans="9:14" x14ac:dyDescent="0.3">
      <c r="I976" s="2"/>
      <c r="J976" s="2"/>
      <c r="K976" s="2"/>
      <c r="L976" s="2"/>
      <c r="M976" s="2"/>
      <c r="N976" s="2"/>
    </row>
    <row r="977" spans="9:14" x14ac:dyDescent="0.3">
      <c r="I977" s="2"/>
      <c r="J977" s="2"/>
      <c r="K977" s="2"/>
      <c r="L977" s="2"/>
      <c r="M977" s="2"/>
      <c r="N977" s="2"/>
    </row>
    <row r="978" spans="9:14" x14ac:dyDescent="0.3">
      <c r="I978" s="2"/>
      <c r="J978" s="2"/>
      <c r="K978" s="2"/>
      <c r="L978" s="2"/>
      <c r="M978" s="2"/>
      <c r="N978" s="2"/>
    </row>
    <row r="979" spans="9:14" x14ac:dyDescent="0.3">
      <c r="I979" s="2"/>
      <c r="J979" s="2"/>
      <c r="K979" s="2"/>
      <c r="L979" s="2"/>
      <c r="M979" s="2"/>
      <c r="N979" s="2"/>
    </row>
    <row r="980" spans="9:14" x14ac:dyDescent="0.3">
      <c r="I980" s="2"/>
      <c r="J980" s="2"/>
      <c r="K980" s="2"/>
      <c r="L980" s="2"/>
      <c r="M980" s="2"/>
      <c r="N980" s="2"/>
    </row>
    <row r="981" spans="9:14" x14ac:dyDescent="0.3">
      <c r="I981" s="2"/>
      <c r="J981" s="2"/>
      <c r="K981" s="2"/>
      <c r="L981" s="2"/>
      <c r="M981" s="2"/>
      <c r="N981" s="2"/>
    </row>
    <row r="982" spans="9:14" x14ac:dyDescent="0.3">
      <c r="I982" s="2"/>
      <c r="J982" s="2"/>
      <c r="K982" s="2"/>
      <c r="L982" s="2"/>
      <c r="M982" s="2"/>
      <c r="N982" s="2"/>
    </row>
    <row r="983" spans="9:14" x14ac:dyDescent="0.3">
      <c r="I983" s="2"/>
      <c r="J983" s="2"/>
      <c r="K983" s="2"/>
      <c r="L983" s="2"/>
      <c r="M983" s="2"/>
      <c r="N983" s="2"/>
    </row>
    <row r="984" spans="9:14" x14ac:dyDescent="0.3">
      <c r="I984" s="2"/>
      <c r="J984" s="2"/>
      <c r="K984" s="2"/>
      <c r="L984" s="2"/>
      <c r="M984" s="2"/>
      <c r="N984" s="2"/>
    </row>
    <row r="985" spans="9:14" x14ac:dyDescent="0.3">
      <c r="I985" s="2"/>
      <c r="J985" s="2"/>
      <c r="K985" s="2"/>
      <c r="L985" s="2"/>
      <c r="M985" s="2"/>
      <c r="N985" s="2"/>
    </row>
    <row r="986" spans="9:14" x14ac:dyDescent="0.3">
      <c r="I986" s="2"/>
      <c r="J986" s="2"/>
      <c r="K986" s="2"/>
      <c r="L986" s="2"/>
      <c r="M986" s="2"/>
      <c r="N986" s="2"/>
    </row>
    <row r="987" spans="9:14" x14ac:dyDescent="0.3">
      <c r="I987" s="2"/>
      <c r="J987" s="2"/>
      <c r="K987" s="2"/>
      <c r="L987" s="2"/>
      <c r="M987" s="2"/>
      <c r="N987" s="2"/>
    </row>
    <row r="988" spans="9:14" x14ac:dyDescent="0.3">
      <c r="I988" s="2"/>
      <c r="J988" s="2"/>
      <c r="K988" s="2"/>
      <c r="L988" s="2"/>
      <c r="M988" s="2"/>
      <c r="N988" s="2"/>
    </row>
    <row r="989" spans="9:14" x14ac:dyDescent="0.3">
      <c r="I989" s="2"/>
      <c r="J989" s="2"/>
      <c r="K989" s="2"/>
      <c r="L989" s="2"/>
      <c r="M989" s="2"/>
      <c r="N989" s="2"/>
    </row>
    <row r="990" spans="9:14" x14ac:dyDescent="0.3">
      <c r="I990" s="2"/>
      <c r="J990" s="2"/>
      <c r="K990" s="2"/>
      <c r="L990" s="2"/>
      <c r="M990" s="2"/>
      <c r="N990" s="2"/>
    </row>
    <row r="991" spans="9:14" x14ac:dyDescent="0.3">
      <c r="I991" s="2"/>
      <c r="J991" s="2"/>
      <c r="K991" s="2"/>
      <c r="L991" s="2"/>
      <c r="M991" s="2"/>
      <c r="N991" s="2"/>
    </row>
    <row r="992" spans="9:14" x14ac:dyDescent="0.3">
      <c r="I992" s="2"/>
      <c r="J992" s="2"/>
      <c r="K992" s="2"/>
      <c r="L992" s="2"/>
      <c r="M992" s="2"/>
      <c r="N992" s="2"/>
    </row>
    <row r="993" spans="9:14" x14ac:dyDescent="0.3">
      <c r="I993" s="2"/>
      <c r="J993" s="2"/>
      <c r="K993" s="2"/>
      <c r="L993" s="2"/>
      <c r="M993" s="2"/>
      <c r="N993" s="2"/>
    </row>
    <row r="994" spans="9:14" x14ac:dyDescent="0.3">
      <c r="I994" s="2"/>
      <c r="J994" s="2"/>
      <c r="K994" s="2"/>
      <c r="L994" s="2"/>
      <c r="M994" s="2"/>
      <c r="N994" s="2"/>
    </row>
    <row r="995" spans="9:14" x14ac:dyDescent="0.3">
      <c r="I995" s="2"/>
      <c r="J995" s="2"/>
      <c r="K995" s="2"/>
      <c r="L995" s="2"/>
      <c r="M995" s="2"/>
      <c r="N995" s="2"/>
    </row>
    <row r="996" spans="9:14" x14ac:dyDescent="0.3">
      <c r="I996" s="2"/>
      <c r="J996" s="2"/>
      <c r="K996" s="2"/>
      <c r="L996" s="2"/>
      <c r="M996" s="2"/>
      <c r="N996" s="2"/>
    </row>
    <row r="997" spans="9:14" x14ac:dyDescent="0.3">
      <c r="I997" s="2"/>
      <c r="J997" s="2"/>
      <c r="K997" s="2"/>
      <c r="L997" s="2"/>
      <c r="M997" s="2"/>
      <c r="N997" s="2"/>
    </row>
    <row r="998" spans="9:14" x14ac:dyDescent="0.3">
      <c r="I998" s="2"/>
      <c r="J998" s="2"/>
      <c r="K998" s="2"/>
      <c r="L998" s="2"/>
      <c r="M998" s="2"/>
      <c r="N998" s="2"/>
    </row>
    <row r="999" spans="9:14" x14ac:dyDescent="0.3">
      <c r="I999" s="2"/>
      <c r="J999" s="2"/>
      <c r="K999" s="2"/>
      <c r="L999" s="2"/>
      <c r="M999" s="2"/>
      <c r="N999" s="2"/>
    </row>
    <row r="1000" spans="9:14" x14ac:dyDescent="0.3">
      <c r="I1000" s="2"/>
      <c r="J1000" s="2"/>
      <c r="K1000" s="2"/>
      <c r="L1000" s="2"/>
      <c r="M1000" s="2"/>
      <c r="N1000" s="2"/>
    </row>
    <row r="1001" spans="9:14" x14ac:dyDescent="0.3">
      <c r="I1001" s="2"/>
      <c r="J1001" s="2"/>
      <c r="K1001" s="2"/>
      <c r="L1001" s="2"/>
      <c r="M1001" s="2"/>
      <c r="N1001" s="2"/>
    </row>
    <row r="1002" spans="9:14" x14ac:dyDescent="0.3">
      <c r="I1002" s="2"/>
      <c r="J1002" s="2"/>
      <c r="K1002" s="2"/>
      <c r="L1002" s="2"/>
      <c r="M1002" s="2"/>
      <c r="N1002" s="2"/>
    </row>
    <row r="1003" spans="9:14" x14ac:dyDescent="0.3">
      <c r="I1003" s="2"/>
      <c r="J1003" s="2"/>
      <c r="K1003" s="2"/>
      <c r="L1003" s="2"/>
      <c r="M1003" s="2"/>
      <c r="N1003" s="2"/>
    </row>
    <row r="1004" spans="9:14" x14ac:dyDescent="0.3">
      <c r="I1004" s="2"/>
      <c r="J1004" s="2"/>
      <c r="K1004" s="2"/>
      <c r="L1004" s="2"/>
      <c r="M1004" s="2"/>
      <c r="N1004" s="2"/>
    </row>
    <row r="1005" spans="9:14" x14ac:dyDescent="0.3">
      <c r="I1005" s="2"/>
      <c r="J1005" s="2"/>
      <c r="K1005" s="2"/>
      <c r="L1005" s="2"/>
      <c r="M1005" s="2"/>
      <c r="N1005" s="2"/>
    </row>
    <row r="1006" spans="9:14" x14ac:dyDescent="0.3">
      <c r="I1006" s="2"/>
      <c r="J1006" s="2"/>
      <c r="K1006" s="2"/>
      <c r="L1006" s="2"/>
      <c r="M1006" s="2"/>
      <c r="N1006" s="2"/>
    </row>
    <row r="1007" spans="9:14" x14ac:dyDescent="0.3">
      <c r="I1007" s="2"/>
      <c r="J1007" s="2"/>
      <c r="K1007" s="2"/>
      <c r="L1007" s="2"/>
      <c r="M1007" s="2"/>
      <c r="N1007" s="2"/>
    </row>
    <row r="1008" spans="9:14" x14ac:dyDescent="0.3">
      <c r="I1008" s="2"/>
      <c r="J1008" s="2"/>
      <c r="K1008" s="2"/>
      <c r="L1008" s="2"/>
      <c r="M1008" s="2"/>
      <c r="N1008" s="2"/>
    </row>
    <row r="1009" spans="9:14" x14ac:dyDescent="0.3">
      <c r="I1009" s="2"/>
      <c r="J1009" s="2"/>
      <c r="K1009" s="2"/>
      <c r="L1009" s="2"/>
      <c r="M1009" s="2"/>
      <c r="N1009" s="2"/>
    </row>
    <row r="1010" spans="9:14" x14ac:dyDescent="0.3">
      <c r="I1010" s="2"/>
      <c r="J1010" s="2"/>
      <c r="K1010" s="2"/>
      <c r="L1010" s="2"/>
      <c r="M1010" s="2"/>
      <c r="N1010" s="2"/>
    </row>
    <row r="1011" spans="9:14" x14ac:dyDescent="0.3">
      <c r="I1011" s="2"/>
      <c r="J1011" s="2"/>
      <c r="K1011" s="2"/>
      <c r="L1011" s="2"/>
      <c r="M1011" s="2"/>
      <c r="N1011" s="2"/>
    </row>
    <row r="1012" spans="9:14" x14ac:dyDescent="0.3">
      <c r="I1012" s="2"/>
      <c r="J1012" s="2"/>
      <c r="K1012" s="2"/>
      <c r="L1012" s="2"/>
      <c r="M1012" s="2"/>
      <c r="N1012" s="2"/>
    </row>
    <row r="1013" spans="9:14" x14ac:dyDescent="0.3">
      <c r="I1013" s="2"/>
      <c r="J1013" s="2"/>
      <c r="K1013" s="2"/>
      <c r="L1013" s="2"/>
      <c r="M1013" s="2"/>
      <c r="N1013" s="2"/>
    </row>
    <row r="1014" spans="9:14" x14ac:dyDescent="0.3">
      <c r="I1014" s="2"/>
      <c r="J1014" s="2"/>
      <c r="K1014" s="2"/>
      <c r="L1014" s="2"/>
      <c r="M1014" s="2"/>
      <c r="N1014" s="2"/>
    </row>
    <row r="1015" spans="9:14" x14ac:dyDescent="0.3">
      <c r="I1015" s="2"/>
      <c r="J1015" s="2"/>
      <c r="K1015" s="2"/>
      <c r="L1015" s="2"/>
      <c r="M1015" s="2"/>
      <c r="N1015" s="2"/>
    </row>
    <row r="1016" spans="9:14" x14ac:dyDescent="0.3">
      <c r="I1016" s="2"/>
      <c r="J1016" s="2"/>
      <c r="K1016" s="2"/>
      <c r="L1016" s="2"/>
      <c r="M1016" s="2"/>
      <c r="N1016" s="2"/>
    </row>
    <row r="1017" spans="9:14" x14ac:dyDescent="0.3">
      <c r="I1017" s="2"/>
      <c r="J1017" s="2"/>
      <c r="K1017" s="2"/>
      <c r="L1017" s="2"/>
      <c r="M1017" s="2"/>
      <c r="N1017" s="2"/>
    </row>
    <row r="1018" spans="9:14" x14ac:dyDescent="0.3">
      <c r="I1018" s="2"/>
      <c r="J1018" s="2"/>
      <c r="K1018" s="2"/>
      <c r="L1018" s="2"/>
      <c r="M1018" s="2"/>
      <c r="N1018" s="2"/>
    </row>
    <row r="1019" spans="9:14" x14ac:dyDescent="0.3">
      <c r="I1019" s="2"/>
      <c r="J1019" s="2"/>
      <c r="K1019" s="2"/>
      <c r="L1019" s="2"/>
      <c r="M1019" s="2"/>
      <c r="N1019" s="2"/>
    </row>
    <row r="1020" spans="9:14" x14ac:dyDescent="0.3">
      <c r="I1020" s="2"/>
      <c r="J1020" s="2"/>
      <c r="K1020" s="2"/>
      <c r="L1020" s="2"/>
      <c r="M1020" s="2"/>
      <c r="N1020" s="2"/>
    </row>
    <row r="1021" spans="9:14" x14ac:dyDescent="0.3">
      <c r="I1021" s="2"/>
      <c r="J1021" s="2"/>
      <c r="K1021" s="2"/>
      <c r="L1021" s="2"/>
      <c r="M1021" s="2"/>
      <c r="N1021" s="2"/>
    </row>
    <row r="1022" spans="9:14" x14ac:dyDescent="0.3">
      <c r="I1022" s="2"/>
      <c r="J1022" s="2"/>
      <c r="K1022" s="2"/>
      <c r="L1022" s="2"/>
      <c r="M1022" s="2"/>
      <c r="N1022" s="2"/>
    </row>
    <row r="1023" spans="9:14" x14ac:dyDescent="0.3">
      <c r="I1023" s="2"/>
      <c r="J1023" s="2"/>
      <c r="K1023" s="2"/>
      <c r="L1023" s="2"/>
      <c r="M1023" s="2"/>
      <c r="N1023" s="2"/>
    </row>
    <row r="1024" spans="9:14" x14ac:dyDescent="0.3">
      <c r="I1024" s="2"/>
      <c r="J1024" s="2"/>
      <c r="K1024" s="2"/>
      <c r="L1024" s="2"/>
      <c r="M1024" s="2"/>
      <c r="N1024" s="2"/>
    </row>
    <row r="1025" spans="9:14" x14ac:dyDescent="0.3">
      <c r="I1025" s="2"/>
      <c r="J1025" s="2"/>
      <c r="K1025" s="2"/>
      <c r="L1025" s="2"/>
      <c r="M1025" s="2"/>
      <c r="N1025" s="2"/>
    </row>
    <row r="1026" spans="9:14" x14ac:dyDescent="0.3">
      <c r="I1026" s="2"/>
      <c r="J1026" s="2"/>
      <c r="K1026" s="2"/>
      <c r="L1026" s="2"/>
      <c r="M1026" s="2"/>
      <c r="N1026" s="2"/>
    </row>
    <row r="1027" spans="9:14" x14ac:dyDescent="0.3">
      <c r="I1027" s="2"/>
      <c r="J1027" s="2"/>
      <c r="K1027" s="2"/>
      <c r="L1027" s="2"/>
      <c r="M1027" s="2"/>
      <c r="N1027" s="2"/>
    </row>
    <row r="1028" spans="9:14" x14ac:dyDescent="0.3">
      <c r="I1028" s="2"/>
      <c r="J1028" s="2"/>
      <c r="K1028" s="2"/>
      <c r="L1028" s="2"/>
      <c r="M1028" s="2"/>
      <c r="N1028" s="2"/>
    </row>
    <row r="1029" spans="9:14" x14ac:dyDescent="0.3">
      <c r="I1029" s="2"/>
      <c r="J1029" s="2"/>
      <c r="K1029" s="2"/>
      <c r="L1029" s="2"/>
      <c r="M1029" s="2"/>
      <c r="N1029" s="2"/>
    </row>
    <row r="1030" spans="9:14" x14ac:dyDescent="0.3">
      <c r="I1030" s="2"/>
      <c r="J1030" s="2"/>
      <c r="K1030" s="2"/>
      <c r="L1030" s="2"/>
      <c r="M1030" s="2"/>
      <c r="N1030" s="2"/>
    </row>
    <row r="1031" spans="9:14" x14ac:dyDescent="0.3">
      <c r="I1031" s="2"/>
      <c r="J1031" s="2"/>
      <c r="K1031" s="2"/>
      <c r="L1031" s="2"/>
      <c r="M1031" s="2"/>
      <c r="N1031" s="2"/>
    </row>
    <row r="1032" spans="9:14" x14ac:dyDescent="0.3">
      <c r="I1032" s="2"/>
      <c r="J1032" s="2"/>
      <c r="K1032" s="2"/>
      <c r="L1032" s="2"/>
      <c r="M1032" s="2"/>
      <c r="N1032" s="2"/>
    </row>
    <row r="1033" spans="9:14" x14ac:dyDescent="0.3">
      <c r="I1033" s="2"/>
      <c r="J1033" s="2"/>
      <c r="K1033" s="2"/>
      <c r="L1033" s="2"/>
      <c r="M1033" s="2"/>
      <c r="N1033" s="2"/>
    </row>
    <row r="1034" spans="9:14" x14ac:dyDescent="0.3">
      <c r="I1034" s="2"/>
      <c r="J1034" s="2"/>
      <c r="K1034" s="2"/>
      <c r="L1034" s="2"/>
      <c r="M1034" s="2"/>
      <c r="N1034" s="2"/>
    </row>
    <row r="1035" spans="9:14" x14ac:dyDescent="0.3">
      <c r="I1035" s="2"/>
      <c r="J1035" s="2"/>
      <c r="K1035" s="2"/>
      <c r="L1035" s="2"/>
      <c r="M1035" s="2"/>
      <c r="N1035" s="2"/>
    </row>
    <row r="1036" spans="9:14" x14ac:dyDescent="0.3">
      <c r="I1036" s="2"/>
      <c r="J1036" s="2"/>
      <c r="K1036" s="2"/>
      <c r="L1036" s="2"/>
      <c r="M1036" s="2"/>
      <c r="N1036" s="2"/>
    </row>
    <row r="1037" spans="9:14" x14ac:dyDescent="0.3">
      <c r="I1037" s="2"/>
      <c r="J1037" s="2"/>
      <c r="K1037" s="2"/>
      <c r="L1037" s="2"/>
      <c r="M1037" s="2"/>
      <c r="N1037" s="2"/>
    </row>
    <row r="1038" spans="9:14" x14ac:dyDescent="0.3">
      <c r="I1038" s="2"/>
      <c r="J1038" s="2"/>
      <c r="K1038" s="2"/>
      <c r="L1038" s="2"/>
      <c r="M1038" s="2"/>
      <c r="N1038" s="2"/>
    </row>
    <row r="1039" spans="9:14" x14ac:dyDescent="0.3">
      <c r="I1039" s="2"/>
      <c r="J1039" s="2"/>
      <c r="K1039" s="2"/>
      <c r="L1039" s="2"/>
      <c r="M1039" s="2"/>
      <c r="N1039" s="2"/>
    </row>
    <row r="1040" spans="9:14" x14ac:dyDescent="0.3">
      <c r="I1040" s="2"/>
      <c r="J1040" s="2"/>
      <c r="K1040" s="2"/>
      <c r="L1040" s="2"/>
      <c r="M1040" s="2"/>
      <c r="N1040" s="2"/>
    </row>
    <row r="1041" spans="9:14" x14ac:dyDescent="0.3">
      <c r="I1041" s="2"/>
      <c r="J1041" s="2"/>
      <c r="K1041" s="2"/>
      <c r="L1041" s="2"/>
      <c r="M1041" s="2"/>
      <c r="N1041" s="2"/>
    </row>
    <row r="1042" spans="9:14" x14ac:dyDescent="0.3">
      <c r="I1042" s="2"/>
      <c r="J1042" s="2"/>
      <c r="K1042" s="2"/>
      <c r="L1042" s="2"/>
      <c r="M1042" s="2"/>
      <c r="N1042" s="2"/>
    </row>
    <row r="1043" spans="9:14" x14ac:dyDescent="0.3">
      <c r="I1043" s="2"/>
      <c r="J1043" s="2"/>
      <c r="K1043" s="2"/>
      <c r="L1043" s="2"/>
      <c r="M1043" s="2"/>
      <c r="N1043" s="2"/>
    </row>
    <row r="1044" spans="9:14" x14ac:dyDescent="0.3">
      <c r="I1044" s="2"/>
      <c r="J1044" s="2"/>
      <c r="K1044" s="2"/>
      <c r="L1044" s="2"/>
      <c r="M1044" s="2"/>
      <c r="N1044" s="2"/>
    </row>
    <row r="1045" spans="9:14" x14ac:dyDescent="0.3">
      <c r="I1045" s="2"/>
      <c r="J1045" s="2"/>
      <c r="K1045" s="2"/>
      <c r="L1045" s="2"/>
      <c r="M1045" s="2"/>
      <c r="N1045" s="2"/>
    </row>
    <row r="1046" spans="9:14" x14ac:dyDescent="0.3">
      <c r="I1046" s="2"/>
      <c r="J1046" s="2"/>
      <c r="K1046" s="2"/>
      <c r="L1046" s="2"/>
      <c r="M1046" s="2"/>
      <c r="N1046" s="2"/>
    </row>
    <row r="1047" spans="9:14" x14ac:dyDescent="0.3">
      <c r="I1047" s="2"/>
      <c r="J1047" s="2"/>
      <c r="K1047" s="2"/>
      <c r="L1047" s="2"/>
      <c r="M1047" s="2"/>
      <c r="N1047" s="2"/>
    </row>
    <row r="1048" spans="9:14" x14ac:dyDescent="0.3">
      <c r="I1048" s="2"/>
      <c r="J1048" s="2"/>
      <c r="K1048" s="2"/>
      <c r="L1048" s="2"/>
      <c r="M1048" s="2"/>
      <c r="N1048" s="2"/>
    </row>
    <row r="1049" spans="9:14" x14ac:dyDescent="0.3">
      <c r="I1049" s="2"/>
      <c r="J1049" s="2"/>
      <c r="K1049" s="2"/>
      <c r="L1049" s="2"/>
      <c r="M1049" s="2"/>
      <c r="N1049" s="2"/>
    </row>
    <row r="1050" spans="9:14" x14ac:dyDescent="0.3">
      <c r="I1050" s="2"/>
      <c r="J1050" s="2"/>
      <c r="K1050" s="2"/>
      <c r="L1050" s="2"/>
      <c r="M1050" s="2"/>
      <c r="N1050" s="2"/>
    </row>
    <row r="1051" spans="9:14" x14ac:dyDescent="0.3">
      <c r="I1051" s="2"/>
      <c r="J1051" s="2"/>
      <c r="K1051" s="2"/>
      <c r="L1051" s="2"/>
      <c r="M1051" s="2"/>
      <c r="N1051" s="2"/>
    </row>
    <row r="1052" spans="9:14" x14ac:dyDescent="0.3">
      <c r="I1052" s="2"/>
      <c r="J1052" s="2"/>
      <c r="K1052" s="2"/>
      <c r="L1052" s="2"/>
      <c r="M1052" s="2"/>
      <c r="N1052" s="2"/>
    </row>
    <row r="1053" spans="9:14" x14ac:dyDescent="0.3">
      <c r="I1053" s="2"/>
      <c r="J1053" s="2"/>
      <c r="K1053" s="2"/>
      <c r="L1053" s="2"/>
      <c r="M1053" s="2"/>
      <c r="N1053" s="2"/>
    </row>
    <row r="1054" spans="9:14" x14ac:dyDescent="0.3">
      <c r="I1054" s="2"/>
      <c r="J1054" s="2"/>
      <c r="K1054" s="2"/>
      <c r="L1054" s="2"/>
      <c r="M1054" s="2"/>
      <c r="N1054" s="2"/>
    </row>
  </sheetData>
  <autoFilter ref="A12:W116" xr:uid="{00000000-0009-0000-0000-000001000000}">
    <filterColumn colId="1">
      <filters>
        <filter val="CDMX"/>
      </filters>
    </filterColumn>
    <filterColumn colId="4">
      <filters>
        <filter val="H.M.E.M. Y N. Lomas de Sotelo"/>
      </filters>
    </filterColumn>
  </autoFilter>
  <mergeCells count="21">
    <mergeCell ref="O8:Q8"/>
    <mergeCell ref="A10:W10"/>
    <mergeCell ref="A11:W11"/>
    <mergeCell ref="A12:A13"/>
    <mergeCell ref="B12:B13"/>
    <mergeCell ref="C12:C13"/>
    <mergeCell ref="D12:D13"/>
    <mergeCell ref="E12:E13"/>
    <mergeCell ref="F12:F13"/>
    <mergeCell ref="G12:H12"/>
    <mergeCell ref="T12:T13"/>
    <mergeCell ref="U12:U13"/>
    <mergeCell ref="V12:V13"/>
    <mergeCell ref="W12:W13"/>
    <mergeCell ref="G116:H116"/>
    <mergeCell ref="L12:L13"/>
    <mergeCell ref="M12:M13"/>
    <mergeCell ref="N12:N13"/>
    <mergeCell ref="O12:O13"/>
    <mergeCell ref="R12:R13"/>
    <mergeCell ref="S12:S13"/>
  </mergeCells>
  <printOptions horizontalCentered="1" verticalCentered="1"/>
  <pageMargins left="0.39370078740157483" right="0.39370078740157483" top="0.39370078740157483" bottom="0.39370078740157483" header="0" footer="0"/>
  <pageSetup scale="3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2"/>
  <sheetViews>
    <sheetView tabSelected="1" topLeftCell="E1" zoomScale="60" zoomScaleNormal="60" workbookViewId="0">
      <selection activeCell="V9" sqref="V9"/>
    </sheetView>
  </sheetViews>
  <sheetFormatPr baseColWidth="10" defaultColWidth="8.88671875" defaultRowHeight="14.4" x14ac:dyDescent="0.3"/>
  <cols>
    <col min="1" max="1" width="8" customWidth="1"/>
    <col min="2" max="2" width="11" customWidth="1"/>
    <col min="3" max="3" width="42" customWidth="1"/>
    <col min="4" max="4" width="20" customWidth="1"/>
    <col min="5" max="5" width="60" customWidth="1"/>
    <col min="6" max="6" width="22" customWidth="1"/>
    <col min="7" max="7" width="15" customWidth="1"/>
    <col min="8" max="9" width="16" customWidth="1"/>
    <col min="10" max="11" width="24" customWidth="1"/>
    <col min="13" max="13" width="24" customWidth="1"/>
    <col min="14" max="14" width="14" customWidth="1"/>
    <col min="16" max="16" width="42" bestFit="1" customWidth="1"/>
    <col min="17" max="17" width="14" customWidth="1"/>
    <col min="21" max="21" width="14.5546875" bestFit="1" customWidth="1"/>
  </cols>
  <sheetData>
    <row r="1" spans="1:22" ht="28.2" customHeight="1" x14ac:dyDescent="0.3">
      <c r="A1" s="97" t="s">
        <v>32</v>
      </c>
      <c r="B1" s="97" t="s">
        <v>33</v>
      </c>
      <c r="C1" s="97" t="s">
        <v>37</v>
      </c>
      <c r="D1" s="97" t="s">
        <v>38</v>
      </c>
      <c r="E1" s="97" t="s">
        <v>39</v>
      </c>
      <c r="F1" s="97" t="s">
        <v>40</v>
      </c>
      <c r="G1" s="118" t="s">
        <v>41</v>
      </c>
      <c r="H1" s="97" t="s">
        <v>612</v>
      </c>
      <c r="I1" s="97" t="s">
        <v>613</v>
      </c>
      <c r="J1" s="118" t="s">
        <v>614</v>
      </c>
      <c r="K1" s="118" t="s">
        <v>35</v>
      </c>
      <c r="M1" s="93" t="s">
        <v>38</v>
      </c>
      <c r="N1" s="93" t="s">
        <v>615</v>
      </c>
      <c r="P1" s="96" t="s">
        <v>37</v>
      </c>
      <c r="Q1" s="96" t="s">
        <v>615</v>
      </c>
    </row>
    <row r="2" spans="1:22" ht="28.2" customHeight="1" x14ac:dyDescent="0.3">
      <c r="A2" s="98">
        <v>1</v>
      </c>
      <c r="B2" s="98">
        <v>6</v>
      </c>
      <c r="C2" s="99" t="s">
        <v>80</v>
      </c>
      <c r="D2" s="98" t="s">
        <v>47</v>
      </c>
      <c r="E2" s="99" t="s">
        <v>81</v>
      </c>
      <c r="F2" s="98" t="s">
        <v>82</v>
      </c>
      <c r="G2" s="98" t="s">
        <v>50</v>
      </c>
      <c r="H2" s="98">
        <v>1</v>
      </c>
      <c r="I2" s="98">
        <v>2</v>
      </c>
      <c r="J2" s="98" t="s">
        <v>79</v>
      </c>
      <c r="K2" s="98" t="s">
        <v>44</v>
      </c>
      <c r="M2" s="94" t="s">
        <v>47</v>
      </c>
      <c r="N2" s="95">
        <v>77</v>
      </c>
      <c r="P2" s="171" t="s">
        <v>46</v>
      </c>
      <c r="Q2" s="172">
        <v>67</v>
      </c>
    </row>
    <row r="3" spans="1:22" ht="28.2" customHeight="1" x14ac:dyDescent="0.3">
      <c r="A3" s="100">
        <v>2</v>
      </c>
      <c r="B3" s="100">
        <v>16</v>
      </c>
      <c r="C3" s="101" t="s">
        <v>171</v>
      </c>
      <c r="D3" s="100" t="s">
        <v>172</v>
      </c>
      <c r="E3" s="101" t="s">
        <v>173</v>
      </c>
      <c r="F3" s="100" t="s">
        <v>174</v>
      </c>
      <c r="G3" s="100" t="s">
        <v>50</v>
      </c>
      <c r="H3" s="100">
        <v>1</v>
      </c>
      <c r="I3" s="100">
        <v>2</v>
      </c>
      <c r="J3" s="100" t="s">
        <v>170</v>
      </c>
      <c r="K3" s="100" t="s">
        <v>151</v>
      </c>
      <c r="M3" s="94" t="s">
        <v>184</v>
      </c>
      <c r="N3" s="95">
        <v>5</v>
      </c>
      <c r="P3" s="165" t="s">
        <v>171</v>
      </c>
      <c r="Q3" s="166">
        <v>4</v>
      </c>
      <c r="T3" s="175"/>
      <c r="U3" s="176" t="s">
        <v>625</v>
      </c>
      <c r="V3">
        <f>SUM(Q3,Q4,Q6,Q13:Q14)</f>
        <v>13</v>
      </c>
    </row>
    <row r="4" spans="1:22" ht="28.2" customHeight="1" x14ac:dyDescent="0.3">
      <c r="A4" s="98">
        <v>3</v>
      </c>
      <c r="B4" s="98">
        <v>17</v>
      </c>
      <c r="C4" s="99" t="s">
        <v>171</v>
      </c>
      <c r="D4" s="98" t="s">
        <v>172</v>
      </c>
      <c r="E4" s="99" t="s">
        <v>117</v>
      </c>
      <c r="F4" s="98" t="s">
        <v>175</v>
      </c>
      <c r="G4" s="98" t="s">
        <v>50</v>
      </c>
      <c r="H4" s="98">
        <v>1</v>
      </c>
      <c r="I4" s="98">
        <v>2</v>
      </c>
      <c r="J4" s="98" t="s">
        <v>170</v>
      </c>
      <c r="K4" s="98" t="s">
        <v>151</v>
      </c>
      <c r="M4" s="165" t="s">
        <v>172</v>
      </c>
      <c r="N4" s="166">
        <v>4</v>
      </c>
      <c r="P4" s="173" t="s">
        <v>59</v>
      </c>
      <c r="Q4" s="166">
        <v>4</v>
      </c>
      <c r="T4" s="177"/>
      <c r="U4" t="s">
        <v>626</v>
      </c>
      <c r="V4">
        <f>SUM(Q5,Q8:Q9,Q11,Q16,Q10,Q17)</f>
        <v>12</v>
      </c>
    </row>
    <row r="5" spans="1:22" ht="28.2" customHeight="1" x14ac:dyDescent="0.3">
      <c r="A5" s="100">
        <v>4</v>
      </c>
      <c r="B5" s="100">
        <v>19</v>
      </c>
      <c r="C5" s="101" t="s">
        <v>46</v>
      </c>
      <c r="D5" s="100" t="s">
        <v>47</v>
      </c>
      <c r="E5" s="101" t="s">
        <v>48</v>
      </c>
      <c r="F5" s="100" t="s">
        <v>49</v>
      </c>
      <c r="G5" s="100" t="s">
        <v>50</v>
      </c>
      <c r="H5" s="100">
        <v>1</v>
      </c>
      <c r="I5" s="100">
        <v>2</v>
      </c>
      <c r="J5" s="100" t="s">
        <v>43</v>
      </c>
      <c r="K5" s="100" t="s">
        <v>44</v>
      </c>
      <c r="M5" s="167" t="s">
        <v>98</v>
      </c>
      <c r="N5" s="168">
        <v>3</v>
      </c>
      <c r="P5" s="169" t="s">
        <v>80</v>
      </c>
      <c r="Q5" s="170">
        <v>3</v>
      </c>
      <c r="T5" s="178"/>
      <c r="U5" t="s">
        <v>627</v>
      </c>
      <c r="V5">
        <v>3</v>
      </c>
    </row>
    <row r="6" spans="1:22" ht="28.2" customHeight="1" x14ac:dyDescent="0.3">
      <c r="A6" s="98">
        <v>5</v>
      </c>
      <c r="B6" s="98">
        <v>20</v>
      </c>
      <c r="C6" s="99" t="s">
        <v>46</v>
      </c>
      <c r="D6" s="98" t="s">
        <v>47</v>
      </c>
      <c r="E6" s="99" t="s">
        <v>48</v>
      </c>
      <c r="F6" s="98" t="s">
        <v>53</v>
      </c>
      <c r="G6" s="98" t="s">
        <v>50</v>
      </c>
      <c r="H6" s="98">
        <v>1</v>
      </c>
      <c r="I6" s="98">
        <v>2</v>
      </c>
      <c r="J6" s="98" t="s">
        <v>43</v>
      </c>
      <c r="K6" s="98" t="s">
        <v>44</v>
      </c>
      <c r="M6" s="169" t="s">
        <v>103</v>
      </c>
      <c r="N6" s="170">
        <v>2</v>
      </c>
      <c r="P6" s="173" t="s">
        <v>195</v>
      </c>
      <c r="Q6" s="166">
        <v>3</v>
      </c>
      <c r="T6" s="179"/>
      <c r="U6" t="s">
        <v>628</v>
      </c>
      <c r="V6">
        <v>3</v>
      </c>
    </row>
    <row r="7" spans="1:22" ht="28.2" customHeight="1" x14ac:dyDescent="0.3">
      <c r="A7" s="100">
        <v>6</v>
      </c>
      <c r="B7" s="100">
        <v>21</v>
      </c>
      <c r="C7" s="101" t="s">
        <v>46</v>
      </c>
      <c r="D7" s="100" t="s">
        <v>47</v>
      </c>
      <c r="E7" s="101" t="s">
        <v>48</v>
      </c>
      <c r="F7" s="100" t="s">
        <v>54</v>
      </c>
      <c r="G7" s="100" t="s">
        <v>50</v>
      </c>
      <c r="H7" s="100">
        <v>1</v>
      </c>
      <c r="I7" s="100">
        <v>2</v>
      </c>
      <c r="J7" s="100" t="s">
        <v>43</v>
      </c>
      <c r="K7" s="100" t="s">
        <v>44</v>
      </c>
      <c r="M7" s="163" t="s">
        <v>76</v>
      </c>
      <c r="N7" s="164">
        <v>2</v>
      </c>
      <c r="P7" s="167" t="s">
        <v>97</v>
      </c>
      <c r="Q7" s="168">
        <v>3</v>
      </c>
      <c r="T7" s="180"/>
      <c r="U7" t="s">
        <v>629</v>
      </c>
      <c r="V7">
        <v>3</v>
      </c>
    </row>
    <row r="8" spans="1:22" ht="28.2" customHeight="1" x14ac:dyDescent="0.3">
      <c r="A8" s="98">
        <v>7</v>
      </c>
      <c r="B8" s="98">
        <v>22</v>
      </c>
      <c r="C8" s="99" t="s">
        <v>46</v>
      </c>
      <c r="D8" s="98" t="s">
        <v>47</v>
      </c>
      <c r="E8" s="99" t="s">
        <v>48</v>
      </c>
      <c r="F8" s="98" t="s">
        <v>55</v>
      </c>
      <c r="G8" s="98" t="s">
        <v>50</v>
      </c>
      <c r="H8" s="98">
        <v>1</v>
      </c>
      <c r="I8" s="98">
        <v>2</v>
      </c>
      <c r="J8" s="98" t="s">
        <v>43</v>
      </c>
      <c r="K8" s="98" t="s">
        <v>44</v>
      </c>
      <c r="M8" s="169" t="s">
        <v>241</v>
      </c>
      <c r="N8" s="170">
        <v>1</v>
      </c>
      <c r="P8" s="174" t="s">
        <v>142</v>
      </c>
      <c r="Q8" s="170">
        <v>2</v>
      </c>
      <c r="T8" s="181"/>
      <c r="U8" t="s">
        <v>630</v>
      </c>
      <c r="V8">
        <v>67</v>
      </c>
    </row>
    <row r="9" spans="1:22" ht="28.2" customHeight="1" x14ac:dyDescent="0.3">
      <c r="A9" s="100">
        <v>8</v>
      </c>
      <c r="B9" s="100">
        <v>23</v>
      </c>
      <c r="C9" s="101" t="s">
        <v>46</v>
      </c>
      <c r="D9" s="100" t="s">
        <v>47</v>
      </c>
      <c r="E9" s="101" t="s">
        <v>56</v>
      </c>
      <c r="F9" s="100" t="s">
        <v>57</v>
      </c>
      <c r="G9" s="100" t="s">
        <v>50</v>
      </c>
      <c r="H9" s="100">
        <v>1</v>
      </c>
      <c r="I9" s="100">
        <v>2</v>
      </c>
      <c r="J9" s="100" t="s">
        <v>43</v>
      </c>
      <c r="K9" s="100" t="s">
        <v>44</v>
      </c>
      <c r="M9" s="161" t="s">
        <v>124</v>
      </c>
      <c r="N9" s="162">
        <v>1</v>
      </c>
      <c r="P9" s="169" t="s">
        <v>102</v>
      </c>
      <c r="Q9" s="170">
        <v>2</v>
      </c>
    </row>
    <row r="10" spans="1:22" ht="28.2" customHeight="1" x14ac:dyDescent="0.3">
      <c r="A10" s="98">
        <v>9</v>
      </c>
      <c r="B10" s="98">
        <v>24</v>
      </c>
      <c r="C10" s="99" t="s">
        <v>46</v>
      </c>
      <c r="D10" s="98" t="s">
        <v>47</v>
      </c>
      <c r="E10" s="99" t="s">
        <v>56</v>
      </c>
      <c r="F10" s="98" t="s">
        <v>65</v>
      </c>
      <c r="G10" s="98" t="s">
        <v>50</v>
      </c>
      <c r="H10" s="98">
        <v>1</v>
      </c>
      <c r="I10" s="98">
        <v>2</v>
      </c>
      <c r="J10" s="98" t="s">
        <v>64</v>
      </c>
      <c r="K10" s="98" t="s">
        <v>44</v>
      </c>
      <c r="M10" s="165" t="s">
        <v>163</v>
      </c>
      <c r="N10" s="166">
        <v>1</v>
      </c>
      <c r="P10" s="174" t="s">
        <v>183</v>
      </c>
      <c r="Q10" s="170">
        <v>2</v>
      </c>
    </row>
    <row r="11" spans="1:22" ht="28.2" customHeight="1" x14ac:dyDescent="0.3">
      <c r="A11" s="100">
        <v>10</v>
      </c>
      <c r="B11" s="100">
        <v>25</v>
      </c>
      <c r="C11" s="101" t="s">
        <v>46</v>
      </c>
      <c r="D11" s="100" t="s">
        <v>47</v>
      </c>
      <c r="E11" s="101" t="s">
        <v>56</v>
      </c>
      <c r="F11" s="100" t="s">
        <v>66</v>
      </c>
      <c r="G11" s="100" t="s">
        <v>50</v>
      </c>
      <c r="H11" s="100">
        <v>1</v>
      </c>
      <c r="I11" s="100">
        <v>2</v>
      </c>
      <c r="J11" s="100" t="s">
        <v>64</v>
      </c>
      <c r="K11" s="100" t="s">
        <v>44</v>
      </c>
      <c r="M11" s="165" t="s">
        <v>167</v>
      </c>
      <c r="N11" s="166">
        <v>1</v>
      </c>
      <c r="P11" s="169" t="s">
        <v>240</v>
      </c>
      <c r="Q11" s="170">
        <v>1</v>
      </c>
    </row>
    <row r="12" spans="1:22" ht="28.2" customHeight="1" x14ac:dyDescent="0.3">
      <c r="A12" s="98">
        <v>11</v>
      </c>
      <c r="B12" s="98">
        <v>26</v>
      </c>
      <c r="C12" s="99" t="s">
        <v>46</v>
      </c>
      <c r="D12" s="98" t="s">
        <v>47</v>
      </c>
      <c r="E12" s="99" t="s">
        <v>130</v>
      </c>
      <c r="F12" s="98" t="s">
        <v>131</v>
      </c>
      <c r="G12" s="98" t="s">
        <v>50</v>
      </c>
      <c r="H12" s="98">
        <v>1</v>
      </c>
      <c r="I12" s="98">
        <v>2</v>
      </c>
      <c r="J12" s="98" t="s">
        <v>129</v>
      </c>
      <c r="K12" s="98" t="s">
        <v>44</v>
      </c>
      <c r="M12" s="161" t="s">
        <v>217</v>
      </c>
      <c r="N12" s="162">
        <v>1</v>
      </c>
      <c r="P12" s="161" t="s">
        <v>123</v>
      </c>
      <c r="Q12" s="162">
        <v>1</v>
      </c>
    </row>
    <row r="13" spans="1:22" ht="28.2" customHeight="1" x14ac:dyDescent="0.3">
      <c r="A13" s="100">
        <v>12</v>
      </c>
      <c r="B13" s="100">
        <v>27</v>
      </c>
      <c r="C13" s="101" t="s">
        <v>46</v>
      </c>
      <c r="D13" s="100" t="s">
        <v>47</v>
      </c>
      <c r="E13" s="101" t="s">
        <v>83</v>
      </c>
      <c r="F13" s="100" t="s">
        <v>84</v>
      </c>
      <c r="G13" s="100" t="s">
        <v>50</v>
      </c>
      <c r="H13" s="100">
        <v>1</v>
      </c>
      <c r="I13" s="100">
        <v>2</v>
      </c>
      <c r="J13" s="100" t="s">
        <v>79</v>
      </c>
      <c r="K13" s="100" t="s">
        <v>44</v>
      </c>
      <c r="M13" s="169" t="s">
        <v>260</v>
      </c>
      <c r="N13" s="170">
        <v>1</v>
      </c>
      <c r="P13" s="165" t="s">
        <v>162</v>
      </c>
      <c r="Q13" s="166">
        <v>1</v>
      </c>
    </row>
    <row r="14" spans="1:22" ht="28.2" customHeight="1" x14ac:dyDescent="0.3">
      <c r="A14" s="98">
        <v>13</v>
      </c>
      <c r="B14" s="98">
        <v>28</v>
      </c>
      <c r="C14" s="99" t="s">
        <v>46</v>
      </c>
      <c r="D14" s="98" t="s">
        <v>47</v>
      </c>
      <c r="E14" s="99" t="s">
        <v>83</v>
      </c>
      <c r="F14" s="98" t="s">
        <v>85</v>
      </c>
      <c r="G14" s="98" t="s">
        <v>50</v>
      </c>
      <c r="H14" s="98">
        <v>1</v>
      </c>
      <c r="I14" s="98">
        <v>2</v>
      </c>
      <c r="J14" s="98" t="s">
        <v>79</v>
      </c>
      <c r="K14" s="98" t="s">
        <v>44</v>
      </c>
      <c r="M14" s="161" t="s">
        <v>245</v>
      </c>
      <c r="N14" s="162">
        <v>1</v>
      </c>
      <c r="P14" s="165" t="s">
        <v>166</v>
      </c>
      <c r="Q14" s="166">
        <v>1</v>
      </c>
    </row>
    <row r="15" spans="1:22" ht="28.2" customHeight="1" x14ac:dyDescent="0.3">
      <c r="A15" s="100">
        <v>14</v>
      </c>
      <c r="B15" s="100">
        <v>29</v>
      </c>
      <c r="C15" s="101" t="s">
        <v>46</v>
      </c>
      <c r="D15" s="100" t="s">
        <v>47</v>
      </c>
      <c r="E15" s="101" t="s">
        <v>86</v>
      </c>
      <c r="F15" s="100" t="s">
        <v>87</v>
      </c>
      <c r="G15" s="100" t="s">
        <v>50</v>
      </c>
      <c r="H15" s="100">
        <v>1</v>
      </c>
      <c r="I15" s="100">
        <v>2</v>
      </c>
      <c r="J15" s="100" t="s">
        <v>79</v>
      </c>
      <c r="K15" s="100" t="s">
        <v>44</v>
      </c>
      <c r="M15" s="163" t="s">
        <v>249</v>
      </c>
      <c r="N15" s="164">
        <v>1</v>
      </c>
      <c r="P15" s="161" t="s">
        <v>216</v>
      </c>
      <c r="Q15" s="162">
        <v>1</v>
      </c>
    </row>
    <row r="16" spans="1:22" ht="28.2" customHeight="1" x14ac:dyDescent="0.3">
      <c r="A16" s="98">
        <v>15</v>
      </c>
      <c r="B16" s="98">
        <v>30</v>
      </c>
      <c r="C16" s="99" t="s">
        <v>46</v>
      </c>
      <c r="D16" s="98" t="s">
        <v>47</v>
      </c>
      <c r="E16" s="99" t="s">
        <v>232</v>
      </c>
      <c r="F16" s="98" t="s">
        <v>233</v>
      </c>
      <c r="G16" s="98" t="s">
        <v>50</v>
      </c>
      <c r="H16" s="98">
        <v>1</v>
      </c>
      <c r="I16" s="98">
        <v>2</v>
      </c>
      <c r="J16" s="98" t="s">
        <v>230</v>
      </c>
      <c r="K16" s="98" t="s">
        <v>231</v>
      </c>
      <c r="M16" s="95" t="s">
        <v>616</v>
      </c>
      <c r="N16" s="95">
        <f>SUM(N2:N15)</f>
        <v>101</v>
      </c>
      <c r="P16" s="169" t="s">
        <v>259</v>
      </c>
      <c r="Q16" s="170">
        <v>1</v>
      </c>
    </row>
    <row r="17" spans="1:17" ht="28.2" customHeight="1" x14ac:dyDescent="0.3">
      <c r="A17" s="100">
        <v>16</v>
      </c>
      <c r="B17" s="100">
        <v>32</v>
      </c>
      <c r="C17" s="101" t="s">
        <v>46</v>
      </c>
      <c r="D17" s="100" t="s">
        <v>47</v>
      </c>
      <c r="E17" s="101" t="s">
        <v>234</v>
      </c>
      <c r="F17" s="100" t="s">
        <v>235</v>
      </c>
      <c r="G17" s="100" t="s">
        <v>50</v>
      </c>
      <c r="H17" s="100">
        <v>1</v>
      </c>
      <c r="I17" s="100">
        <v>2</v>
      </c>
      <c r="J17" s="100" t="s">
        <v>230</v>
      </c>
      <c r="K17" s="100" t="s">
        <v>231</v>
      </c>
      <c r="P17" s="174" t="s">
        <v>147</v>
      </c>
      <c r="Q17" s="170">
        <v>1</v>
      </c>
    </row>
    <row r="18" spans="1:17" ht="28.2" customHeight="1" x14ac:dyDescent="0.3">
      <c r="A18" s="98">
        <v>17</v>
      </c>
      <c r="B18" s="98">
        <v>33</v>
      </c>
      <c r="C18" s="99" t="s">
        <v>46</v>
      </c>
      <c r="D18" s="98" t="s">
        <v>47</v>
      </c>
      <c r="E18" s="99" t="s">
        <v>88</v>
      </c>
      <c r="F18" s="98" t="s">
        <v>89</v>
      </c>
      <c r="G18" s="98" t="s">
        <v>50</v>
      </c>
      <c r="H18" s="98">
        <v>1</v>
      </c>
      <c r="I18" s="98">
        <v>2</v>
      </c>
      <c r="J18" s="98" t="s">
        <v>79</v>
      </c>
      <c r="K18" s="98" t="s">
        <v>44</v>
      </c>
      <c r="P18" s="163" t="s">
        <v>106</v>
      </c>
      <c r="Q18" s="164">
        <v>1</v>
      </c>
    </row>
    <row r="19" spans="1:17" ht="28.2" customHeight="1" x14ac:dyDescent="0.3">
      <c r="A19" s="100">
        <v>18</v>
      </c>
      <c r="B19" s="100">
        <v>34</v>
      </c>
      <c r="C19" s="101" t="s">
        <v>46</v>
      </c>
      <c r="D19" s="100" t="s">
        <v>47</v>
      </c>
      <c r="E19" s="101" t="s">
        <v>90</v>
      </c>
      <c r="F19" s="100" t="s">
        <v>91</v>
      </c>
      <c r="G19" s="100" t="s">
        <v>50</v>
      </c>
      <c r="H19" s="100">
        <v>1</v>
      </c>
      <c r="I19" s="100">
        <v>2</v>
      </c>
      <c r="J19" s="100" t="s">
        <v>79</v>
      </c>
      <c r="K19" s="100" t="s">
        <v>44</v>
      </c>
      <c r="P19" s="163" t="s">
        <v>75</v>
      </c>
      <c r="Q19" s="164">
        <v>1</v>
      </c>
    </row>
    <row r="20" spans="1:17" ht="28.2" customHeight="1" x14ac:dyDescent="0.3">
      <c r="A20" s="98">
        <v>19</v>
      </c>
      <c r="B20" s="98">
        <v>35</v>
      </c>
      <c r="C20" s="99" t="s">
        <v>46</v>
      </c>
      <c r="D20" s="98" t="s">
        <v>47</v>
      </c>
      <c r="E20" s="99" t="s">
        <v>92</v>
      </c>
      <c r="F20" s="98" t="s">
        <v>93</v>
      </c>
      <c r="G20" s="98" t="s">
        <v>50</v>
      </c>
      <c r="H20" s="98">
        <v>1</v>
      </c>
      <c r="I20" s="98">
        <v>2</v>
      </c>
      <c r="J20" s="98" t="s">
        <v>79</v>
      </c>
      <c r="K20" s="98" t="s">
        <v>44</v>
      </c>
      <c r="P20" s="161" t="s">
        <v>244</v>
      </c>
      <c r="Q20" s="162">
        <v>1</v>
      </c>
    </row>
    <row r="21" spans="1:17" ht="28.2" customHeight="1" x14ac:dyDescent="0.3">
      <c r="A21" s="100">
        <v>20</v>
      </c>
      <c r="B21" s="100">
        <v>38</v>
      </c>
      <c r="C21" s="101" t="s">
        <v>46</v>
      </c>
      <c r="D21" s="100" t="s">
        <v>47</v>
      </c>
      <c r="E21" s="101" t="s">
        <v>132</v>
      </c>
      <c r="F21" s="100" t="s">
        <v>133</v>
      </c>
      <c r="G21" s="100" t="s">
        <v>50</v>
      </c>
      <c r="H21" s="100">
        <v>1</v>
      </c>
      <c r="I21" s="100">
        <v>2</v>
      </c>
      <c r="J21" s="100" t="s">
        <v>129</v>
      </c>
      <c r="K21" s="100" t="s">
        <v>44</v>
      </c>
      <c r="P21" s="163" t="s">
        <v>248</v>
      </c>
      <c r="Q21" s="164">
        <v>1</v>
      </c>
    </row>
    <row r="22" spans="1:17" ht="28.2" customHeight="1" x14ac:dyDescent="0.3">
      <c r="A22" s="98">
        <v>21</v>
      </c>
      <c r="B22" s="98">
        <v>39</v>
      </c>
      <c r="C22" s="99" t="s">
        <v>46</v>
      </c>
      <c r="D22" s="98" t="s">
        <v>47</v>
      </c>
      <c r="E22" s="99" t="s">
        <v>132</v>
      </c>
      <c r="F22" s="98" t="s">
        <v>134</v>
      </c>
      <c r="G22" s="98" t="s">
        <v>50</v>
      </c>
      <c r="H22" s="98">
        <v>1</v>
      </c>
      <c r="I22" s="98">
        <v>2</v>
      </c>
      <c r="J22" s="98" t="s">
        <v>129</v>
      </c>
      <c r="K22" s="98" t="s">
        <v>44</v>
      </c>
      <c r="P22" s="95" t="s">
        <v>616</v>
      </c>
      <c r="Q22" s="95">
        <f>SUM(Q2:Q21)</f>
        <v>101</v>
      </c>
    </row>
    <row r="23" spans="1:17" ht="28.2" customHeight="1" x14ac:dyDescent="0.3">
      <c r="A23" s="100">
        <v>22</v>
      </c>
      <c r="B23" s="100">
        <v>40</v>
      </c>
      <c r="C23" s="101" t="s">
        <v>46</v>
      </c>
      <c r="D23" s="100" t="s">
        <v>47</v>
      </c>
      <c r="E23" s="101" t="s">
        <v>132</v>
      </c>
      <c r="F23" s="100" t="s">
        <v>135</v>
      </c>
      <c r="G23" s="100" t="s">
        <v>50</v>
      </c>
      <c r="H23" s="100">
        <v>1</v>
      </c>
      <c r="I23" s="100">
        <v>2</v>
      </c>
      <c r="J23" s="100" t="s">
        <v>129</v>
      </c>
      <c r="K23" s="100" t="s">
        <v>44</v>
      </c>
    </row>
    <row r="24" spans="1:17" ht="28.2" customHeight="1" x14ac:dyDescent="0.3">
      <c r="A24" s="98">
        <v>23</v>
      </c>
      <c r="B24" s="98">
        <v>41</v>
      </c>
      <c r="C24" s="99" t="s">
        <v>46</v>
      </c>
      <c r="D24" s="98" t="s">
        <v>47</v>
      </c>
      <c r="E24" s="99" t="s">
        <v>136</v>
      </c>
      <c r="F24" s="98" t="s">
        <v>137</v>
      </c>
      <c r="G24" s="98" t="s">
        <v>50</v>
      </c>
      <c r="H24" s="98">
        <v>1</v>
      </c>
      <c r="I24" s="98">
        <v>2</v>
      </c>
      <c r="J24" s="98" t="s">
        <v>129</v>
      </c>
      <c r="K24" s="98" t="s">
        <v>44</v>
      </c>
    </row>
    <row r="25" spans="1:17" ht="28.2" customHeight="1" x14ac:dyDescent="0.3">
      <c r="A25" s="100">
        <v>24</v>
      </c>
      <c r="B25" s="100">
        <v>42</v>
      </c>
      <c r="C25" s="101" t="s">
        <v>46</v>
      </c>
      <c r="D25" s="100" t="s">
        <v>47</v>
      </c>
      <c r="E25" s="101" t="s">
        <v>138</v>
      </c>
      <c r="F25" s="100" t="s">
        <v>139</v>
      </c>
      <c r="G25" s="100" t="s">
        <v>50</v>
      </c>
      <c r="H25" s="100">
        <v>1</v>
      </c>
      <c r="I25" s="100">
        <v>2</v>
      </c>
      <c r="J25" s="100" t="s">
        <v>129</v>
      </c>
      <c r="K25" s="100" t="s">
        <v>44</v>
      </c>
    </row>
    <row r="26" spans="1:17" ht="28.2" customHeight="1" x14ac:dyDescent="0.3">
      <c r="A26" s="98">
        <v>25</v>
      </c>
      <c r="B26" s="98">
        <v>43</v>
      </c>
      <c r="C26" s="99" t="s">
        <v>46</v>
      </c>
      <c r="D26" s="98" t="s">
        <v>47</v>
      </c>
      <c r="E26" s="99" t="s">
        <v>140</v>
      </c>
      <c r="F26" s="98" t="s">
        <v>141</v>
      </c>
      <c r="G26" s="98" t="s">
        <v>50</v>
      </c>
      <c r="H26" s="98">
        <v>1</v>
      </c>
      <c r="I26" s="98">
        <v>2</v>
      </c>
      <c r="J26" s="98" t="s">
        <v>129</v>
      </c>
      <c r="K26" s="98" t="s">
        <v>44</v>
      </c>
    </row>
    <row r="27" spans="1:17" ht="28.2" customHeight="1" x14ac:dyDescent="0.3">
      <c r="A27" s="100">
        <v>26</v>
      </c>
      <c r="B27" s="100">
        <v>44</v>
      </c>
      <c r="C27" s="101" t="s">
        <v>46</v>
      </c>
      <c r="D27" s="100" t="s">
        <v>47</v>
      </c>
      <c r="E27" s="101" t="s">
        <v>152</v>
      </c>
      <c r="F27" s="100" t="s">
        <v>153</v>
      </c>
      <c r="G27" s="100" t="s">
        <v>50</v>
      </c>
      <c r="H27" s="100">
        <v>1</v>
      </c>
      <c r="I27" s="100">
        <v>2</v>
      </c>
      <c r="J27" s="100" t="s">
        <v>150</v>
      </c>
      <c r="K27" s="100" t="s">
        <v>151</v>
      </c>
    </row>
    <row r="28" spans="1:17" ht="28.2" customHeight="1" x14ac:dyDescent="0.3">
      <c r="A28" s="98">
        <v>27</v>
      </c>
      <c r="B28" s="98">
        <v>45</v>
      </c>
      <c r="C28" s="99" t="s">
        <v>46</v>
      </c>
      <c r="D28" s="98" t="s">
        <v>47</v>
      </c>
      <c r="E28" s="99" t="s">
        <v>154</v>
      </c>
      <c r="F28" s="98" t="s">
        <v>155</v>
      </c>
      <c r="G28" s="98" t="s">
        <v>50</v>
      </c>
      <c r="H28" s="98">
        <v>1</v>
      </c>
      <c r="I28" s="98">
        <v>2</v>
      </c>
      <c r="J28" s="98" t="s">
        <v>150</v>
      </c>
      <c r="K28" s="98" t="s">
        <v>151</v>
      </c>
    </row>
    <row r="29" spans="1:17" ht="28.2" customHeight="1" x14ac:dyDescent="0.3">
      <c r="A29" s="100">
        <v>28</v>
      </c>
      <c r="B29" s="100">
        <v>46</v>
      </c>
      <c r="C29" s="101" t="s">
        <v>46</v>
      </c>
      <c r="D29" s="100" t="s">
        <v>47</v>
      </c>
      <c r="E29" s="101" t="s">
        <v>154</v>
      </c>
      <c r="F29" s="100" t="s">
        <v>156</v>
      </c>
      <c r="G29" s="100" t="s">
        <v>50</v>
      </c>
      <c r="H29" s="100">
        <v>1</v>
      </c>
      <c r="I29" s="100">
        <v>2</v>
      </c>
      <c r="J29" s="100" t="s">
        <v>150</v>
      </c>
      <c r="K29" s="100" t="s">
        <v>151</v>
      </c>
    </row>
    <row r="30" spans="1:17" ht="28.2" customHeight="1" x14ac:dyDescent="0.3">
      <c r="A30" s="98">
        <v>29</v>
      </c>
      <c r="B30" s="98">
        <v>47</v>
      </c>
      <c r="C30" s="99" t="s">
        <v>46</v>
      </c>
      <c r="D30" s="98" t="s">
        <v>47</v>
      </c>
      <c r="E30" s="99" t="s">
        <v>154</v>
      </c>
      <c r="F30" s="98" t="s">
        <v>157</v>
      </c>
      <c r="G30" s="98" t="s">
        <v>50</v>
      </c>
      <c r="H30" s="98">
        <v>1</v>
      </c>
      <c r="I30" s="98">
        <v>2</v>
      </c>
      <c r="J30" s="98" t="s">
        <v>150</v>
      </c>
      <c r="K30" s="98" t="s">
        <v>151</v>
      </c>
    </row>
    <row r="31" spans="1:17" ht="28.2" customHeight="1" x14ac:dyDescent="0.3">
      <c r="A31" s="100">
        <v>30</v>
      </c>
      <c r="B31" s="100">
        <v>48</v>
      </c>
      <c r="C31" s="101" t="s">
        <v>46</v>
      </c>
      <c r="D31" s="100" t="s">
        <v>47</v>
      </c>
      <c r="E31" s="101" t="s">
        <v>154</v>
      </c>
      <c r="F31" s="100" t="s">
        <v>158</v>
      </c>
      <c r="G31" s="100" t="s">
        <v>50</v>
      </c>
      <c r="H31" s="100">
        <v>1</v>
      </c>
      <c r="I31" s="100">
        <v>2</v>
      </c>
      <c r="J31" s="100" t="s">
        <v>150</v>
      </c>
      <c r="K31" s="100" t="s">
        <v>151</v>
      </c>
    </row>
    <row r="32" spans="1:17" ht="28.2" customHeight="1" x14ac:dyDescent="0.3">
      <c r="A32" s="98">
        <v>31</v>
      </c>
      <c r="B32" s="98">
        <v>49</v>
      </c>
      <c r="C32" s="99" t="s">
        <v>46</v>
      </c>
      <c r="D32" s="98" t="s">
        <v>47</v>
      </c>
      <c r="E32" s="99" t="s">
        <v>176</v>
      </c>
      <c r="F32" s="98" t="s">
        <v>177</v>
      </c>
      <c r="G32" s="98" t="s">
        <v>50</v>
      </c>
      <c r="H32" s="98">
        <v>1</v>
      </c>
      <c r="I32" s="98">
        <v>2</v>
      </c>
      <c r="J32" s="98" t="s">
        <v>170</v>
      </c>
      <c r="K32" s="98" t="s">
        <v>151</v>
      </c>
    </row>
    <row r="33" spans="1:11" ht="28.2" customHeight="1" x14ac:dyDescent="0.3">
      <c r="A33" s="100">
        <v>32</v>
      </c>
      <c r="B33" s="100">
        <v>50</v>
      </c>
      <c r="C33" s="101" t="s">
        <v>46</v>
      </c>
      <c r="D33" s="100" t="s">
        <v>47</v>
      </c>
      <c r="E33" s="101" t="s">
        <v>176</v>
      </c>
      <c r="F33" s="100" t="s">
        <v>178</v>
      </c>
      <c r="G33" s="100" t="s">
        <v>50</v>
      </c>
      <c r="H33" s="100">
        <v>1</v>
      </c>
      <c r="I33" s="100">
        <v>2</v>
      </c>
      <c r="J33" s="100" t="s">
        <v>170</v>
      </c>
      <c r="K33" s="100" t="s">
        <v>151</v>
      </c>
    </row>
    <row r="34" spans="1:11" ht="28.2" customHeight="1" x14ac:dyDescent="0.3">
      <c r="A34" s="98">
        <v>33</v>
      </c>
      <c r="B34" s="98">
        <v>51</v>
      </c>
      <c r="C34" s="99" t="s">
        <v>46</v>
      </c>
      <c r="D34" s="98" t="s">
        <v>47</v>
      </c>
      <c r="E34" s="99" t="s">
        <v>176</v>
      </c>
      <c r="F34" s="98" t="s">
        <v>179</v>
      </c>
      <c r="G34" s="98" t="s">
        <v>50</v>
      </c>
      <c r="H34" s="98">
        <v>1</v>
      </c>
      <c r="I34" s="98">
        <v>2</v>
      </c>
      <c r="J34" s="98" t="s">
        <v>170</v>
      </c>
      <c r="K34" s="98" t="s">
        <v>151</v>
      </c>
    </row>
    <row r="35" spans="1:11" ht="28.2" customHeight="1" x14ac:dyDescent="0.3">
      <c r="A35" s="100">
        <v>34</v>
      </c>
      <c r="B35" s="100">
        <v>52</v>
      </c>
      <c r="C35" s="101" t="s">
        <v>46</v>
      </c>
      <c r="D35" s="100" t="s">
        <v>47</v>
      </c>
      <c r="E35" s="101" t="s">
        <v>176</v>
      </c>
      <c r="F35" s="100" t="s">
        <v>180</v>
      </c>
      <c r="G35" s="100" t="s">
        <v>50</v>
      </c>
      <c r="H35" s="100">
        <v>1</v>
      </c>
      <c r="I35" s="100">
        <v>2</v>
      </c>
      <c r="J35" s="100" t="s">
        <v>170</v>
      </c>
      <c r="K35" s="100" t="s">
        <v>151</v>
      </c>
    </row>
    <row r="36" spans="1:11" ht="28.2" customHeight="1" x14ac:dyDescent="0.3">
      <c r="A36" s="98">
        <v>35</v>
      </c>
      <c r="B36" s="98">
        <v>53</v>
      </c>
      <c r="C36" s="99" t="s">
        <v>46</v>
      </c>
      <c r="D36" s="98" t="s">
        <v>47</v>
      </c>
      <c r="E36" s="99" t="s">
        <v>176</v>
      </c>
      <c r="F36" s="98" t="s">
        <v>181</v>
      </c>
      <c r="G36" s="98" t="s">
        <v>50</v>
      </c>
      <c r="H36" s="98">
        <v>1</v>
      </c>
      <c r="I36" s="98">
        <v>2</v>
      </c>
      <c r="J36" s="98" t="s">
        <v>170</v>
      </c>
      <c r="K36" s="98" t="s">
        <v>151</v>
      </c>
    </row>
    <row r="37" spans="1:11" ht="28.2" customHeight="1" x14ac:dyDescent="0.3">
      <c r="A37" s="100">
        <v>36</v>
      </c>
      <c r="B37" s="100">
        <v>54</v>
      </c>
      <c r="C37" s="101" t="s">
        <v>46</v>
      </c>
      <c r="D37" s="100" t="s">
        <v>47</v>
      </c>
      <c r="E37" s="101" t="s">
        <v>176</v>
      </c>
      <c r="F37" s="100" t="s">
        <v>182</v>
      </c>
      <c r="G37" s="100" t="s">
        <v>50</v>
      </c>
      <c r="H37" s="100">
        <v>1</v>
      </c>
      <c r="I37" s="100">
        <v>2</v>
      </c>
      <c r="J37" s="100" t="s">
        <v>170</v>
      </c>
      <c r="K37" s="100" t="s">
        <v>151</v>
      </c>
    </row>
    <row r="38" spans="1:11" ht="28.2" customHeight="1" x14ac:dyDescent="0.3">
      <c r="A38" s="98">
        <v>37</v>
      </c>
      <c r="B38" s="98">
        <v>55</v>
      </c>
      <c r="C38" s="99" t="s">
        <v>46</v>
      </c>
      <c r="D38" s="98" t="s">
        <v>47</v>
      </c>
      <c r="E38" s="99" t="s">
        <v>176</v>
      </c>
      <c r="F38" s="98" t="s">
        <v>189</v>
      </c>
      <c r="G38" s="98" t="s">
        <v>50</v>
      </c>
      <c r="H38" s="98">
        <v>1</v>
      </c>
      <c r="I38" s="98">
        <v>2</v>
      </c>
      <c r="J38" s="98" t="s">
        <v>188</v>
      </c>
      <c r="K38" s="98" t="s">
        <v>151</v>
      </c>
    </row>
    <row r="39" spans="1:11" ht="28.2" customHeight="1" x14ac:dyDescent="0.3">
      <c r="A39" s="100">
        <v>38</v>
      </c>
      <c r="B39" s="100">
        <v>56</v>
      </c>
      <c r="C39" s="101" t="s">
        <v>46</v>
      </c>
      <c r="D39" s="100" t="s">
        <v>47</v>
      </c>
      <c r="E39" s="101" t="s">
        <v>176</v>
      </c>
      <c r="F39" s="100" t="s">
        <v>190</v>
      </c>
      <c r="G39" s="100" t="s">
        <v>50</v>
      </c>
      <c r="H39" s="100">
        <v>1</v>
      </c>
      <c r="I39" s="100">
        <v>2</v>
      </c>
      <c r="J39" s="100" t="s">
        <v>188</v>
      </c>
      <c r="K39" s="100" t="s">
        <v>151</v>
      </c>
    </row>
    <row r="40" spans="1:11" ht="28.2" customHeight="1" x14ac:dyDescent="0.3">
      <c r="A40" s="98">
        <v>39</v>
      </c>
      <c r="B40" s="98">
        <v>57</v>
      </c>
      <c r="C40" s="99" t="s">
        <v>46</v>
      </c>
      <c r="D40" s="98" t="s">
        <v>47</v>
      </c>
      <c r="E40" s="99" t="s">
        <v>176</v>
      </c>
      <c r="F40" s="98" t="s">
        <v>191</v>
      </c>
      <c r="G40" s="98" t="s">
        <v>50</v>
      </c>
      <c r="H40" s="98">
        <v>1</v>
      </c>
      <c r="I40" s="98">
        <v>2</v>
      </c>
      <c r="J40" s="98" t="s">
        <v>188</v>
      </c>
      <c r="K40" s="98" t="s">
        <v>151</v>
      </c>
    </row>
    <row r="41" spans="1:11" ht="28.2" customHeight="1" x14ac:dyDescent="0.3">
      <c r="A41" s="100">
        <v>40</v>
      </c>
      <c r="B41" s="100">
        <v>58</v>
      </c>
      <c r="C41" s="101" t="s">
        <v>46</v>
      </c>
      <c r="D41" s="100" t="s">
        <v>47</v>
      </c>
      <c r="E41" s="101" t="s">
        <v>176</v>
      </c>
      <c r="F41" s="100" t="s">
        <v>192</v>
      </c>
      <c r="G41" s="100" t="s">
        <v>50</v>
      </c>
      <c r="H41" s="100">
        <v>1</v>
      </c>
      <c r="I41" s="100">
        <v>2</v>
      </c>
      <c r="J41" s="100" t="s">
        <v>188</v>
      </c>
      <c r="K41" s="100" t="s">
        <v>151</v>
      </c>
    </row>
    <row r="42" spans="1:11" ht="28.2" customHeight="1" x14ac:dyDescent="0.3">
      <c r="A42" s="98">
        <v>41</v>
      </c>
      <c r="B42" s="98">
        <v>59</v>
      </c>
      <c r="C42" s="99" t="s">
        <v>46</v>
      </c>
      <c r="D42" s="98" t="s">
        <v>47</v>
      </c>
      <c r="E42" s="99" t="s">
        <v>176</v>
      </c>
      <c r="F42" s="98" t="s">
        <v>193</v>
      </c>
      <c r="G42" s="98" t="s">
        <v>50</v>
      </c>
      <c r="H42" s="98">
        <v>1</v>
      </c>
      <c r="I42" s="98">
        <v>2</v>
      </c>
      <c r="J42" s="98" t="s">
        <v>188</v>
      </c>
      <c r="K42" s="98" t="s">
        <v>151</v>
      </c>
    </row>
    <row r="43" spans="1:11" ht="28.2" customHeight="1" x14ac:dyDescent="0.3">
      <c r="A43" s="100">
        <v>42</v>
      </c>
      <c r="B43" s="100">
        <v>60</v>
      </c>
      <c r="C43" s="101" t="s">
        <v>46</v>
      </c>
      <c r="D43" s="100" t="s">
        <v>47</v>
      </c>
      <c r="E43" s="101" t="s">
        <v>176</v>
      </c>
      <c r="F43" s="100" t="s">
        <v>194</v>
      </c>
      <c r="G43" s="100" t="s">
        <v>50</v>
      </c>
      <c r="H43" s="100">
        <v>1</v>
      </c>
      <c r="I43" s="100">
        <v>2</v>
      </c>
      <c r="J43" s="100" t="s">
        <v>188</v>
      </c>
      <c r="K43" s="100" t="s">
        <v>151</v>
      </c>
    </row>
    <row r="44" spans="1:11" ht="28.2" customHeight="1" x14ac:dyDescent="0.3">
      <c r="A44" s="98">
        <v>43</v>
      </c>
      <c r="B44" s="98">
        <v>61</v>
      </c>
      <c r="C44" s="99" t="s">
        <v>46</v>
      </c>
      <c r="D44" s="98" t="s">
        <v>47</v>
      </c>
      <c r="E44" s="99" t="s">
        <v>206</v>
      </c>
      <c r="F44" s="98" t="s">
        <v>207</v>
      </c>
      <c r="G44" s="98" t="s">
        <v>50</v>
      </c>
      <c r="H44" s="98">
        <v>1</v>
      </c>
      <c r="I44" s="98">
        <v>2</v>
      </c>
      <c r="J44" s="98" t="s">
        <v>205</v>
      </c>
      <c r="K44" s="98" t="s">
        <v>151</v>
      </c>
    </row>
    <row r="45" spans="1:11" ht="28.2" customHeight="1" x14ac:dyDescent="0.3">
      <c r="A45" s="100">
        <v>44</v>
      </c>
      <c r="B45" s="100">
        <v>62</v>
      </c>
      <c r="C45" s="101" t="s">
        <v>46</v>
      </c>
      <c r="D45" s="100" t="s">
        <v>47</v>
      </c>
      <c r="E45" s="101" t="s">
        <v>206</v>
      </c>
      <c r="F45" s="100" t="s">
        <v>208</v>
      </c>
      <c r="G45" s="100" t="s">
        <v>50</v>
      </c>
      <c r="H45" s="100">
        <v>1</v>
      </c>
      <c r="I45" s="100">
        <v>2</v>
      </c>
      <c r="J45" s="100" t="s">
        <v>205</v>
      </c>
      <c r="K45" s="100" t="s">
        <v>151</v>
      </c>
    </row>
    <row r="46" spans="1:11" ht="28.2" customHeight="1" x14ac:dyDescent="0.3">
      <c r="A46" s="98">
        <v>45</v>
      </c>
      <c r="B46" s="98">
        <v>63</v>
      </c>
      <c r="C46" s="99" t="s">
        <v>46</v>
      </c>
      <c r="D46" s="98" t="s">
        <v>47</v>
      </c>
      <c r="E46" s="99" t="s">
        <v>206</v>
      </c>
      <c r="F46" s="98" t="s">
        <v>209</v>
      </c>
      <c r="G46" s="98" t="s">
        <v>50</v>
      </c>
      <c r="H46" s="98">
        <v>1</v>
      </c>
      <c r="I46" s="98">
        <v>2</v>
      </c>
      <c r="J46" s="98" t="s">
        <v>205</v>
      </c>
      <c r="K46" s="98" t="s">
        <v>151</v>
      </c>
    </row>
    <row r="47" spans="1:11" ht="28.2" customHeight="1" x14ac:dyDescent="0.3">
      <c r="A47" s="100">
        <v>46</v>
      </c>
      <c r="B47" s="100">
        <v>64</v>
      </c>
      <c r="C47" s="101" t="s">
        <v>46</v>
      </c>
      <c r="D47" s="100" t="s">
        <v>47</v>
      </c>
      <c r="E47" s="101" t="s">
        <v>206</v>
      </c>
      <c r="F47" s="100" t="s">
        <v>210</v>
      </c>
      <c r="G47" s="100" t="s">
        <v>50</v>
      </c>
      <c r="H47" s="100">
        <v>1</v>
      </c>
      <c r="I47" s="100">
        <v>2</v>
      </c>
      <c r="J47" s="100" t="s">
        <v>205</v>
      </c>
      <c r="K47" s="100" t="s">
        <v>151</v>
      </c>
    </row>
    <row r="48" spans="1:11" ht="28.2" customHeight="1" x14ac:dyDescent="0.3">
      <c r="A48" s="98">
        <v>47</v>
      </c>
      <c r="B48" s="98">
        <v>65</v>
      </c>
      <c r="C48" s="99" t="s">
        <v>46</v>
      </c>
      <c r="D48" s="98" t="s">
        <v>47</v>
      </c>
      <c r="E48" s="99" t="s">
        <v>206</v>
      </c>
      <c r="F48" s="98" t="s">
        <v>211</v>
      </c>
      <c r="G48" s="98" t="s">
        <v>50</v>
      </c>
      <c r="H48" s="98">
        <v>1</v>
      </c>
      <c r="I48" s="98">
        <v>2</v>
      </c>
      <c r="J48" s="98" t="s">
        <v>205</v>
      </c>
      <c r="K48" s="98" t="s">
        <v>151</v>
      </c>
    </row>
    <row r="49" spans="1:11" ht="28.2" customHeight="1" x14ac:dyDescent="0.3">
      <c r="A49" s="100">
        <v>48</v>
      </c>
      <c r="B49" s="100">
        <v>68</v>
      </c>
      <c r="C49" s="101" t="s">
        <v>46</v>
      </c>
      <c r="D49" s="100" t="s">
        <v>47</v>
      </c>
      <c r="E49" s="101" t="s">
        <v>212</v>
      </c>
      <c r="F49" s="100" t="s">
        <v>213</v>
      </c>
      <c r="G49" s="100" t="s">
        <v>50</v>
      </c>
      <c r="H49" s="100">
        <v>1</v>
      </c>
      <c r="I49" s="100">
        <v>2</v>
      </c>
      <c r="J49" s="100" t="s">
        <v>205</v>
      </c>
      <c r="K49" s="100" t="s">
        <v>151</v>
      </c>
    </row>
    <row r="50" spans="1:11" ht="28.2" customHeight="1" x14ac:dyDescent="0.3">
      <c r="A50" s="98">
        <v>49</v>
      </c>
      <c r="B50" s="98">
        <v>69</v>
      </c>
      <c r="C50" s="99" t="s">
        <v>46</v>
      </c>
      <c r="D50" s="98" t="s">
        <v>47</v>
      </c>
      <c r="E50" s="99" t="s">
        <v>212</v>
      </c>
      <c r="F50" s="98" t="s">
        <v>223</v>
      </c>
      <c r="G50" s="98" t="s">
        <v>50</v>
      </c>
      <c r="H50" s="98">
        <v>1</v>
      </c>
      <c r="I50" s="98">
        <v>2</v>
      </c>
      <c r="J50" s="98" t="s">
        <v>222</v>
      </c>
      <c r="K50" s="98" t="s">
        <v>151</v>
      </c>
    </row>
    <row r="51" spans="1:11" ht="28.2" customHeight="1" x14ac:dyDescent="0.3">
      <c r="A51" s="100">
        <v>50</v>
      </c>
      <c r="B51" s="100">
        <v>70</v>
      </c>
      <c r="C51" s="101" t="s">
        <v>46</v>
      </c>
      <c r="D51" s="100" t="s">
        <v>47</v>
      </c>
      <c r="E51" s="101" t="s">
        <v>110</v>
      </c>
      <c r="F51" s="100" t="s">
        <v>111</v>
      </c>
      <c r="G51" s="100" t="s">
        <v>50</v>
      </c>
      <c r="H51" s="100">
        <v>1</v>
      </c>
      <c r="I51" s="100">
        <v>2</v>
      </c>
      <c r="J51" s="100" t="s">
        <v>109</v>
      </c>
      <c r="K51" s="100" t="s">
        <v>44</v>
      </c>
    </row>
    <row r="52" spans="1:11" ht="28.2" customHeight="1" x14ac:dyDescent="0.3">
      <c r="A52" s="98">
        <v>51</v>
      </c>
      <c r="B52" s="98">
        <v>71</v>
      </c>
      <c r="C52" s="99" t="s">
        <v>46</v>
      </c>
      <c r="D52" s="98" t="s">
        <v>47</v>
      </c>
      <c r="E52" s="99" t="s">
        <v>67</v>
      </c>
      <c r="F52" s="98" t="s">
        <v>68</v>
      </c>
      <c r="G52" s="98" t="s">
        <v>50</v>
      </c>
      <c r="H52" s="98">
        <v>1</v>
      </c>
      <c r="I52" s="98">
        <v>2</v>
      </c>
      <c r="J52" s="98" t="s">
        <v>64</v>
      </c>
      <c r="K52" s="98" t="s">
        <v>44</v>
      </c>
    </row>
    <row r="53" spans="1:11" ht="28.2" customHeight="1" x14ac:dyDescent="0.3">
      <c r="A53" s="100">
        <v>52</v>
      </c>
      <c r="B53" s="100">
        <v>72</v>
      </c>
      <c r="C53" s="101" t="s">
        <v>46</v>
      </c>
      <c r="D53" s="100" t="s">
        <v>47</v>
      </c>
      <c r="E53" s="101" t="s">
        <v>112</v>
      </c>
      <c r="F53" s="100" t="s">
        <v>113</v>
      </c>
      <c r="G53" s="100" t="s">
        <v>50</v>
      </c>
      <c r="H53" s="100">
        <v>1</v>
      </c>
      <c r="I53" s="100">
        <v>2</v>
      </c>
      <c r="J53" s="100" t="s">
        <v>109</v>
      </c>
      <c r="K53" s="100" t="s">
        <v>44</v>
      </c>
    </row>
    <row r="54" spans="1:11" ht="28.2" customHeight="1" x14ac:dyDescent="0.3">
      <c r="A54" s="98">
        <v>53</v>
      </c>
      <c r="B54" s="98">
        <v>73</v>
      </c>
      <c r="C54" s="99" t="s">
        <v>46</v>
      </c>
      <c r="D54" s="98" t="s">
        <v>47</v>
      </c>
      <c r="E54" s="99" t="s">
        <v>112</v>
      </c>
      <c r="F54" s="98" t="s">
        <v>114</v>
      </c>
      <c r="G54" s="98" t="s">
        <v>50</v>
      </c>
      <c r="H54" s="98">
        <v>1</v>
      </c>
      <c r="I54" s="98">
        <v>2</v>
      </c>
      <c r="J54" s="98" t="s">
        <v>109</v>
      </c>
      <c r="K54" s="98" t="s">
        <v>44</v>
      </c>
    </row>
    <row r="55" spans="1:11" ht="28.2" customHeight="1" x14ac:dyDescent="0.3">
      <c r="A55" s="100">
        <v>54</v>
      </c>
      <c r="B55" s="100">
        <v>74</v>
      </c>
      <c r="C55" s="101" t="s">
        <v>46</v>
      </c>
      <c r="D55" s="100" t="s">
        <v>47</v>
      </c>
      <c r="E55" s="101" t="s">
        <v>115</v>
      </c>
      <c r="F55" s="100" t="s">
        <v>116</v>
      </c>
      <c r="G55" s="100" t="s">
        <v>50</v>
      </c>
      <c r="H55" s="100">
        <v>1</v>
      </c>
      <c r="I55" s="100">
        <v>2</v>
      </c>
      <c r="J55" s="100" t="s">
        <v>109</v>
      </c>
      <c r="K55" s="100" t="s">
        <v>44</v>
      </c>
    </row>
    <row r="56" spans="1:11" ht="28.2" customHeight="1" x14ac:dyDescent="0.3">
      <c r="A56" s="98">
        <v>55</v>
      </c>
      <c r="B56" s="98">
        <v>75</v>
      </c>
      <c r="C56" s="99" t="s">
        <v>46</v>
      </c>
      <c r="D56" s="98" t="s">
        <v>47</v>
      </c>
      <c r="E56" s="99" t="s">
        <v>224</v>
      </c>
      <c r="F56" s="98" t="s">
        <v>225</v>
      </c>
      <c r="G56" s="98" t="s">
        <v>50</v>
      </c>
      <c r="H56" s="98">
        <v>2</v>
      </c>
      <c r="I56" s="98">
        <v>4</v>
      </c>
      <c r="J56" s="98" t="s">
        <v>222</v>
      </c>
      <c r="K56" s="98" t="s">
        <v>151</v>
      </c>
    </row>
    <row r="57" spans="1:11" ht="28.2" customHeight="1" x14ac:dyDescent="0.3">
      <c r="A57" s="100">
        <v>56</v>
      </c>
      <c r="B57" s="100">
        <v>76</v>
      </c>
      <c r="C57" s="101" t="s">
        <v>46</v>
      </c>
      <c r="D57" s="100" t="s">
        <v>47</v>
      </c>
      <c r="E57" s="101" t="s">
        <v>224</v>
      </c>
      <c r="F57" s="100" t="s">
        <v>226</v>
      </c>
      <c r="G57" s="100" t="s">
        <v>50</v>
      </c>
      <c r="H57" s="100">
        <v>1</v>
      </c>
      <c r="I57" s="100">
        <v>2</v>
      </c>
      <c r="J57" s="100" t="s">
        <v>222</v>
      </c>
      <c r="K57" s="100" t="s">
        <v>151</v>
      </c>
    </row>
    <row r="58" spans="1:11" ht="28.2" customHeight="1" x14ac:dyDescent="0.3">
      <c r="A58" s="98">
        <v>57</v>
      </c>
      <c r="B58" s="98">
        <v>77</v>
      </c>
      <c r="C58" s="99" t="s">
        <v>46</v>
      </c>
      <c r="D58" s="98" t="s">
        <v>47</v>
      </c>
      <c r="E58" s="99" t="s">
        <v>224</v>
      </c>
      <c r="F58" s="98" t="s">
        <v>227</v>
      </c>
      <c r="G58" s="98" t="s">
        <v>50</v>
      </c>
      <c r="H58" s="98">
        <v>1</v>
      </c>
      <c r="I58" s="98">
        <v>2</v>
      </c>
      <c r="J58" s="98" t="s">
        <v>222</v>
      </c>
      <c r="K58" s="98" t="s">
        <v>151</v>
      </c>
    </row>
    <row r="59" spans="1:11" ht="28.2" customHeight="1" x14ac:dyDescent="0.3">
      <c r="A59" s="100">
        <v>58</v>
      </c>
      <c r="B59" s="100">
        <v>78</v>
      </c>
      <c r="C59" s="101" t="s">
        <v>46</v>
      </c>
      <c r="D59" s="100" t="s">
        <v>47</v>
      </c>
      <c r="E59" s="101" t="s">
        <v>224</v>
      </c>
      <c r="F59" s="100" t="s">
        <v>228</v>
      </c>
      <c r="G59" s="100" t="s">
        <v>50</v>
      </c>
      <c r="H59" s="100">
        <v>2</v>
      </c>
      <c r="I59" s="100">
        <v>4</v>
      </c>
      <c r="J59" s="100" t="s">
        <v>222</v>
      </c>
      <c r="K59" s="100" t="s">
        <v>151</v>
      </c>
    </row>
    <row r="60" spans="1:11" ht="28.2" customHeight="1" x14ac:dyDescent="0.3">
      <c r="A60" s="98">
        <v>59</v>
      </c>
      <c r="B60" s="98">
        <v>79</v>
      </c>
      <c r="C60" s="99" t="s">
        <v>46</v>
      </c>
      <c r="D60" s="98" t="s">
        <v>47</v>
      </c>
      <c r="E60" s="99" t="s">
        <v>117</v>
      </c>
      <c r="F60" s="98" t="s">
        <v>118</v>
      </c>
      <c r="G60" s="98" t="s">
        <v>50</v>
      </c>
      <c r="H60" s="98">
        <v>2</v>
      </c>
      <c r="I60" s="98">
        <v>4</v>
      </c>
      <c r="J60" s="98" t="s">
        <v>109</v>
      </c>
      <c r="K60" s="98" t="s">
        <v>44</v>
      </c>
    </row>
    <row r="61" spans="1:11" ht="28.2" customHeight="1" x14ac:dyDescent="0.3">
      <c r="A61" s="100">
        <v>60</v>
      </c>
      <c r="B61" s="100">
        <v>80</v>
      </c>
      <c r="C61" s="101" t="s">
        <v>46</v>
      </c>
      <c r="D61" s="100" t="s">
        <v>47</v>
      </c>
      <c r="E61" s="101" t="s">
        <v>117</v>
      </c>
      <c r="F61" s="100" t="s">
        <v>119</v>
      </c>
      <c r="G61" s="100" t="s">
        <v>50</v>
      </c>
      <c r="H61" s="100">
        <v>2</v>
      </c>
      <c r="I61" s="100">
        <v>4</v>
      </c>
      <c r="J61" s="100" t="s">
        <v>109</v>
      </c>
      <c r="K61" s="100" t="s">
        <v>44</v>
      </c>
    </row>
    <row r="62" spans="1:11" ht="28.2" customHeight="1" x14ac:dyDescent="0.3">
      <c r="A62" s="98">
        <v>61</v>
      </c>
      <c r="B62" s="98">
        <v>81</v>
      </c>
      <c r="C62" s="99" t="s">
        <v>46</v>
      </c>
      <c r="D62" s="98" t="s">
        <v>47</v>
      </c>
      <c r="E62" s="99" t="s">
        <v>117</v>
      </c>
      <c r="F62" s="98" t="s">
        <v>120</v>
      </c>
      <c r="G62" s="98" t="s">
        <v>50</v>
      </c>
      <c r="H62" s="98">
        <v>2</v>
      </c>
      <c r="I62" s="98">
        <v>4</v>
      </c>
      <c r="J62" s="98" t="s">
        <v>109</v>
      </c>
      <c r="K62" s="98" t="s">
        <v>44</v>
      </c>
    </row>
    <row r="63" spans="1:11" ht="28.2" customHeight="1" x14ac:dyDescent="0.3">
      <c r="A63" s="100">
        <v>62</v>
      </c>
      <c r="B63" s="100">
        <v>82</v>
      </c>
      <c r="C63" s="101" t="s">
        <v>46</v>
      </c>
      <c r="D63" s="100" t="s">
        <v>47</v>
      </c>
      <c r="E63" s="101" t="s">
        <v>236</v>
      </c>
      <c r="F63" s="100" t="s">
        <v>237</v>
      </c>
      <c r="G63" s="100" t="s">
        <v>50</v>
      </c>
      <c r="H63" s="100">
        <v>1</v>
      </c>
      <c r="I63" s="100">
        <v>2</v>
      </c>
      <c r="J63" s="100" t="s">
        <v>230</v>
      </c>
      <c r="K63" s="100" t="s">
        <v>231</v>
      </c>
    </row>
    <row r="64" spans="1:11" ht="28.2" customHeight="1" x14ac:dyDescent="0.3">
      <c r="A64" s="98">
        <v>63</v>
      </c>
      <c r="B64" s="98">
        <v>83</v>
      </c>
      <c r="C64" s="99" t="s">
        <v>46</v>
      </c>
      <c r="D64" s="98" t="s">
        <v>47</v>
      </c>
      <c r="E64" s="99" t="s">
        <v>236</v>
      </c>
      <c r="F64" s="98" t="s">
        <v>238</v>
      </c>
      <c r="G64" s="98" t="s">
        <v>50</v>
      </c>
      <c r="H64" s="98">
        <v>1</v>
      </c>
      <c r="I64" s="98">
        <v>2</v>
      </c>
      <c r="J64" s="98" t="s">
        <v>230</v>
      </c>
      <c r="K64" s="98" t="s">
        <v>231</v>
      </c>
    </row>
    <row r="65" spans="1:11" ht="28.2" customHeight="1" x14ac:dyDescent="0.3">
      <c r="A65" s="100">
        <v>64</v>
      </c>
      <c r="B65" s="100">
        <v>87</v>
      </c>
      <c r="C65" s="101" t="s">
        <v>195</v>
      </c>
      <c r="D65" s="100" t="s">
        <v>184</v>
      </c>
      <c r="E65" s="101" t="s">
        <v>176</v>
      </c>
      <c r="F65" s="100" t="s">
        <v>196</v>
      </c>
      <c r="G65" s="100" t="s">
        <v>50</v>
      </c>
      <c r="H65" s="100">
        <v>1</v>
      </c>
      <c r="I65" s="100">
        <v>2</v>
      </c>
      <c r="J65" s="100" t="s">
        <v>188</v>
      </c>
      <c r="K65" s="100" t="s">
        <v>151</v>
      </c>
    </row>
    <row r="66" spans="1:11" ht="28.2" customHeight="1" x14ac:dyDescent="0.3">
      <c r="A66" s="98">
        <v>65</v>
      </c>
      <c r="B66" s="98">
        <v>88</v>
      </c>
      <c r="C66" s="99" t="s">
        <v>195</v>
      </c>
      <c r="D66" s="98" t="s">
        <v>184</v>
      </c>
      <c r="E66" s="99" t="s">
        <v>197</v>
      </c>
      <c r="F66" s="98" t="s">
        <v>198</v>
      </c>
      <c r="G66" s="98" t="s">
        <v>50</v>
      </c>
      <c r="H66" s="98">
        <v>1</v>
      </c>
      <c r="I66" s="98">
        <v>2</v>
      </c>
      <c r="J66" s="98" t="s">
        <v>188</v>
      </c>
      <c r="K66" s="98" t="s">
        <v>151</v>
      </c>
    </row>
    <row r="67" spans="1:11" ht="28.2" customHeight="1" x14ac:dyDescent="0.3">
      <c r="A67" s="100">
        <v>66</v>
      </c>
      <c r="B67" s="100">
        <v>94</v>
      </c>
      <c r="C67" s="101" t="s">
        <v>195</v>
      </c>
      <c r="D67" s="100" t="s">
        <v>184</v>
      </c>
      <c r="E67" s="101" t="s">
        <v>214</v>
      </c>
      <c r="F67" s="100" t="s">
        <v>215</v>
      </c>
      <c r="G67" s="100" t="s">
        <v>50</v>
      </c>
      <c r="H67" s="100">
        <v>1</v>
      </c>
      <c r="I67" s="100">
        <v>2</v>
      </c>
      <c r="J67" s="100" t="s">
        <v>205</v>
      </c>
      <c r="K67" s="100" t="s">
        <v>151</v>
      </c>
    </row>
    <row r="68" spans="1:11" ht="28.2" customHeight="1" x14ac:dyDescent="0.3">
      <c r="A68" s="98">
        <v>67</v>
      </c>
      <c r="B68" s="98">
        <v>112</v>
      </c>
      <c r="C68" s="99" t="s">
        <v>142</v>
      </c>
      <c r="D68" s="98" t="s">
        <v>47</v>
      </c>
      <c r="E68" s="99" t="s">
        <v>143</v>
      </c>
      <c r="F68" s="98" t="s">
        <v>144</v>
      </c>
      <c r="G68" s="98" t="s">
        <v>50</v>
      </c>
      <c r="H68" s="98">
        <v>1</v>
      </c>
      <c r="I68" s="98">
        <v>2</v>
      </c>
      <c r="J68" s="98" t="s">
        <v>129</v>
      </c>
      <c r="K68" s="98" t="s">
        <v>44</v>
      </c>
    </row>
    <row r="69" spans="1:11" ht="28.2" customHeight="1" x14ac:dyDescent="0.3">
      <c r="A69" s="100">
        <v>68</v>
      </c>
      <c r="B69" s="100">
        <v>154</v>
      </c>
      <c r="C69" s="101" t="s">
        <v>240</v>
      </c>
      <c r="D69" s="100" t="s">
        <v>241</v>
      </c>
      <c r="E69" s="101" t="s">
        <v>242</v>
      </c>
      <c r="F69" s="100" t="s">
        <v>243</v>
      </c>
      <c r="G69" s="100" t="s">
        <v>50</v>
      </c>
      <c r="H69" s="100">
        <v>1</v>
      </c>
      <c r="I69" s="100">
        <v>2</v>
      </c>
      <c r="J69" s="100" t="s">
        <v>230</v>
      </c>
      <c r="K69" s="100" t="s">
        <v>231</v>
      </c>
    </row>
    <row r="70" spans="1:11" ht="28.2" customHeight="1" x14ac:dyDescent="0.3">
      <c r="A70" s="98">
        <v>69</v>
      </c>
      <c r="B70" s="98">
        <v>156</v>
      </c>
      <c r="C70" s="99" t="s">
        <v>80</v>
      </c>
      <c r="D70" s="98" t="s">
        <v>47</v>
      </c>
      <c r="E70" s="99" t="s">
        <v>94</v>
      </c>
      <c r="F70" s="98" t="s">
        <v>95</v>
      </c>
      <c r="G70" s="98" t="s">
        <v>62</v>
      </c>
      <c r="H70" s="98">
        <v>1</v>
      </c>
      <c r="I70" s="98">
        <v>2</v>
      </c>
      <c r="J70" s="98" t="s">
        <v>79</v>
      </c>
      <c r="K70" s="98" t="s">
        <v>44</v>
      </c>
    </row>
    <row r="71" spans="1:11" ht="28.2" customHeight="1" x14ac:dyDescent="0.3">
      <c r="A71" s="100">
        <v>70</v>
      </c>
      <c r="B71" s="100">
        <v>159</v>
      </c>
      <c r="C71" s="101" t="s">
        <v>97</v>
      </c>
      <c r="D71" s="100" t="s">
        <v>98</v>
      </c>
      <c r="E71" s="101" t="s">
        <v>99</v>
      </c>
      <c r="F71" s="100" t="s">
        <v>100</v>
      </c>
      <c r="G71" s="100" t="s">
        <v>50</v>
      </c>
      <c r="H71" s="100">
        <v>1</v>
      </c>
      <c r="I71" s="100">
        <v>2</v>
      </c>
      <c r="J71" s="100" t="s">
        <v>79</v>
      </c>
      <c r="K71" s="100" t="s">
        <v>44</v>
      </c>
    </row>
    <row r="72" spans="1:11" ht="28.2" customHeight="1" x14ac:dyDescent="0.3">
      <c r="A72" s="98">
        <v>71</v>
      </c>
      <c r="B72" s="98">
        <v>185</v>
      </c>
      <c r="C72" s="99" t="s">
        <v>80</v>
      </c>
      <c r="D72" s="98" t="s">
        <v>47</v>
      </c>
      <c r="E72" s="99" t="s">
        <v>117</v>
      </c>
      <c r="F72" s="98" t="s">
        <v>121</v>
      </c>
      <c r="G72" s="98" t="s">
        <v>50</v>
      </c>
      <c r="H72" s="98">
        <v>2</v>
      </c>
      <c r="I72" s="98">
        <v>4</v>
      </c>
      <c r="J72" s="98" t="s">
        <v>109</v>
      </c>
      <c r="K72" s="98" t="s">
        <v>44</v>
      </c>
    </row>
    <row r="73" spans="1:11" ht="28.2" customHeight="1" x14ac:dyDescent="0.3">
      <c r="A73" s="100">
        <v>72</v>
      </c>
      <c r="B73" s="100">
        <v>196</v>
      </c>
      <c r="C73" s="101" t="s">
        <v>97</v>
      </c>
      <c r="D73" s="100" t="s">
        <v>98</v>
      </c>
      <c r="E73" s="101" t="s">
        <v>199</v>
      </c>
      <c r="F73" s="100" t="s">
        <v>200</v>
      </c>
      <c r="G73" s="100" t="s">
        <v>62</v>
      </c>
      <c r="H73" s="100">
        <v>1</v>
      </c>
      <c r="I73" s="100">
        <v>2</v>
      </c>
      <c r="J73" s="100" t="s">
        <v>188</v>
      </c>
      <c r="K73" s="100" t="s">
        <v>151</v>
      </c>
    </row>
    <row r="74" spans="1:11" ht="28.2" customHeight="1" x14ac:dyDescent="0.3">
      <c r="A74" s="98">
        <v>73</v>
      </c>
      <c r="B74" s="98">
        <v>208</v>
      </c>
      <c r="C74" s="99" t="s">
        <v>123</v>
      </c>
      <c r="D74" s="98" t="s">
        <v>124</v>
      </c>
      <c r="E74" s="99" t="s">
        <v>125</v>
      </c>
      <c r="F74" s="98" t="s">
        <v>126</v>
      </c>
      <c r="G74" s="98" t="s">
        <v>50</v>
      </c>
      <c r="H74" s="98">
        <v>1</v>
      </c>
      <c r="I74" s="98">
        <v>2</v>
      </c>
      <c r="J74" s="98" t="s">
        <v>109</v>
      </c>
      <c r="K74" s="98" t="s">
        <v>44</v>
      </c>
    </row>
    <row r="75" spans="1:11" ht="28.2" customHeight="1" x14ac:dyDescent="0.3">
      <c r="A75" s="100">
        <v>74</v>
      </c>
      <c r="B75" s="100">
        <v>214</v>
      </c>
      <c r="C75" s="101" t="s">
        <v>46</v>
      </c>
      <c r="D75" s="100" t="s">
        <v>47</v>
      </c>
      <c r="E75" s="101" t="s">
        <v>70</v>
      </c>
      <c r="F75" s="100" t="s">
        <v>253</v>
      </c>
      <c r="G75" s="100" t="s">
        <v>50</v>
      </c>
      <c r="H75" s="100">
        <v>1</v>
      </c>
      <c r="I75" s="100">
        <v>2</v>
      </c>
      <c r="J75" s="100" t="s">
        <v>252</v>
      </c>
      <c r="K75" s="100" t="s">
        <v>231</v>
      </c>
    </row>
    <row r="76" spans="1:11" ht="28.2" customHeight="1" x14ac:dyDescent="0.3">
      <c r="A76" s="98">
        <v>75</v>
      </c>
      <c r="B76" s="98">
        <v>215</v>
      </c>
      <c r="C76" s="99" t="s">
        <v>46</v>
      </c>
      <c r="D76" s="98" t="s">
        <v>47</v>
      </c>
      <c r="E76" s="99" t="s">
        <v>159</v>
      </c>
      <c r="F76" s="98" t="s">
        <v>160</v>
      </c>
      <c r="G76" s="98" t="s">
        <v>50</v>
      </c>
      <c r="H76" s="98">
        <v>1</v>
      </c>
      <c r="I76" s="98">
        <v>2</v>
      </c>
      <c r="J76" s="98" t="s">
        <v>150</v>
      </c>
      <c r="K76" s="98" t="s">
        <v>151</v>
      </c>
    </row>
    <row r="77" spans="1:11" ht="28.2" customHeight="1" x14ac:dyDescent="0.3">
      <c r="A77" s="100">
        <v>76</v>
      </c>
      <c r="B77" s="100">
        <v>218</v>
      </c>
      <c r="C77" s="101" t="s">
        <v>142</v>
      </c>
      <c r="D77" s="100" t="s">
        <v>47</v>
      </c>
      <c r="E77" s="101" t="s">
        <v>145</v>
      </c>
      <c r="F77" s="100" t="s">
        <v>146</v>
      </c>
      <c r="G77" s="100" t="s">
        <v>62</v>
      </c>
      <c r="H77" s="100">
        <v>1</v>
      </c>
      <c r="I77" s="100">
        <v>2</v>
      </c>
      <c r="J77" s="100" t="s">
        <v>129</v>
      </c>
      <c r="K77" s="100" t="s">
        <v>44</v>
      </c>
    </row>
    <row r="78" spans="1:11" ht="28.2" customHeight="1" x14ac:dyDescent="0.3">
      <c r="A78" s="98">
        <v>77</v>
      </c>
      <c r="B78" s="98">
        <v>221</v>
      </c>
      <c r="C78" s="99" t="s">
        <v>102</v>
      </c>
      <c r="D78" s="98" t="s">
        <v>103</v>
      </c>
      <c r="E78" s="99" t="s">
        <v>104</v>
      </c>
      <c r="F78" s="98" t="s">
        <v>105</v>
      </c>
      <c r="G78" s="98" t="s">
        <v>62</v>
      </c>
      <c r="H78" s="98">
        <v>1</v>
      </c>
      <c r="I78" s="98">
        <v>2</v>
      </c>
      <c r="J78" s="98" t="s">
        <v>79</v>
      </c>
      <c r="K78" s="98" t="s">
        <v>44</v>
      </c>
    </row>
    <row r="79" spans="1:11" ht="28.2" customHeight="1" x14ac:dyDescent="0.3">
      <c r="A79" s="100">
        <v>78</v>
      </c>
      <c r="B79" s="100">
        <v>222</v>
      </c>
      <c r="C79" s="101" t="s">
        <v>102</v>
      </c>
      <c r="D79" s="100" t="s">
        <v>103</v>
      </c>
      <c r="E79" s="101" t="s">
        <v>127</v>
      </c>
      <c r="F79" s="100" t="s">
        <v>128</v>
      </c>
      <c r="G79" s="100" t="s">
        <v>50</v>
      </c>
      <c r="H79" s="100">
        <v>1</v>
      </c>
      <c r="I79" s="100">
        <v>2</v>
      </c>
      <c r="J79" s="100" t="s">
        <v>109</v>
      </c>
      <c r="K79" s="100" t="s">
        <v>44</v>
      </c>
    </row>
    <row r="80" spans="1:11" ht="28.2" customHeight="1" x14ac:dyDescent="0.3">
      <c r="A80" s="98">
        <v>79</v>
      </c>
      <c r="B80" s="98">
        <v>227</v>
      </c>
      <c r="C80" s="99" t="s">
        <v>183</v>
      </c>
      <c r="D80" s="98" t="s">
        <v>184</v>
      </c>
      <c r="E80" s="99" t="s">
        <v>164</v>
      </c>
      <c r="F80" s="98" t="s">
        <v>185</v>
      </c>
      <c r="G80" s="98" t="s">
        <v>62</v>
      </c>
      <c r="H80" s="98">
        <v>1</v>
      </c>
      <c r="I80" s="98">
        <v>2</v>
      </c>
      <c r="J80" s="98" t="s">
        <v>170</v>
      </c>
      <c r="K80" s="98" t="s">
        <v>151</v>
      </c>
    </row>
    <row r="81" spans="1:11" ht="28.2" customHeight="1" x14ac:dyDescent="0.3">
      <c r="A81" s="100">
        <v>80</v>
      </c>
      <c r="B81" s="100">
        <v>228</v>
      </c>
      <c r="C81" s="101" t="s">
        <v>183</v>
      </c>
      <c r="D81" s="100" t="s">
        <v>184</v>
      </c>
      <c r="E81" s="101" t="s">
        <v>186</v>
      </c>
      <c r="F81" s="100" t="s">
        <v>187</v>
      </c>
      <c r="G81" s="100" t="s">
        <v>62</v>
      </c>
      <c r="H81" s="100">
        <v>1</v>
      </c>
      <c r="I81" s="100">
        <v>2</v>
      </c>
      <c r="J81" s="100" t="s">
        <v>170</v>
      </c>
      <c r="K81" s="100" t="s">
        <v>151</v>
      </c>
    </row>
    <row r="82" spans="1:11" ht="28.2" customHeight="1" x14ac:dyDescent="0.3">
      <c r="A82" s="98">
        <v>81</v>
      </c>
      <c r="B82" s="98">
        <v>231</v>
      </c>
      <c r="C82" s="99" t="s">
        <v>162</v>
      </c>
      <c r="D82" s="98" t="s">
        <v>163</v>
      </c>
      <c r="E82" s="99" t="s">
        <v>164</v>
      </c>
      <c r="F82" s="98" t="s">
        <v>165</v>
      </c>
      <c r="G82" s="98" t="s">
        <v>62</v>
      </c>
      <c r="H82" s="98">
        <v>1</v>
      </c>
      <c r="I82" s="98">
        <v>2</v>
      </c>
      <c r="J82" s="98" t="s">
        <v>150</v>
      </c>
      <c r="K82" s="98" t="s">
        <v>151</v>
      </c>
    </row>
    <row r="83" spans="1:11" ht="28.2" customHeight="1" x14ac:dyDescent="0.3">
      <c r="A83" s="100">
        <v>82</v>
      </c>
      <c r="B83" s="100">
        <v>232</v>
      </c>
      <c r="C83" s="101" t="s">
        <v>166</v>
      </c>
      <c r="D83" s="100" t="s">
        <v>167</v>
      </c>
      <c r="E83" s="101" t="s">
        <v>168</v>
      </c>
      <c r="F83" s="100" t="s">
        <v>169</v>
      </c>
      <c r="G83" s="100" t="s">
        <v>62</v>
      </c>
      <c r="H83" s="100">
        <v>1</v>
      </c>
      <c r="I83" s="100">
        <v>2</v>
      </c>
      <c r="J83" s="100" t="s">
        <v>150</v>
      </c>
      <c r="K83" s="100" t="s">
        <v>151</v>
      </c>
    </row>
    <row r="84" spans="1:11" ht="28.2" customHeight="1" x14ac:dyDescent="0.3">
      <c r="A84" s="98">
        <v>83</v>
      </c>
      <c r="B84" s="98">
        <v>268</v>
      </c>
      <c r="C84" s="99" t="s">
        <v>171</v>
      </c>
      <c r="D84" s="98" t="s">
        <v>172</v>
      </c>
      <c r="E84" s="99" t="s">
        <v>201</v>
      </c>
      <c r="F84" s="98" t="s">
        <v>202</v>
      </c>
      <c r="G84" s="98" t="s">
        <v>50</v>
      </c>
      <c r="H84" s="98">
        <v>1</v>
      </c>
      <c r="I84" s="98">
        <v>2</v>
      </c>
      <c r="J84" s="98" t="s">
        <v>188</v>
      </c>
      <c r="K84" s="98" t="s">
        <v>151</v>
      </c>
    </row>
    <row r="85" spans="1:11" ht="28.2" customHeight="1" x14ac:dyDescent="0.3">
      <c r="A85" s="100">
        <v>84</v>
      </c>
      <c r="B85" s="100">
        <v>273</v>
      </c>
      <c r="C85" s="101" t="s">
        <v>171</v>
      </c>
      <c r="D85" s="100" t="s">
        <v>172</v>
      </c>
      <c r="E85" s="101" t="s">
        <v>203</v>
      </c>
      <c r="F85" s="100" t="s">
        <v>204</v>
      </c>
      <c r="G85" s="100" t="s">
        <v>50</v>
      </c>
      <c r="H85" s="100">
        <v>1</v>
      </c>
      <c r="I85" s="100">
        <v>2</v>
      </c>
      <c r="J85" s="100" t="s">
        <v>188</v>
      </c>
      <c r="K85" s="100" t="s">
        <v>151</v>
      </c>
    </row>
    <row r="86" spans="1:11" ht="28.2" customHeight="1" x14ac:dyDescent="0.3">
      <c r="A86" s="98">
        <v>85</v>
      </c>
      <c r="B86" s="98">
        <v>283</v>
      </c>
      <c r="C86" s="99" t="s">
        <v>46</v>
      </c>
      <c r="D86" s="98" t="s">
        <v>47</v>
      </c>
      <c r="E86" s="99" t="s">
        <v>254</v>
      </c>
      <c r="F86" s="98" t="s">
        <v>255</v>
      </c>
      <c r="G86" s="98" t="s">
        <v>50</v>
      </c>
      <c r="H86" s="98">
        <v>1</v>
      </c>
      <c r="I86" s="98">
        <v>2</v>
      </c>
      <c r="J86" s="98" t="s">
        <v>252</v>
      </c>
      <c r="K86" s="98" t="s">
        <v>231</v>
      </c>
    </row>
    <row r="87" spans="1:11" ht="28.2" customHeight="1" x14ac:dyDescent="0.3">
      <c r="A87" s="100">
        <v>86</v>
      </c>
      <c r="B87" s="100">
        <v>291</v>
      </c>
      <c r="C87" s="101" t="s">
        <v>46</v>
      </c>
      <c r="D87" s="100" t="s">
        <v>47</v>
      </c>
      <c r="E87" s="101" t="s">
        <v>254</v>
      </c>
      <c r="F87" s="100" t="s">
        <v>256</v>
      </c>
      <c r="G87" s="100" t="s">
        <v>50</v>
      </c>
      <c r="H87" s="100">
        <v>1</v>
      </c>
      <c r="I87" s="100">
        <v>2</v>
      </c>
      <c r="J87" s="100" t="s">
        <v>252</v>
      </c>
      <c r="K87" s="100" t="s">
        <v>231</v>
      </c>
    </row>
    <row r="88" spans="1:11" ht="28.2" customHeight="1" x14ac:dyDescent="0.3">
      <c r="A88" s="98">
        <v>87</v>
      </c>
      <c r="B88" s="98">
        <v>292</v>
      </c>
      <c r="C88" s="99" t="s">
        <v>46</v>
      </c>
      <c r="D88" s="98" t="s">
        <v>47</v>
      </c>
      <c r="E88" s="99" t="s">
        <v>257</v>
      </c>
      <c r="F88" s="98" t="s">
        <v>258</v>
      </c>
      <c r="G88" s="98" t="s">
        <v>50</v>
      </c>
      <c r="H88" s="98">
        <v>1</v>
      </c>
      <c r="I88" s="98">
        <v>2</v>
      </c>
      <c r="J88" s="98" t="s">
        <v>252</v>
      </c>
      <c r="K88" s="98" t="s">
        <v>231</v>
      </c>
    </row>
    <row r="89" spans="1:11" ht="28.2" customHeight="1" x14ac:dyDescent="0.3">
      <c r="A89" s="100">
        <v>88</v>
      </c>
      <c r="B89" s="100">
        <v>298</v>
      </c>
      <c r="C89" s="101" t="s">
        <v>216</v>
      </c>
      <c r="D89" s="100" t="s">
        <v>217</v>
      </c>
      <c r="E89" s="101" t="s">
        <v>218</v>
      </c>
      <c r="F89" s="100" t="s">
        <v>219</v>
      </c>
      <c r="G89" s="100" t="s">
        <v>62</v>
      </c>
      <c r="H89" s="100">
        <v>1</v>
      </c>
      <c r="I89" s="100">
        <v>2</v>
      </c>
      <c r="J89" s="100" t="s">
        <v>205</v>
      </c>
      <c r="K89" s="100" t="s">
        <v>151</v>
      </c>
    </row>
    <row r="90" spans="1:11" ht="28.2" customHeight="1" x14ac:dyDescent="0.3">
      <c r="A90" s="98">
        <v>89</v>
      </c>
      <c r="B90" s="98">
        <v>304</v>
      </c>
      <c r="C90" s="99" t="s">
        <v>59</v>
      </c>
      <c r="D90" s="98" t="s">
        <v>47</v>
      </c>
      <c r="E90" s="99" t="s">
        <v>60</v>
      </c>
      <c r="F90" s="98" t="s">
        <v>61</v>
      </c>
      <c r="G90" s="98" t="s">
        <v>62</v>
      </c>
      <c r="H90" s="98">
        <v>1</v>
      </c>
      <c r="I90" s="98">
        <v>2</v>
      </c>
      <c r="J90" s="98" t="s">
        <v>43</v>
      </c>
      <c r="K90" s="98" t="s">
        <v>44</v>
      </c>
    </row>
    <row r="91" spans="1:11" ht="28.2" customHeight="1" x14ac:dyDescent="0.3">
      <c r="A91" s="100">
        <v>90</v>
      </c>
      <c r="B91" s="100">
        <v>305</v>
      </c>
      <c r="C91" s="101" t="s">
        <v>59</v>
      </c>
      <c r="D91" s="100" t="s">
        <v>47</v>
      </c>
      <c r="E91" s="101" t="s">
        <v>60</v>
      </c>
      <c r="F91" s="100" t="s">
        <v>63</v>
      </c>
      <c r="G91" s="100" t="s">
        <v>62</v>
      </c>
      <c r="H91" s="100">
        <v>1</v>
      </c>
      <c r="I91" s="100">
        <v>2</v>
      </c>
      <c r="J91" s="100" t="s">
        <v>43</v>
      </c>
      <c r="K91" s="100" t="s">
        <v>44</v>
      </c>
    </row>
    <row r="92" spans="1:11" ht="28.2" customHeight="1" x14ac:dyDescent="0.3">
      <c r="A92" s="98">
        <v>91</v>
      </c>
      <c r="B92" s="98">
        <v>306</v>
      </c>
      <c r="C92" s="99" t="s">
        <v>59</v>
      </c>
      <c r="D92" s="98" t="s">
        <v>47</v>
      </c>
      <c r="E92" s="99" t="s">
        <v>60</v>
      </c>
      <c r="F92" s="98" t="s">
        <v>69</v>
      </c>
      <c r="G92" s="98" t="s">
        <v>62</v>
      </c>
      <c r="H92" s="98">
        <v>1</v>
      </c>
      <c r="I92" s="98">
        <v>2</v>
      </c>
      <c r="J92" s="98" t="s">
        <v>64</v>
      </c>
      <c r="K92" s="98" t="s">
        <v>44</v>
      </c>
    </row>
    <row r="93" spans="1:11" ht="28.2" customHeight="1" x14ac:dyDescent="0.3">
      <c r="A93" s="100">
        <v>92</v>
      </c>
      <c r="B93" s="100">
        <v>307</v>
      </c>
      <c r="C93" s="101" t="s">
        <v>59</v>
      </c>
      <c r="D93" s="100" t="s">
        <v>47</v>
      </c>
      <c r="E93" s="101" t="s">
        <v>70</v>
      </c>
      <c r="F93" s="100" t="s">
        <v>71</v>
      </c>
      <c r="G93" s="100" t="s">
        <v>50</v>
      </c>
      <c r="H93" s="100">
        <v>1</v>
      </c>
      <c r="I93" s="100">
        <v>2</v>
      </c>
      <c r="J93" s="100" t="s">
        <v>64</v>
      </c>
      <c r="K93" s="100" t="s">
        <v>44</v>
      </c>
    </row>
    <row r="94" spans="1:11" ht="28.2" customHeight="1" x14ac:dyDescent="0.3">
      <c r="A94" s="98">
        <v>93</v>
      </c>
      <c r="B94" s="98">
        <v>310</v>
      </c>
      <c r="C94" s="99" t="s">
        <v>259</v>
      </c>
      <c r="D94" s="98" t="s">
        <v>260</v>
      </c>
      <c r="E94" s="99" t="s">
        <v>261</v>
      </c>
      <c r="F94" s="98" t="s">
        <v>262</v>
      </c>
      <c r="G94" s="98" t="s">
        <v>50</v>
      </c>
      <c r="H94" s="98">
        <v>1</v>
      </c>
      <c r="I94" s="98">
        <v>2</v>
      </c>
      <c r="J94" s="98" t="s">
        <v>252</v>
      </c>
      <c r="K94" s="98" t="s">
        <v>231</v>
      </c>
    </row>
    <row r="95" spans="1:11" ht="28.2" customHeight="1" x14ac:dyDescent="0.3">
      <c r="A95" s="100">
        <v>94</v>
      </c>
      <c r="B95" s="100">
        <v>319</v>
      </c>
      <c r="C95" s="101" t="s">
        <v>147</v>
      </c>
      <c r="D95" s="100" t="s">
        <v>47</v>
      </c>
      <c r="E95" s="101" t="s">
        <v>148</v>
      </c>
      <c r="F95" s="100" t="s">
        <v>149</v>
      </c>
      <c r="G95" s="100" t="s">
        <v>62</v>
      </c>
      <c r="H95" s="100">
        <v>1</v>
      </c>
      <c r="I95" s="100">
        <v>2</v>
      </c>
      <c r="J95" s="100" t="s">
        <v>129</v>
      </c>
      <c r="K95" s="100" t="s">
        <v>44</v>
      </c>
    </row>
    <row r="96" spans="1:11" ht="28.2" customHeight="1" x14ac:dyDescent="0.3">
      <c r="A96" s="98">
        <v>95</v>
      </c>
      <c r="B96" s="98">
        <v>321</v>
      </c>
      <c r="C96" s="99" t="s">
        <v>106</v>
      </c>
      <c r="D96" s="98" t="s">
        <v>76</v>
      </c>
      <c r="E96" s="99" t="s">
        <v>107</v>
      </c>
      <c r="F96" s="98" t="s">
        <v>108</v>
      </c>
      <c r="G96" s="98" t="s">
        <v>50</v>
      </c>
      <c r="H96" s="98">
        <v>1</v>
      </c>
      <c r="I96" s="98">
        <v>2</v>
      </c>
      <c r="J96" s="98" t="s">
        <v>79</v>
      </c>
      <c r="K96" s="98" t="s">
        <v>44</v>
      </c>
    </row>
    <row r="97" spans="1:11" ht="28.2" customHeight="1" x14ac:dyDescent="0.3">
      <c r="A97" s="100">
        <v>96</v>
      </c>
      <c r="B97" s="100">
        <v>338</v>
      </c>
      <c r="C97" s="101" t="s">
        <v>46</v>
      </c>
      <c r="D97" s="100" t="s">
        <v>47</v>
      </c>
      <c r="E97" s="101" t="s">
        <v>72</v>
      </c>
      <c r="F97" s="100" t="s">
        <v>73</v>
      </c>
      <c r="G97" s="100" t="s">
        <v>50</v>
      </c>
      <c r="H97" s="100">
        <v>1</v>
      </c>
      <c r="I97" s="100">
        <v>2</v>
      </c>
      <c r="J97" s="100" t="s">
        <v>64</v>
      </c>
      <c r="K97" s="100" t="s">
        <v>44</v>
      </c>
    </row>
    <row r="98" spans="1:11" ht="28.2" customHeight="1" x14ac:dyDescent="0.3">
      <c r="A98" s="98">
        <v>97</v>
      </c>
      <c r="B98" s="98">
        <v>351</v>
      </c>
      <c r="C98" s="99" t="s">
        <v>46</v>
      </c>
      <c r="D98" s="98" t="s">
        <v>47</v>
      </c>
      <c r="E98" s="99" t="s">
        <v>212</v>
      </c>
      <c r="F98" s="98" t="s">
        <v>229</v>
      </c>
      <c r="G98" s="98" t="s">
        <v>50</v>
      </c>
      <c r="H98" s="98">
        <v>1</v>
      </c>
      <c r="I98" s="98">
        <v>2</v>
      </c>
      <c r="J98" s="98" t="s">
        <v>222</v>
      </c>
      <c r="K98" s="98" t="s">
        <v>151</v>
      </c>
    </row>
    <row r="99" spans="1:11" ht="28.2" customHeight="1" x14ac:dyDescent="0.3">
      <c r="A99" s="100">
        <v>98</v>
      </c>
      <c r="B99" s="100">
        <v>357</v>
      </c>
      <c r="C99" s="101" t="s">
        <v>97</v>
      </c>
      <c r="D99" s="100" t="s">
        <v>98</v>
      </c>
      <c r="E99" s="101" t="s">
        <v>220</v>
      </c>
      <c r="F99" s="100" t="s">
        <v>221</v>
      </c>
      <c r="G99" s="100" t="s">
        <v>50</v>
      </c>
      <c r="H99" s="100">
        <v>1</v>
      </c>
      <c r="I99" s="100">
        <v>2</v>
      </c>
      <c r="J99" s="100" t="s">
        <v>205</v>
      </c>
      <c r="K99" s="100" t="s">
        <v>151</v>
      </c>
    </row>
    <row r="100" spans="1:11" ht="28.2" customHeight="1" x14ac:dyDescent="0.3">
      <c r="A100" s="98">
        <v>99</v>
      </c>
      <c r="B100" s="98">
        <v>358</v>
      </c>
      <c r="C100" s="99" t="s">
        <v>75</v>
      </c>
      <c r="D100" s="98" t="s">
        <v>76</v>
      </c>
      <c r="E100" s="99" t="s">
        <v>77</v>
      </c>
      <c r="F100" s="98" t="s">
        <v>78</v>
      </c>
      <c r="G100" s="98" t="s">
        <v>50</v>
      </c>
      <c r="H100" s="98">
        <v>1</v>
      </c>
      <c r="I100" s="98">
        <v>2</v>
      </c>
      <c r="J100" s="98" t="s">
        <v>64</v>
      </c>
      <c r="K100" s="98" t="s">
        <v>44</v>
      </c>
    </row>
    <row r="101" spans="1:11" ht="28.2" customHeight="1" x14ac:dyDescent="0.3">
      <c r="A101" s="100">
        <v>100</v>
      </c>
      <c r="B101" s="100">
        <v>363</v>
      </c>
      <c r="C101" s="101" t="s">
        <v>244</v>
      </c>
      <c r="D101" s="100" t="s">
        <v>245</v>
      </c>
      <c r="E101" s="101" t="s">
        <v>246</v>
      </c>
      <c r="F101" s="100" t="s">
        <v>247</v>
      </c>
      <c r="G101" s="100" t="s">
        <v>50</v>
      </c>
      <c r="H101" s="100">
        <v>1</v>
      </c>
      <c r="I101" s="100">
        <v>2</v>
      </c>
      <c r="J101" s="100" t="s">
        <v>230</v>
      </c>
      <c r="K101" s="100" t="s">
        <v>231</v>
      </c>
    </row>
    <row r="102" spans="1:11" ht="28.2" customHeight="1" x14ac:dyDescent="0.3">
      <c r="A102" s="98">
        <v>101</v>
      </c>
      <c r="B102" s="98">
        <v>367</v>
      </c>
      <c r="C102" s="99" t="s">
        <v>248</v>
      </c>
      <c r="D102" s="98" t="s">
        <v>249</v>
      </c>
      <c r="E102" s="99" t="s">
        <v>250</v>
      </c>
      <c r="F102" s="98" t="s">
        <v>251</v>
      </c>
      <c r="G102" s="98" t="s">
        <v>62</v>
      </c>
      <c r="H102" s="98">
        <v>1</v>
      </c>
      <c r="I102" s="98">
        <v>2</v>
      </c>
      <c r="J102" s="98" t="s">
        <v>230</v>
      </c>
      <c r="K102" s="98" t="s">
        <v>231</v>
      </c>
    </row>
  </sheetData>
  <autoFilter ref="A1:K102" xr:uid="{00000000-0009-0000-0000-000002000000}"/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9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27.6640625" customWidth="1"/>
    <col min="2" max="2" width="27.88671875" customWidth="1"/>
    <col min="3" max="3" width="32.44140625" bestFit="1" customWidth="1"/>
    <col min="4" max="4" width="26.6640625" customWidth="1"/>
    <col min="5" max="5" width="36" customWidth="1"/>
    <col min="6" max="6" width="42" customWidth="1"/>
    <col min="7" max="7" width="20" customWidth="1"/>
    <col min="8" max="8" width="60" customWidth="1"/>
    <col min="9" max="9" width="22" customWidth="1"/>
    <col min="10" max="10" width="15" customWidth="1"/>
    <col min="11" max="11" width="14" customWidth="1"/>
  </cols>
  <sheetData>
    <row r="1" spans="1:10" ht="22.2" customHeight="1" x14ac:dyDescent="0.3">
      <c r="A1" s="157"/>
      <c r="B1" s="158"/>
      <c r="C1" s="158"/>
      <c r="D1" s="158"/>
      <c r="E1" s="158"/>
      <c r="F1" s="158"/>
      <c r="G1" s="158"/>
      <c r="H1" s="158"/>
      <c r="I1" s="158"/>
      <c r="J1" s="158"/>
    </row>
    <row r="2" spans="1:10" ht="22.2" customHeight="1" x14ac:dyDescent="0.3">
      <c r="A2" s="157" t="s">
        <v>0</v>
      </c>
      <c r="B2" s="158"/>
      <c r="C2" s="158"/>
      <c r="D2" s="158"/>
      <c r="E2" s="158"/>
      <c r="F2" s="158"/>
      <c r="G2" s="158"/>
      <c r="H2" s="158"/>
      <c r="I2" s="158"/>
      <c r="J2" s="158"/>
    </row>
    <row r="3" spans="1:10" ht="22.2" customHeight="1" x14ac:dyDescent="0.3">
      <c r="A3" s="159"/>
      <c r="B3" s="158"/>
      <c r="C3" s="158"/>
      <c r="D3" s="158"/>
      <c r="E3" s="158"/>
      <c r="F3" s="158"/>
      <c r="G3" s="158"/>
      <c r="H3" s="158"/>
      <c r="I3" s="158"/>
      <c r="J3" s="158"/>
    </row>
    <row r="5" spans="1:10" x14ac:dyDescent="0.3">
      <c r="A5" s="160" t="s">
        <v>1</v>
      </c>
      <c r="B5" s="158"/>
      <c r="C5" s="158"/>
      <c r="D5" s="158"/>
      <c r="E5" s="158"/>
    </row>
    <row r="6" spans="1:10" x14ac:dyDescent="0.3">
      <c r="A6" s="102" t="s">
        <v>2</v>
      </c>
      <c r="B6" s="102" t="s">
        <v>3</v>
      </c>
      <c r="C6" s="102" t="s">
        <v>4</v>
      </c>
      <c r="D6" s="102" t="s">
        <v>5</v>
      </c>
      <c r="E6" s="102" t="s">
        <v>6</v>
      </c>
    </row>
    <row r="7" spans="1:10" ht="175.2" customHeight="1" x14ac:dyDescent="0.3">
      <c r="A7" s="103" t="s">
        <v>7</v>
      </c>
      <c r="B7" s="103" t="s">
        <v>8</v>
      </c>
      <c r="C7" s="103" t="s">
        <v>9</v>
      </c>
      <c r="D7" s="103" t="s">
        <v>10</v>
      </c>
      <c r="E7" s="103" t="s">
        <v>11</v>
      </c>
    </row>
    <row r="8" spans="1:10" x14ac:dyDescent="0.3">
      <c r="A8">
        <v>7</v>
      </c>
      <c r="B8">
        <v>7</v>
      </c>
      <c r="C8">
        <v>11</v>
      </c>
      <c r="D8">
        <v>10</v>
      </c>
      <c r="E8">
        <v>10</v>
      </c>
    </row>
    <row r="9" spans="1:10" x14ac:dyDescent="0.3">
      <c r="A9" s="160" t="s">
        <v>12</v>
      </c>
      <c r="B9" s="158"/>
      <c r="C9" s="158"/>
      <c r="D9" s="158"/>
      <c r="E9" s="158"/>
    </row>
    <row r="10" spans="1:10" x14ac:dyDescent="0.3">
      <c r="A10" s="102" t="s">
        <v>13</v>
      </c>
      <c r="B10" s="102" t="s">
        <v>14</v>
      </c>
      <c r="C10" s="102" t="s">
        <v>15</v>
      </c>
      <c r="D10" s="102" t="s">
        <v>16</v>
      </c>
      <c r="E10" s="102" t="s">
        <v>17</v>
      </c>
    </row>
    <row r="11" spans="1:10" ht="175.2" customHeight="1" x14ac:dyDescent="0.3">
      <c r="A11" s="103" t="s">
        <v>18</v>
      </c>
      <c r="B11" s="103" t="s">
        <v>19</v>
      </c>
      <c r="C11" s="103" t="s">
        <v>20</v>
      </c>
      <c r="D11" s="103" t="s">
        <v>21</v>
      </c>
      <c r="E11" s="103" t="s">
        <v>22</v>
      </c>
    </row>
    <row r="12" spans="1:10" x14ac:dyDescent="0.3">
      <c r="A12">
        <v>8</v>
      </c>
      <c r="B12">
        <v>10</v>
      </c>
      <c r="C12">
        <v>11</v>
      </c>
      <c r="D12">
        <v>9</v>
      </c>
      <c r="E12">
        <v>6</v>
      </c>
    </row>
    <row r="13" spans="1:10" x14ac:dyDescent="0.3">
      <c r="A13" s="160" t="s">
        <v>23</v>
      </c>
      <c r="B13" s="158"/>
      <c r="C13" s="158"/>
      <c r="D13" s="158"/>
      <c r="E13" s="158"/>
    </row>
    <row r="14" spans="1:10" x14ac:dyDescent="0.3">
      <c r="A14" s="102" t="s">
        <v>24</v>
      </c>
      <c r="B14" s="102" t="s">
        <v>25</v>
      </c>
      <c r="C14" s="104" t="s">
        <v>26</v>
      </c>
      <c r="D14" s="104" t="s">
        <v>27</v>
      </c>
      <c r="E14" s="104" t="s">
        <v>28</v>
      </c>
    </row>
    <row r="15" spans="1:10" ht="175.2" customHeight="1" x14ac:dyDescent="0.3">
      <c r="A15" s="103" t="s">
        <v>29</v>
      </c>
      <c r="B15" s="103" t="s">
        <v>30</v>
      </c>
      <c r="C15" s="105" t="s">
        <v>617</v>
      </c>
      <c r="D15" s="105" t="s">
        <v>617</v>
      </c>
      <c r="E15" s="105" t="s">
        <v>617</v>
      </c>
    </row>
    <row r="16" spans="1:10" x14ac:dyDescent="0.3">
      <c r="A16">
        <v>7</v>
      </c>
      <c r="B16">
        <v>5</v>
      </c>
    </row>
    <row r="17" spans="1:11" ht="24" customHeight="1" x14ac:dyDescent="0.3">
      <c r="A17" s="156" t="s">
        <v>31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</row>
    <row r="18" spans="1:11" ht="25.2" customHeight="1" x14ac:dyDescent="0.3">
      <c r="A18" s="106" t="s">
        <v>32</v>
      </c>
      <c r="B18" s="106" t="s">
        <v>33</v>
      </c>
      <c r="C18" s="106" t="s">
        <v>34</v>
      </c>
      <c r="D18" s="106" t="s">
        <v>35</v>
      </c>
      <c r="E18" s="106" t="s">
        <v>36</v>
      </c>
      <c r="F18" s="106" t="s">
        <v>37</v>
      </c>
      <c r="G18" s="106" t="s">
        <v>38</v>
      </c>
      <c r="H18" s="106" t="s">
        <v>39</v>
      </c>
      <c r="I18" s="106" t="s">
        <v>40</v>
      </c>
      <c r="J18" s="106" t="s">
        <v>41</v>
      </c>
      <c r="K18" s="106" t="s">
        <v>42</v>
      </c>
    </row>
    <row r="19" spans="1:11" ht="28.2" customHeight="1" x14ac:dyDescent="0.3">
      <c r="A19" s="111">
        <v>1</v>
      </c>
      <c r="B19" s="111">
        <v>19</v>
      </c>
      <c r="C19" s="111" t="s">
        <v>43</v>
      </c>
      <c r="D19" s="111" t="s">
        <v>44</v>
      </c>
      <c r="E19" s="112" t="s">
        <v>45</v>
      </c>
      <c r="F19" s="113" t="s">
        <v>46</v>
      </c>
      <c r="G19" s="111" t="s">
        <v>47</v>
      </c>
      <c r="H19" s="113" t="s">
        <v>48</v>
      </c>
      <c r="I19" s="111" t="s">
        <v>49</v>
      </c>
      <c r="J19" s="111" t="s">
        <v>50</v>
      </c>
      <c r="K19" s="111" t="s">
        <v>51</v>
      </c>
    </row>
    <row r="20" spans="1:11" ht="28.2" customHeight="1" x14ac:dyDescent="0.3">
      <c r="A20" s="114">
        <v>2</v>
      </c>
      <c r="B20" s="114">
        <v>20</v>
      </c>
      <c r="C20" s="114" t="s">
        <v>43</v>
      </c>
      <c r="D20" s="114" t="s">
        <v>44</v>
      </c>
      <c r="E20" s="115" t="s">
        <v>52</v>
      </c>
      <c r="F20" s="116" t="s">
        <v>46</v>
      </c>
      <c r="G20" s="114" t="s">
        <v>47</v>
      </c>
      <c r="H20" s="116" t="s">
        <v>48</v>
      </c>
      <c r="I20" s="114" t="s">
        <v>53</v>
      </c>
      <c r="J20" s="114" t="s">
        <v>50</v>
      </c>
      <c r="K20" s="114" t="s">
        <v>51</v>
      </c>
    </row>
    <row r="21" spans="1:11" ht="28.2" customHeight="1" x14ac:dyDescent="0.3">
      <c r="A21" s="111">
        <v>3</v>
      </c>
      <c r="B21" s="111">
        <v>21</v>
      </c>
      <c r="C21" s="111" t="s">
        <v>43</v>
      </c>
      <c r="D21" s="111" t="s">
        <v>44</v>
      </c>
      <c r="E21" s="112" t="s">
        <v>45</v>
      </c>
      <c r="F21" s="113" t="s">
        <v>46</v>
      </c>
      <c r="G21" s="111" t="s">
        <v>47</v>
      </c>
      <c r="H21" s="113" t="s">
        <v>48</v>
      </c>
      <c r="I21" s="111" t="s">
        <v>54</v>
      </c>
      <c r="J21" s="111" t="s">
        <v>50</v>
      </c>
      <c r="K21" s="111" t="s">
        <v>51</v>
      </c>
    </row>
    <row r="22" spans="1:11" ht="28.2" customHeight="1" x14ac:dyDescent="0.3">
      <c r="A22" s="114">
        <v>4</v>
      </c>
      <c r="B22" s="114">
        <v>22</v>
      </c>
      <c r="C22" s="114" t="s">
        <v>43</v>
      </c>
      <c r="D22" s="114" t="s">
        <v>44</v>
      </c>
      <c r="E22" s="115" t="s">
        <v>52</v>
      </c>
      <c r="F22" s="116" t="s">
        <v>46</v>
      </c>
      <c r="G22" s="114" t="s">
        <v>47</v>
      </c>
      <c r="H22" s="116" t="s">
        <v>48</v>
      </c>
      <c r="I22" s="114" t="s">
        <v>55</v>
      </c>
      <c r="J22" s="114" t="s">
        <v>50</v>
      </c>
      <c r="K22" s="114" t="s">
        <v>51</v>
      </c>
    </row>
    <row r="23" spans="1:11" ht="28.2" customHeight="1" x14ac:dyDescent="0.3">
      <c r="A23" s="111">
        <v>5</v>
      </c>
      <c r="B23" s="111">
        <v>23</v>
      </c>
      <c r="C23" s="111" t="s">
        <v>43</v>
      </c>
      <c r="D23" s="111" t="s">
        <v>44</v>
      </c>
      <c r="E23" s="112" t="s">
        <v>45</v>
      </c>
      <c r="F23" s="113" t="s">
        <v>46</v>
      </c>
      <c r="G23" s="111" t="s">
        <v>47</v>
      </c>
      <c r="H23" s="113" t="s">
        <v>56</v>
      </c>
      <c r="I23" s="111" t="s">
        <v>57</v>
      </c>
      <c r="J23" s="111" t="s">
        <v>50</v>
      </c>
      <c r="K23" s="111" t="s">
        <v>51</v>
      </c>
    </row>
    <row r="24" spans="1:11" ht="28.2" customHeight="1" x14ac:dyDescent="0.3">
      <c r="A24" s="114">
        <v>6</v>
      </c>
      <c r="B24" s="114">
        <v>304</v>
      </c>
      <c r="C24" s="114" t="s">
        <v>43</v>
      </c>
      <c r="D24" s="114" t="s">
        <v>44</v>
      </c>
      <c r="E24" s="115" t="s">
        <v>58</v>
      </c>
      <c r="F24" s="116" t="s">
        <v>59</v>
      </c>
      <c r="G24" s="114" t="s">
        <v>47</v>
      </c>
      <c r="H24" s="116" t="s">
        <v>60</v>
      </c>
      <c r="I24" s="114" t="s">
        <v>61</v>
      </c>
      <c r="J24" s="114" t="s">
        <v>62</v>
      </c>
      <c r="K24" s="114" t="s">
        <v>51</v>
      </c>
    </row>
    <row r="25" spans="1:11" ht="28.2" customHeight="1" x14ac:dyDescent="0.3">
      <c r="A25" s="111">
        <v>7</v>
      </c>
      <c r="B25" s="111">
        <v>305</v>
      </c>
      <c r="C25" s="111" t="s">
        <v>43</v>
      </c>
      <c r="D25" s="111" t="s">
        <v>44</v>
      </c>
      <c r="E25" s="112" t="s">
        <v>58</v>
      </c>
      <c r="F25" s="113" t="s">
        <v>59</v>
      </c>
      <c r="G25" s="111" t="s">
        <v>47</v>
      </c>
      <c r="H25" s="113" t="s">
        <v>60</v>
      </c>
      <c r="I25" s="111" t="s">
        <v>63</v>
      </c>
      <c r="J25" s="111" t="s">
        <v>62</v>
      </c>
      <c r="K25" s="111" t="s">
        <v>51</v>
      </c>
    </row>
    <row r="26" spans="1:11" ht="28.2" customHeight="1" x14ac:dyDescent="0.3">
      <c r="A26" s="114">
        <v>8</v>
      </c>
      <c r="B26" s="114">
        <v>24</v>
      </c>
      <c r="C26" s="114" t="s">
        <v>64</v>
      </c>
      <c r="D26" s="114" t="s">
        <v>44</v>
      </c>
      <c r="E26" s="115" t="s">
        <v>52</v>
      </c>
      <c r="F26" s="116" t="s">
        <v>46</v>
      </c>
      <c r="G26" s="114" t="s">
        <v>47</v>
      </c>
      <c r="H26" s="116" t="s">
        <v>56</v>
      </c>
      <c r="I26" s="114" t="s">
        <v>65</v>
      </c>
      <c r="J26" s="114" t="s">
        <v>50</v>
      </c>
      <c r="K26" s="114" t="s">
        <v>51</v>
      </c>
    </row>
    <row r="27" spans="1:11" ht="28.2" customHeight="1" x14ac:dyDescent="0.3">
      <c r="A27" s="111">
        <v>9</v>
      </c>
      <c r="B27" s="111">
        <v>25</v>
      </c>
      <c r="C27" s="111" t="s">
        <v>64</v>
      </c>
      <c r="D27" s="111" t="s">
        <v>44</v>
      </c>
      <c r="E27" s="112" t="s">
        <v>45</v>
      </c>
      <c r="F27" s="113" t="s">
        <v>46</v>
      </c>
      <c r="G27" s="111" t="s">
        <v>47</v>
      </c>
      <c r="H27" s="113" t="s">
        <v>56</v>
      </c>
      <c r="I27" s="111" t="s">
        <v>66</v>
      </c>
      <c r="J27" s="111" t="s">
        <v>50</v>
      </c>
      <c r="K27" s="111" t="s">
        <v>51</v>
      </c>
    </row>
    <row r="28" spans="1:11" ht="28.2" customHeight="1" x14ac:dyDescent="0.3">
      <c r="A28" s="114">
        <v>10</v>
      </c>
      <c r="B28" s="114">
        <v>71</v>
      </c>
      <c r="C28" s="114" t="s">
        <v>64</v>
      </c>
      <c r="D28" s="114" t="s">
        <v>44</v>
      </c>
      <c r="E28" s="115" t="s">
        <v>52</v>
      </c>
      <c r="F28" s="116" t="s">
        <v>46</v>
      </c>
      <c r="G28" s="114" t="s">
        <v>47</v>
      </c>
      <c r="H28" s="116" t="s">
        <v>67</v>
      </c>
      <c r="I28" s="114" t="s">
        <v>68</v>
      </c>
      <c r="J28" s="114" t="s">
        <v>50</v>
      </c>
      <c r="K28" s="114" t="s">
        <v>51</v>
      </c>
    </row>
    <row r="29" spans="1:11" ht="28.2" customHeight="1" x14ac:dyDescent="0.3">
      <c r="A29" s="111">
        <v>11</v>
      </c>
      <c r="B29" s="111">
        <v>306</v>
      </c>
      <c r="C29" s="111" t="s">
        <v>64</v>
      </c>
      <c r="D29" s="111" t="s">
        <v>44</v>
      </c>
      <c r="E29" s="112" t="s">
        <v>58</v>
      </c>
      <c r="F29" s="113" t="s">
        <v>59</v>
      </c>
      <c r="G29" s="111" t="s">
        <v>47</v>
      </c>
      <c r="H29" s="113" t="s">
        <v>60</v>
      </c>
      <c r="I29" s="111" t="s">
        <v>69</v>
      </c>
      <c r="J29" s="111" t="s">
        <v>62</v>
      </c>
      <c r="K29" s="111" t="s">
        <v>51</v>
      </c>
    </row>
    <row r="30" spans="1:11" ht="28.2" customHeight="1" x14ac:dyDescent="0.3">
      <c r="A30" s="114">
        <v>12</v>
      </c>
      <c r="B30" s="114">
        <v>307</v>
      </c>
      <c r="C30" s="114" t="s">
        <v>64</v>
      </c>
      <c r="D30" s="114" t="s">
        <v>44</v>
      </c>
      <c r="E30" s="115" t="s">
        <v>58</v>
      </c>
      <c r="F30" s="116" t="s">
        <v>59</v>
      </c>
      <c r="G30" s="114" t="s">
        <v>47</v>
      </c>
      <c r="H30" s="116" t="s">
        <v>70</v>
      </c>
      <c r="I30" s="114" t="s">
        <v>71</v>
      </c>
      <c r="J30" s="114" t="s">
        <v>50</v>
      </c>
      <c r="K30" s="114" t="s">
        <v>51</v>
      </c>
    </row>
    <row r="31" spans="1:11" ht="28.2" customHeight="1" x14ac:dyDescent="0.3">
      <c r="A31" s="111">
        <v>13</v>
      </c>
      <c r="B31" s="111">
        <v>338</v>
      </c>
      <c r="C31" s="111" t="s">
        <v>64</v>
      </c>
      <c r="D31" s="111" t="s">
        <v>44</v>
      </c>
      <c r="E31" s="112" t="s">
        <v>45</v>
      </c>
      <c r="F31" s="113" t="s">
        <v>46</v>
      </c>
      <c r="G31" s="111" t="s">
        <v>47</v>
      </c>
      <c r="H31" s="113" t="s">
        <v>72</v>
      </c>
      <c r="I31" s="111" t="s">
        <v>73</v>
      </c>
      <c r="J31" s="111" t="s">
        <v>50</v>
      </c>
      <c r="K31" s="111" t="s">
        <v>51</v>
      </c>
    </row>
    <row r="32" spans="1:11" ht="28.2" customHeight="1" x14ac:dyDescent="0.3">
      <c r="A32" s="114">
        <v>14</v>
      </c>
      <c r="B32" s="114">
        <v>358</v>
      </c>
      <c r="C32" s="114" t="s">
        <v>64</v>
      </c>
      <c r="D32" s="114" t="s">
        <v>44</v>
      </c>
      <c r="E32" s="115" t="s">
        <v>74</v>
      </c>
      <c r="F32" s="116" t="s">
        <v>75</v>
      </c>
      <c r="G32" s="114" t="s">
        <v>76</v>
      </c>
      <c r="H32" s="116" t="s">
        <v>77</v>
      </c>
      <c r="I32" s="114" t="s">
        <v>78</v>
      </c>
      <c r="J32" s="114" t="s">
        <v>50</v>
      </c>
      <c r="K32" s="114" t="s">
        <v>51</v>
      </c>
    </row>
    <row r="33" spans="1:11" ht="28.2" customHeight="1" x14ac:dyDescent="0.3">
      <c r="A33" s="111">
        <v>15</v>
      </c>
      <c r="B33" s="111">
        <v>6</v>
      </c>
      <c r="C33" s="111" t="s">
        <v>79</v>
      </c>
      <c r="D33" s="111" t="s">
        <v>44</v>
      </c>
      <c r="E33" s="112" t="s">
        <v>58</v>
      </c>
      <c r="F33" s="113" t="s">
        <v>80</v>
      </c>
      <c r="G33" s="111" t="s">
        <v>47</v>
      </c>
      <c r="H33" s="113" t="s">
        <v>81</v>
      </c>
      <c r="I33" s="111" t="s">
        <v>82</v>
      </c>
      <c r="J33" s="111" t="s">
        <v>50</v>
      </c>
      <c r="K33" s="111" t="s">
        <v>51</v>
      </c>
    </row>
    <row r="34" spans="1:11" ht="28.2" customHeight="1" x14ac:dyDescent="0.3">
      <c r="A34" s="114">
        <v>16</v>
      </c>
      <c r="B34" s="114">
        <v>27</v>
      </c>
      <c r="C34" s="114" t="s">
        <v>79</v>
      </c>
      <c r="D34" s="114" t="s">
        <v>44</v>
      </c>
      <c r="E34" s="115" t="s">
        <v>45</v>
      </c>
      <c r="F34" s="116" t="s">
        <v>46</v>
      </c>
      <c r="G34" s="114" t="s">
        <v>47</v>
      </c>
      <c r="H34" s="116" t="s">
        <v>83</v>
      </c>
      <c r="I34" s="114" t="s">
        <v>84</v>
      </c>
      <c r="J34" s="114" t="s">
        <v>50</v>
      </c>
      <c r="K34" s="114" t="s">
        <v>51</v>
      </c>
    </row>
    <row r="35" spans="1:11" ht="28.2" customHeight="1" x14ac:dyDescent="0.3">
      <c r="A35" s="111">
        <v>17</v>
      </c>
      <c r="B35" s="111">
        <v>28</v>
      </c>
      <c r="C35" s="111" t="s">
        <v>79</v>
      </c>
      <c r="D35" s="111" t="s">
        <v>44</v>
      </c>
      <c r="E35" s="112" t="s">
        <v>52</v>
      </c>
      <c r="F35" s="113" t="s">
        <v>46</v>
      </c>
      <c r="G35" s="111" t="s">
        <v>47</v>
      </c>
      <c r="H35" s="113" t="s">
        <v>83</v>
      </c>
      <c r="I35" s="111" t="s">
        <v>85</v>
      </c>
      <c r="J35" s="111" t="s">
        <v>50</v>
      </c>
      <c r="K35" s="111" t="s">
        <v>51</v>
      </c>
    </row>
    <row r="36" spans="1:11" ht="28.2" customHeight="1" x14ac:dyDescent="0.3">
      <c r="A36" s="114">
        <v>18</v>
      </c>
      <c r="B36" s="114">
        <v>29</v>
      </c>
      <c r="C36" s="114" t="s">
        <v>79</v>
      </c>
      <c r="D36" s="114" t="s">
        <v>44</v>
      </c>
      <c r="E36" s="115" t="s">
        <v>45</v>
      </c>
      <c r="F36" s="116" t="s">
        <v>46</v>
      </c>
      <c r="G36" s="114" t="s">
        <v>47</v>
      </c>
      <c r="H36" s="116" t="s">
        <v>86</v>
      </c>
      <c r="I36" s="114" t="s">
        <v>87</v>
      </c>
      <c r="J36" s="114" t="s">
        <v>50</v>
      </c>
      <c r="K36" s="114" t="s">
        <v>51</v>
      </c>
    </row>
    <row r="37" spans="1:11" ht="28.2" customHeight="1" x14ac:dyDescent="0.3">
      <c r="A37" s="111">
        <v>19</v>
      </c>
      <c r="B37" s="111">
        <v>33</v>
      </c>
      <c r="C37" s="111" t="s">
        <v>79</v>
      </c>
      <c r="D37" s="111" t="s">
        <v>44</v>
      </c>
      <c r="E37" s="112" t="s">
        <v>52</v>
      </c>
      <c r="F37" s="113" t="s">
        <v>46</v>
      </c>
      <c r="G37" s="111" t="s">
        <v>47</v>
      </c>
      <c r="H37" s="113" t="s">
        <v>88</v>
      </c>
      <c r="I37" s="111" t="s">
        <v>89</v>
      </c>
      <c r="J37" s="111" t="s">
        <v>50</v>
      </c>
      <c r="K37" s="111" t="s">
        <v>51</v>
      </c>
    </row>
    <row r="38" spans="1:11" ht="28.2" customHeight="1" x14ac:dyDescent="0.3">
      <c r="A38" s="114">
        <v>20</v>
      </c>
      <c r="B38" s="114">
        <v>34</v>
      </c>
      <c r="C38" s="114" t="s">
        <v>79</v>
      </c>
      <c r="D38" s="114" t="s">
        <v>44</v>
      </c>
      <c r="E38" s="115" t="s">
        <v>45</v>
      </c>
      <c r="F38" s="116" t="s">
        <v>46</v>
      </c>
      <c r="G38" s="114" t="s">
        <v>47</v>
      </c>
      <c r="H38" s="116" t="s">
        <v>90</v>
      </c>
      <c r="I38" s="114" t="s">
        <v>91</v>
      </c>
      <c r="J38" s="114" t="s">
        <v>50</v>
      </c>
      <c r="K38" s="114" t="s">
        <v>51</v>
      </c>
    </row>
    <row r="39" spans="1:11" ht="28.2" customHeight="1" x14ac:dyDescent="0.3">
      <c r="A39" s="111">
        <v>21</v>
      </c>
      <c r="B39" s="111">
        <v>35</v>
      </c>
      <c r="C39" s="111" t="s">
        <v>79</v>
      </c>
      <c r="D39" s="111" t="s">
        <v>44</v>
      </c>
      <c r="E39" s="112" t="s">
        <v>52</v>
      </c>
      <c r="F39" s="113" t="s">
        <v>46</v>
      </c>
      <c r="G39" s="111" t="s">
        <v>47</v>
      </c>
      <c r="H39" s="113" t="s">
        <v>92</v>
      </c>
      <c r="I39" s="111" t="s">
        <v>93</v>
      </c>
      <c r="J39" s="111" t="s">
        <v>50</v>
      </c>
      <c r="K39" s="111" t="s">
        <v>51</v>
      </c>
    </row>
    <row r="40" spans="1:11" ht="28.2" customHeight="1" x14ac:dyDescent="0.3">
      <c r="A40" s="114">
        <v>22</v>
      </c>
      <c r="B40" s="114">
        <v>156</v>
      </c>
      <c r="C40" s="114" t="s">
        <v>79</v>
      </c>
      <c r="D40" s="114" t="s">
        <v>44</v>
      </c>
      <c r="E40" s="115" t="s">
        <v>58</v>
      </c>
      <c r="F40" s="116" t="s">
        <v>80</v>
      </c>
      <c r="G40" s="114" t="s">
        <v>47</v>
      </c>
      <c r="H40" s="116" t="s">
        <v>94</v>
      </c>
      <c r="I40" s="114" t="s">
        <v>95</v>
      </c>
      <c r="J40" s="114" t="s">
        <v>62</v>
      </c>
      <c r="K40" s="114" t="s">
        <v>51</v>
      </c>
    </row>
    <row r="41" spans="1:11" ht="28.2" customHeight="1" x14ac:dyDescent="0.3">
      <c r="A41" s="111">
        <v>23</v>
      </c>
      <c r="B41" s="111">
        <v>159</v>
      </c>
      <c r="C41" s="111" t="s">
        <v>79</v>
      </c>
      <c r="D41" s="111" t="s">
        <v>44</v>
      </c>
      <c r="E41" s="112" t="s">
        <v>96</v>
      </c>
      <c r="F41" s="113" t="s">
        <v>97</v>
      </c>
      <c r="G41" s="111" t="s">
        <v>98</v>
      </c>
      <c r="H41" s="113" t="s">
        <v>99</v>
      </c>
      <c r="I41" s="111" t="s">
        <v>100</v>
      </c>
      <c r="J41" s="111" t="s">
        <v>50</v>
      </c>
      <c r="K41" s="111" t="s">
        <v>51</v>
      </c>
    </row>
    <row r="42" spans="1:11" ht="28.2" customHeight="1" x14ac:dyDescent="0.3">
      <c r="A42" s="114">
        <v>24</v>
      </c>
      <c r="B42" s="114">
        <v>221</v>
      </c>
      <c r="C42" s="114" t="s">
        <v>79</v>
      </c>
      <c r="D42" s="114" t="s">
        <v>44</v>
      </c>
      <c r="E42" s="115" t="s">
        <v>101</v>
      </c>
      <c r="F42" s="116" t="s">
        <v>102</v>
      </c>
      <c r="G42" s="114" t="s">
        <v>103</v>
      </c>
      <c r="H42" s="116" t="s">
        <v>104</v>
      </c>
      <c r="I42" s="114" t="s">
        <v>105</v>
      </c>
      <c r="J42" s="114" t="s">
        <v>62</v>
      </c>
      <c r="K42" s="114" t="s">
        <v>51</v>
      </c>
    </row>
    <row r="43" spans="1:11" ht="28.2" customHeight="1" x14ac:dyDescent="0.3">
      <c r="A43" s="111">
        <v>25</v>
      </c>
      <c r="B43" s="111">
        <v>321</v>
      </c>
      <c r="C43" s="111" t="s">
        <v>79</v>
      </c>
      <c r="D43" s="111" t="s">
        <v>44</v>
      </c>
      <c r="E43" s="112" t="s">
        <v>74</v>
      </c>
      <c r="F43" s="113" t="s">
        <v>106</v>
      </c>
      <c r="G43" s="111" t="s">
        <v>76</v>
      </c>
      <c r="H43" s="113" t="s">
        <v>107</v>
      </c>
      <c r="I43" s="111" t="s">
        <v>108</v>
      </c>
      <c r="J43" s="111" t="s">
        <v>50</v>
      </c>
      <c r="K43" s="111" t="s">
        <v>51</v>
      </c>
    </row>
    <row r="44" spans="1:11" ht="28.2" customHeight="1" x14ac:dyDescent="0.3">
      <c r="A44" s="114">
        <v>26</v>
      </c>
      <c r="B44" s="114">
        <v>70</v>
      </c>
      <c r="C44" s="114" t="s">
        <v>109</v>
      </c>
      <c r="D44" s="114" t="s">
        <v>44</v>
      </c>
      <c r="E44" s="115" t="s">
        <v>45</v>
      </c>
      <c r="F44" s="116" t="s">
        <v>46</v>
      </c>
      <c r="G44" s="114" t="s">
        <v>47</v>
      </c>
      <c r="H44" s="116" t="s">
        <v>110</v>
      </c>
      <c r="I44" s="114" t="s">
        <v>111</v>
      </c>
      <c r="J44" s="114" t="s">
        <v>50</v>
      </c>
      <c r="K44" s="114" t="s">
        <v>51</v>
      </c>
    </row>
    <row r="45" spans="1:11" ht="28.2" customHeight="1" x14ac:dyDescent="0.3">
      <c r="A45" s="111">
        <v>27</v>
      </c>
      <c r="B45" s="111">
        <v>72</v>
      </c>
      <c r="C45" s="111" t="s">
        <v>109</v>
      </c>
      <c r="D45" s="111" t="s">
        <v>44</v>
      </c>
      <c r="E45" s="112" t="s">
        <v>52</v>
      </c>
      <c r="F45" s="113" t="s">
        <v>46</v>
      </c>
      <c r="G45" s="111" t="s">
        <v>47</v>
      </c>
      <c r="H45" s="113" t="s">
        <v>112</v>
      </c>
      <c r="I45" s="111" t="s">
        <v>113</v>
      </c>
      <c r="J45" s="111" t="s">
        <v>50</v>
      </c>
      <c r="K45" s="111" t="s">
        <v>51</v>
      </c>
    </row>
    <row r="46" spans="1:11" ht="28.2" customHeight="1" x14ac:dyDescent="0.3">
      <c r="A46" s="114">
        <v>28</v>
      </c>
      <c r="B46" s="114">
        <v>73</v>
      </c>
      <c r="C46" s="114" t="s">
        <v>109</v>
      </c>
      <c r="D46" s="114" t="s">
        <v>44</v>
      </c>
      <c r="E46" s="115" t="s">
        <v>45</v>
      </c>
      <c r="F46" s="116" t="s">
        <v>46</v>
      </c>
      <c r="G46" s="114" t="s">
        <v>47</v>
      </c>
      <c r="H46" s="116" t="s">
        <v>112</v>
      </c>
      <c r="I46" s="114" t="s">
        <v>114</v>
      </c>
      <c r="J46" s="114" t="s">
        <v>50</v>
      </c>
      <c r="K46" s="114" t="s">
        <v>51</v>
      </c>
    </row>
    <row r="47" spans="1:11" ht="28.2" customHeight="1" x14ac:dyDescent="0.3">
      <c r="A47" s="111">
        <v>29</v>
      </c>
      <c r="B47" s="111">
        <v>74</v>
      </c>
      <c r="C47" s="111" t="s">
        <v>109</v>
      </c>
      <c r="D47" s="111" t="s">
        <v>44</v>
      </c>
      <c r="E47" s="112" t="s">
        <v>52</v>
      </c>
      <c r="F47" s="113" t="s">
        <v>46</v>
      </c>
      <c r="G47" s="111" t="s">
        <v>47</v>
      </c>
      <c r="H47" s="113" t="s">
        <v>115</v>
      </c>
      <c r="I47" s="111" t="s">
        <v>116</v>
      </c>
      <c r="J47" s="111" t="s">
        <v>50</v>
      </c>
      <c r="K47" s="111" t="s">
        <v>51</v>
      </c>
    </row>
    <row r="48" spans="1:11" ht="28.2" customHeight="1" x14ac:dyDescent="0.3">
      <c r="A48" s="114">
        <v>30</v>
      </c>
      <c r="B48" s="114">
        <v>79</v>
      </c>
      <c r="C48" s="114" t="s">
        <v>109</v>
      </c>
      <c r="D48" s="114" t="s">
        <v>44</v>
      </c>
      <c r="E48" s="115" t="s">
        <v>45</v>
      </c>
      <c r="F48" s="116" t="s">
        <v>46</v>
      </c>
      <c r="G48" s="114" t="s">
        <v>47</v>
      </c>
      <c r="H48" s="116" t="s">
        <v>117</v>
      </c>
      <c r="I48" s="114" t="s">
        <v>118</v>
      </c>
      <c r="J48" s="114" t="s">
        <v>50</v>
      </c>
      <c r="K48" s="114" t="s">
        <v>51</v>
      </c>
    </row>
    <row r="49" spans="1:11" ht="28.2" customHeight="1" x14ac:dyDescent="0.3">
      <c r="A49" s="111">
        <v>31</v>
      </c>
      <c r="B49" s="111">
        <v>80</v>
      </c>
      <c r="C49" s="111" t="s">
        <v>109</v>
      </c>
      <c r="D49" s="111" t="s">
        <v>44</v>
      </c>
      <c r="E49" s="112" t="s">
        <v>52</v>
      </c>
      <c r="F49" s="113" t="s">
        <v>46</v>
      </c>
      <c r="G49" s="111" t="s">
        <v>47</v>
      </c>
      <c r="H49" s="113" t="s">
        <v>117</v>
      </c>
      <c r="I49" s="111" t="s">
        <v>119</v>
      </c>
      <c r="J49" s="111" t="s">
        <v>50</v>
      </c>
      <c r="K49" s="111" t="s">
        <v>51</v>
      </c>
    </row>
    <row r="50" spans="1:11" ht="28.2" customHeight="1" x14ac:dyDescent="0.3">
      <c r="A50" s="114">
        <v>32</v>
      </c>
      <c r="B50" s="114">
        <v>81</v>
      </c>
      <c r="C50" s="114" t="s">
        <v>109</v>
      </c>
      <c r="D50" s="114" t="s">
        <v>44</v>
      </c>
      <c r="E50" s="115" t="s">
        <v>45</v>
      </c>
      <c r="F50" s="116" t="s">
        <v>46</v>
      </c>
      <c r="G50" s="114" t="s">
        <v>47</v>
      </c>
      <c r="H50" s="116" t="s">
        <v>117</v>
      </c>
      <c r="I50" s="114" t="s">
        <v>120</v>
      </c>
      <c r="J50" s="114" t="s">
        <v>50</v>
      </c>
      <c r="K50" s="114" t="s">
        <v>51</v>
      </c>
    </row>
    <row r="51" spans="1:11" ht="28.2" customHeight="1" x14ac:dyDescent="0.3">
      <c r="A51" s="111">
        <v>33</v>
      </c>
      <c r="B51" s="111">
        <v>185</v>
      </c>
      <c r="C51" s="111" t="s">
        <v>109</v>
      </c>
      <c r="D51" s="111" t="s">
        <v>44</v>
      </c>
      <c r="E51" s="112" t="s">
        <v>58</v>
      </c>
      <c r="F51" s="113" t="s">
        <v>80</v>
      </c>
      <c r="G51" s="111" t="s">
        <v>47</v>
      </c>
      <c r="H51" s="113" t="s">
        <v>117</v>
      </c>
      <c r="I51" s="111" t="s">
        <v>121</v>
      </c>
      <c r="J51" s="111" t="s">
        <v>50</v>
      </c>
      <c r="K51" s="111" t="s">
        <v>51</v>
      </c>
    </row>
    <row r="52" spans="1:11" ht="28.2" customHeight="1" x14ac:dyDescent="0.3">
      <c r="A52" s="114">
        <v>34</v>
      </c>
      <c r="B52" s="114">
        <v>208</v>
      </c>
      <c r="C52" s="114" t="s">
        <v>109</v>
      </c>
      <c r="D52" s="114" t="s">
        <v>44</v>
      </c>
      <c r="E52" s="115" t="s">
        <v>122</v>
      </c>
      <c r="F52" s="116" t="s">
        <v>123</v>
      </c>
      <c r="G52" s="114" t="s">
        <v>124</v>
      </c>
      <c r="H52" s="116" t="s">
        <v>125</v>
      </c>
      <c r="I52" s="114" t="s">
        <v>126</v>
      </c>
      <c r="J52" s="114" t="s">
        <v>50</v>
      </c>
      <c r="K52" s="114" t="s">
        <v>51</v>
      </c>
    </row>
    <row r="53" spans="1:11" ht="28.2" customHeight="1" x14ac:dyDescent="0.3">
      <c r="A53" s="111">
        <v>35</v>
      </c>
      <c r="B53" s="111">
        <v>222</v>
      </c>
      <c r="C53" s="111" t="s">
        <v>109</v>
      </c>
      <c r="D53" s="111" t="s">
        <v>44</v>
      </c>
      <c r="E53" s="112" t="s">
        <v>101</v>
      </c>
      <c r="F53" s="113" t="s">
        <v>102</v>
      </c>
      <c r="G53" s="111" t="s">
        <v>103</v>
      </c>
      <c r="H53" s="113" t="s">
        <v>127</v>
      </c>
      <c r="I53" s="111" t="s">
        <v>128</v>
      </c>
      <c r="J53" s="111" t="s">
        <v>50</v>
      </c>
      <c r="K53" s="111" t="s">
        <v>51</v>
      </c>
    </row>
    <row r="54" spans="1:11" ht="28.2" customHeight="1" x14ac:dyDescent="0.3">
      <c r="A54" s="114">
        <v>36</v>
      </c>
      <c r="B54" s="114">
        <v>26</v>
      </c>
      <c r="C54" s="114" t="s">
        <v>129</v>
      </c>
      <c r="D54" s="114" t="s">
        <v>44</v>
      </c>
      <c r="E54" s="115" t="s">
        <v>45</v>
      </c>
      <c r="F54" s="116" t="s">
        <v>46</v>
      </c>
      <c r="G54" s="114" t="s">
        <v>47</v>
      </c>
      <c r="H54" s="116" t="s">
        <v>130</v>
      </c>
      <c r="I54" s="114" t="s">
        <v>131</v>
      </c>
      <c r="J54" s="114" t="s">
        <v>50</v>
      </c>
      <c r="K54" s="114" t="s">
        <v>51</v>
      </c>
    </row>
    <row r="55" spans="1:11" ht="28.2" customHeight="1" x14ac:dyDescent="0.3">
      <c r="A55" s="111">
        <v>37</v>
      </c>
      <c r="B55" s="111">
        <v>38</v>
      </c>
      <c r="C55" s="111" t="s">
        <v>129</v>
      </c>
      <c r="D55" s="111" t="s">
        <v>44</v>
      </c>
      <c r="E55" s="112" t="s">
        <v>52</v>
      </c>
      <c r="F55" s="113" t="s">
        <v>46</v>
      </c>
      <c r="G55" s="111" t="s">
        <v>47</v>
      </c>
      <c r="H55" s="113" t="s">
        <v>132</v>
      </c>
      <c r="I55" s="111" t="s">
        <v>133</v>
      </c>
      <c r="J55" s="111" t="s">
        <v>50</v>
      </c>
      <c r="K55" s="111" t="s">
        <v>51</v>
      </c>
    </row>
    <row r="56" spans="1:11" ht="28.2" customHeight="1" x14ac:dyDescent="0.3">
      <c r="A56" s="114">
        <v>38</v>
      </c>
      <c r="B56" s="114">
        <v>39</v>
      </c>
      <c r="C56" s="114" t="s">
        <v>129</v>
      </c>
      <c r="D56" s="114" t="s">
        <v>44</v>
      </c>
      <c r="E56" s="115" t="s">
        <v>45</v>
      </c>
      <c r="F56" s="116" t="s">
        <v>46</v>
      </c>
      <c r="G56" s="114" t="s">
        <v>47</v>
      </c>
      <c r="H56" s="116" t="s">
        <v>132</v>
      </c>
      <c r="I56" s="114" t="s">
        <v>134</v>
      </c>
      <c r="J56" s="114" t="s">
        <v>50</v>
      </c>
      <c r="K56" s="114" t="s">
        <v>51</v>
      </c>
    </row>
    <row r="57" spans="1:11" ht="28.2" customHeight="1" x14ac:dyDescent="0.3">
      <c r="A57" s="111">
        <v>39</v>
      </c>
      <c r="B57" s="111">
        <v>40</v>
      </c>
      <c r="C57" s="111" t="s">
        <v>129</v>
      </c>
      <c r="D57" s="111" t="s">
        <v>44</v>
      </c>
      <c r="E57" s="112" t="s">
        <v>52</v>
      </c>
      <c r="F57" s="113" t="s">
        <v>46</v>
      </c>
      <c r="G57" s="111" t="s">
        <v>47</v>
      </c>
      <c r="H57" s="113" t="s">
        <v>132</v>
      </c>
      <c r="I57" s="111" t="s">
        <v>135</v>
      </c>
      <c r="J57" s="111" t="s">
        <v>50</v>
      </c>
      <c r="K57" s="111" t="s">
        <v>51</v>
      </c>
    </row>
    <row r="58" spans="1:11" ht="28.2" customHeight="1" x14ac:dyDescent="0.3">
      <c r="A58" s="114">
        <v>40</v>
      </c>
      <c r="B58" s="114">
        <v>41</v>
      </c>
      <c r="C58" s="114" t="s">
        <v>129</v>
      </c>
      <c r="D58" s="114" t="s">
        <v>44</v>
      </c>
      <c r="E58" s="115" t="s">
        <v>45</v>
      </c>
      <c r="F58" s="116" t="s">
        <v>46</v>
      </c>
      <c r="G58" s="114" t="s">
        <v>47</v>
      </c>
      <c r="H58" s="116" t="s">
        <v>136</v>
      </c>
      <c r="I58" s="114" t="s">
        <v>137</v>
      </c>
      <c r="J58" s="114" t="s">
        <v>50</v>
      </c>
      <c r="K58" s="114" t="s">
        <v>51</v>
      </c>
    </row>
    <row r="59" spans="1:11" ht="28.2" customHeight="1" x14ac:dyDescent="0.3">
      <c r="A59" s="111">
        <v>41</v>
      </c>
      <c r="B59" s="111">
        <v>42</v>
      </c>
      <c r="C59" s="111" t="s">
        <v>129</v>
      </c>
      <c r="D59" s="111" t="s">
        <v>44</v>
      </c>
      <c r="E59" s="112" t="s">
        <v>52</v>
      </c>
      <c r="F59" s="113" t="s">
        <v>46</v>
      </c>
      <c r="G59" s="111" t="s">
        <v>47</v>
      </c>
      <c r="H59" s="113" t="s">
        <v>138</v>
      </c>
      <c r="I59" s="111" t="s">
        <v>139</v>
      </c>
      <c r="J59" s="111" t="s">
        <v>50</v>
      </c>
      <c r="K59" s="111" t="s">
        <v>51</v>
      </c>
    </row>
    <row r="60" spans="1:11" ht="28.2" customHeight="1" x14ac:dyDescent="0.3">
      <c r="A60" s="114">
        <v>42</v>
      </c>
      <c r="B60" s="114">
        <v>43</v>
      </c>
      <c r="C60" s="114" t="s">
        <v>129</v>
      </c>
      <c r="D60" s="114" t="s">
        <v>44</v>
      </c>
      <c r="E60" s="115" t="s">
        <v>45</v>
      </c>
      <c r="F60" s="116" t="s">
        <v>46</v>
      </c>
      <c r="G60" s="114" t="s">
        <v>47</v>
      </c>
      <c r="H60" s="116" t="s">
        <v>140</v>
      </c>
      <c r="I60" s="114" t="s">
        <v>141</v>
      </c>
      <c r="J60" s="114" t="s">
        <v>50</v>
      </c>
      <c r="K60" s="114" t="s">
        <v>51</v>
      </c>
    </row>
    <row r="61" spans="1:11" ht="28.2" customHeight="1" x14ac:dyDescent="0.3">
      <c r="A61" s="111">
        <v>43</v>
      </c>
      <c r="B61" s="111">
        <v>112</v>
      </c>
      <c r="C61" s="111" t="s">
        <v>129</v>
      </c>
      <c r="D61" s="111" t="s">
        <v>44</v>
      </c>
      <c r="E61" s="112" t="s">
        <v>58</v>
      </c>
      <c r="F61" s="113" t="s">
        <v>142</v>
      </c>
      <c r="G61" s="111" t="s">
        <v>47</v>
      </c>
      <c r="H61" s="113" t="s">
        <v>143</v>
      </c>
      <c r="I61" s="111" t="s">
        <v>144</v>
      </c>
      <c r="J61" s="111" t="s">
        <v>50</v>
      </c>
      <c r="K61" s="111" t="s">
        <v>51</v>
      </c>
    </row>
    <row r="62" spans="1:11" ht="28.2" customHeight="1" x14ac:dyDescent="0.3">
      <c r="A62" s="114">
        <v>44</v>
      </c>
      <c r="B62" s="114">
        <v>218</v>
      </c>
      <c r="C62" s="114" t="s">
        <v>129</v>
      </c>
      <c r="D62" s="114" t="s">
        <v>44</v>
      </c>
      <c r="E62" s="115" t="s">
        <v>58</v>
      </c>
      <c r="F62" s="116" t="s">
        <v>142</v>
      </c>
      <c r="G62" s="114" t="s">
        <v>47</v>
      </c>
      <c r="H62" s="116" t="s">
        <v>145</v>
      </c>
      <c r="I62" s="114" t="s">
        <v>146</v>
      </c>
      <c r="J62" s="114" t="s">
        <v>62</v>
      </c>
      <c r="K62" s="114" t="s">
        <v>51</v>
      </c>
    </row>
    <row r="63" spans="1:11" ht="28.2" customHeight="1" x14ac:dyDescent="0.3">
      <c r="A63" s="111">
        <v>45</v>
      </c>
      <c r="B63" s="111">
        <v>319</v>
      </c>
      <c r="C63" s="111" t="s">
        <v>129</v>
      </c>
      <c r="D63" s="111" t="s">
        <v>44</v>
      </c>
      <c r="E63" s="112" t="s">
        <v>58</v>
      </c>
      <c r="F63" s="113" t="s">
        <v>147</v>
      </c>
      <c r="G63" s="111" t="s">
        <v>47</v>
      </c>
      <c r="H63" s="113" t="s">
        <v>148</v>
      </c>
      <c r="I63" s="111" t="s">
        <v>149</v>
      </c>
      <c r="J63" s="111" t="s">
        <v>62</v>
      </c>
      <c r="K63" s="111" t="s">
        <v>51</v>
      </c>
    </row>
    <row r="64" spans="1:11" ht="28.2" customHeight="1" x14ac:dyDescent="0.3">
      <c r="A64" s="114">
        <v>46</v>
      </c>
      <c r="B64" s="114">
        <v>44</v>
      </c>
      <c r="C64" s="114" t="s">
        <v>150</v>
      </c>
      <c r="D64" s="114" t="s">
        <v>151</v>
      </c>
      <c r="E64" s="115" t="s">
        <v>52</v>
      </c>
      <c r="F64" s="116" t="s">
        <v>46</v>
      </c>
      <c r="G64" s="114" t="s">
        <v>47</v>
      </c>
      <c r="H64" s="116" t="s">
        <v>152</v>
      </c>
      <c r="I64" s="114" t="s">
        <v>153</v>
      </c>
      <c r="J64" s="114" t="s">
        <v>50</v>
      </c>
      <c r="K64" s="114" t="s">
        <v>51</v>
      </c>
    </row>
    <row r="65" spans="1:11" ht="28.2" customHeight="1" x14ac:dyDescent="0.3">
      <c r="A65" s="111">
        <v>47</v>
      </c>
      <c r="B65" s="111">
        <v>45</v>
      </c>
      <c r="C65" s="111" t="s">
        <v>150</v>
      </c>
      <c r="D65" s="111" t="s">
        <v>151</v>
      </c>
      <c r="E65" s="112" t="s">
        <v>45</v>
      </c>
      <c r="F65" s="113" t="s">
        <v>46</v>
      </c>
      <c r="G65" s="111" t="s">
        <v>47</v>
      </c>
      <c r="H65" s="113" t="s">
        <v>154</v>
      </c>
      <c r="I65" s="111" t="s">
        <v>155</v>
      </c>
      <c r="J65" s="111" t="s">
        <v>50</v>
      </c>
      <c r="K65" s="111" t="s">
        <v>51</v>
      </c>
    </row>
    <row r="66" spans="1:11" ht="28.2" customHeight="1" x14ac:dyDescent="0.3">
      <c r="A66" s="114">
        <v>48</v>
      </c>
      <c r="B66" s="114">
        <v>46</v>
      </c>
      <c r="C66" s="114" t="s">
        <v>150</v>
      </c>
      <c r="D66" s="114" t="s">
        <v>151</v>
      </c>
      <c r="E66" s="115" t="s">
        <v>52</v>
      </c>
      <c r="F66" s="116" t="s">
        <v>46</v>
      </c>
      <c r="G66" s="114" t="s">
        <v>47</v>
      </c>
      <c r="H66" s="116" t="s">
        <v>154</v>
      </c>
      <c r="I66" s="114" t="s">
        <v>156</v>
      </c>
      <c r="J66" s="114" t="s">
        <v>50</v>
      </c>
      <c r="K66" s="114" t="s">
        <v>51</v>
      </c>
    </row>
    <row r="67" spans="1:11" ht="28.2" customHeight="1" x14ac:dyDescent="0.3">
      <c r="A67" s="111">
        <v>49</v>
      </c>
      <c r="B67" s="111">
        <v>47</v>
      </c>
      <c r="C67" s="111" t="s">
        <v>150</v>
      </c>
      <c r="D67" s="111" t="s">
        <v>151</v>
      </c>
      <c r="E67" s="112" t="s">
        <v>45</v>
      </c>
      <c r="F67" s="113" t="s">
        <v>46</v>
      </c>
      <c r="G67" s="111" t="s">
        <v>47</v>
      </c>
      <c r="H67" s="113" t="s">
        <v>154</v>
      </c>
      <c r="I67" s="111" t="s">
        <v>157</v>
      </c>
      <c r="J67" s="111" t="s">
        <v>50</v>
      </c>
      <c r="K67" s="111" t="s">
        <v>51</v>
      </c>
    </row>
    <row r="68" spans="1:11" ht="28.2" customHeight="1" x14ac:dyDescent="0.3">
      <c r="A68" s="114">
        <v>50</v>
      </c>
      <c r="B68" s="114">
        <v>48</v>
      </c>
      <c r="C68" s="114" t="s">
        <v>150</v>
      </c>
      <c r="D68" s="114" t="s">
        <v>151</v>
      </c>
      <c r="E68" s="115" t="s">
        <v>52</v>
      </c>
      <c r="F68" s="116" t="s">
        <v>46</v>
      </c>
      <c r="G68" s="114" t="s">
        <v>47</v>
      </c>
      <c r="H68" s="116" t="s">
        <v>154</v>
      </c>
      <c r="I68" s="114" t="s">
        <v>158</v>
      </c>
      <c r="J68" s="114" t="s">
        <v>50</v>
      </c>
      <c r="K68" s="114" t="s">
        <v>51</v>
      </c>
    </row>
    <row r="69" spans="1:11" ht="28.2" customHeight="1" x14ac:dyDescent="0.3">
      <c r="A69" s="111">
        <v>51</v>
      </c>
      <c r="B69" s="111">
        <v>215</v>
      </c>
      <c r="C69" s="111" t="s">
        <v>150</v>
      </c>
      <c r="D69" s="111" t="s">
        <v>151</v>
      </c>
      <c r="E69" s="112" t="s">
        <v>45</v>
      </c>
      <c r="F69" s="113" t="s">
        <v>46</v>
      </c>
      <c r="G69" s="111" t="s">
        <v>47</v>
      </c>
      <c r="H69" s="113" t="s">
        <v>159</v>
      </c>
      <c r="I69" s="111" t="s">
        <v>160</v>
      </c>
      <c r="J69" s="111" t="s">
        <v>50</v>
      </c>
      <c r="K69" s="111" t="s">
        <v>51</v>
      </c>
    </row>
    <row r="70" spans="1:11" ht="28.2" customHeight="1" x14ac:dyDescent="0.3">
      <c r="A70" s="114">
        <v>52</v>
      </c>
      <c r="B70" s="114">
        <v>231</v>
      </c>
      <c r="C70" s="114" t="s">
        <v>150</v>
      </c>
      <c r="D70" s="114" t="s">
        <v>151</v>
      </c>
      <c r="E70" s="115" t="s">
        <v>161</v>
      </c>
      <c r="F70" s="116" t="s">
        <v>162</v>
      </c>
      <c r="G70" s="114" t="s">
        <v>163</v>
      </c>
      <c r="H70" s="116" t="s">
        <v>164</v>
      </c>
      <c r="I70" s="114" t="s">
        <v>165</v>
      </c>
      <c r="J70" s="114" t="s">
        <v>62</v>
      </c>
      <c r="K70" s="114" t="s">
        <v>51</v>
      </c>
    </row>
    <row r="71" spans="1:11" ht="28.2" customHeight="1" x14ac:dyDescent="0.3">
      <c r="A71" s="111">
        <v>53</v>
      </c>
      <c r="B71" s="111">
        <v>232</v>
      </c>
      <c r="C71" s="111" t="s">
        <v>150</v>
      </c>
      <c r="D71" s="111" t="s">
        <v>151</v>
      </c>
      <c r="E71" s="112" t="s">
        <v>101</v>
      </c>
      <c r="F71" s="113" t="s">
        <v>166</v>
      </c>
      <c r="G71" s="111" t="s">
        <v>167</v>
      </c>
      <c r="H71" s="113" t="s">
        <v>168</v>
      </c>
      <c r="I71" s="111" t="s">
        <v>169</v>
      </c>
      <c r="J71" s="111" t="s">
        <v>62</v>
      </c>
      <c r="K71" s="111" t="s">
        <v>51</v>
      </c>
    </row>
    <row r="72" spans="1:11" ht="28.2" customHeight="1" x14ac:dyDescent="0.3">
      <c r="A72" s="114">
        <v>54</v>
      </c>
      <c r="B72" s="114">
        <v>16</v>
      </c>
      <c r="C72" s="114" t="s">
        <v>170</v>
      </c>
      <c r="D72" s="114" t="s">
        <v>151</v>
      </c>
      <c r="E72" s="115" t="s">
        <v>101</v>
      </c>
      <c r="F72" s="116" t="s">
        <v>171</v>
      </c>
      <c r="G72" s="114" t="s">
        <v>172</v>
      </c>
      <c r="H72" s="116" t="s">
        <v>173</v>
      </c>
      <c r="I72" s="114" t="s">
        <v>174</v>
      </c>
      <c r="J72" s="114" t="s">
        <v>50</v>
      </c>
      <c r="K72" s="114" t="s">
        <v>51</v>
      </c>
    </row>
    <row r="73" spans="1:11" ht="28.2" customHeight="1" x14ac:dyDescent="0.3">
      <c r="A73" s="111">
        <v>55</v>
      </c>
      <c r="B73" s="111">
        <v>17</v>
      </c>
      <c r="C73" s="111" t="s">
        <v>170</v>
      </c>
      <c r="D73" s="111" t="s">
        <v>151</v>
      </c>
      <c r="E73" s="112" t="s">
        <v>101</v>
      </c>
      <c r="F73" s="113" t="s">
        <v>171</v>
      </c>
      <c r="G73" s="111" t="s">
        <v>172</v>
      </c>
      <c r="H73" s="113" t="s">
        <v>117</v>
      </c>
      <c r="I73" s="111" t="s">
        <v>175</v>
      </c>
      <c r="J73" s="111" t="s">
        <v>50</v>
      </c>
      <c r="K73" s="111" t="s">
        <v>51</v>
      </c>
    </row>
    <row r="74" spans="1:11" ht="28.2" customHeight="1" x14ac:dyDescent="0.3">
      <c r="A74" s="114">
        <v>56</v>
      </c>
      <c r="B74" s="114">
        <v>49</v>
      </c>
      <c r="C74" s="114" t="s">
        <v>170</v>
      </c>
      <c r="D74" s="114" t="s">
        <v>151</v>
      </c>
      <c r="E74" s="115" t="s">
        <v>45</v>
      </c>
      <c r="F74" s="116" t="s">
        <v>46</v>
      </c>
      <c r="G74" s="114" t="s">
        <v>47</v>
      </c>
      <c r="H74" s="116" t="s">
        <v>176</v>
      </c>
      <c r="I74" s="114" t="s">
        <v>177</v>
      </c>
      <c r="J74" s="114" t="s">
        <v>50</v>
      </c>
      <c r="K74" s="114" t="s">
        <v>51</v>
      </c>
    </row>
    <row r="75" spans="1:11" ht="28.2" customHeight="1" x14ac:dyDescent="0.3">
      <c r="A75" s="111">
        <v>57</v>
      </c>
      <c r="B75" s="111">
        <v>50</v>
      </c>
      <c r="C75" s="111" t="s">
        <v>170</v>
      </c>
      <c r="D75" s="111" t="s">
        <v>151</v>
      </c>
      <c r="E75" s="112" t="s">
        <v>52</v>
      </c>
      <c r="F75" s="113" t="s">
        <v>46</v>
      </c>
      <c r="G75" s="111" t="s">
        <v>47</v>
      </c>
      <c r="H75" s="113" t="s">
        <v>176</v>
      </c>
      <c r="I75" s="111" t="s">
        <v>178</v>
      </c>
      <c r="J75" s="111" t="s">
        <v>50</v>
      </c>
      <c r="K75" s="111" t="s">
        <v>51</v>
      </c>
    </row>
    <row r="76" spans="1:11" ht="28.2" customHeight="1" x14ac:dyDescent="0.3">
      <c r="A76" s="114">
        <v>58</v>
      </c>
      <c r="B76" s="114">
        <v>51</v>
      </c>
      <c r="C76" s="114" t="s">
        <v>170</v>
      </c>
      <c r="D76" s="114" t="s">
        <v>151</v>
      </c>
      <c r="E76" s="115" t="s">
        <v>45</v>
      </c>
      <c r="F76" s="116" t="s">
        <v>46</v>
      </c>
      <c r="G76" s="114" t="s">
        <v>47</v>
      </c>
      <c r="H76" s="116" t="s">
        <v>176</v>
      </c>
      <c r="I76" s="114" t="s">
        <v>179</v>
      </c>
      <c r="J76" s="114" t="s">
        <v>50</v>
      </c>
      <c r="K76" s="114" t="s">
        <v>51</v>
      </c>
    </row>
    <row r="77" spans="1:11" ht="28.2" customHeight="1" x14ac:dyDescent="0.3">
      <c r="A77" s="111">
        <v>59</v>
      </c>
      <c r="B77" s="111">
        <v>52</v>
      </c>
      <c r="C77" s="111" t="s">
        <v>170</v>
      </c>
      <c r="D77" s="111" t="s">
        <v>151</v>
      </c>
      <c r="E77" s="112" t="s">
        <v>52</v>
      </c>
      <c r="F77" s="113" t="s">
        <v>46</v>
      </c>
      <c r="G77" s="111" t="s">
        <v>47</v>
      </c>
      <c r="H77" s="113" t="s">
        <v>176</v>
      </c>
      <c r="I77" s="111" t="s">
        <v>180</v>
      </c>
      <c r="J77" s="111" t="s">
        <v>50</v>
      </c>
      <c r="K77" s="111" t="s">
        <v>51</v>
      </c>
    </row>
    <row r="78" spans="1:11" ht="28.2" customHeight="1" x14ac:dyDescent="0.3">
      <c r="A78" s="114">
        <v>60</v>
      </c>
      <c r="B78" s="114">
        <v>53</v>
      </c>
      <c r="C78" s="114" t="s">
        <v>170</v>
      </c>
      <c r="D78" s="114" t="s">
        <v>151</v>
      </c>
      <c r="E78" s="115" t="s">
        <v>45</v>
      </c>
      <c r="F78" s="116" t="s">
        <v>46</v>
      </c>
      <c r="G78" s="114" t="s">
        <v>47</v>
      </c>
      <c r="H78" s="116" t="s">
        <v>176</v>
      </c>
      <c r="I78" s="114" t="s">
        <v>181</v>
      </c>
      <c r="J78" s="114" t="s">
        <v>50</v>
      </c>
      <c r="K78" s="114" t="s">
        <v>51</v>
      </c>
    </row>
    <row r="79" spans="1:11" ht="28.2" customHeight="1" x14ac:dyDescent="0.3">
      <c r="A79" s="111">
        <v>61</v>
      </c>
      <c r="B79" s="111">
        <v>54</v>
      </c>
      <c r="C79" s="111" t="s">
        <v>170</v>
      </c>
      <c r="D79" s="111" t="s">
        <v>151</v>
      </c>
      <c r="E79" s="112" t="s">
        <v>52</v>
      </c>
      <c r="F79" s="113" t="s">
        <v>46</v>
      </c>
      <c r="G79" s="111" t="s">
        <v>47</v>
      </c>
      <c r="H79" s="113" t="s">
        <v>176</v>
      </c>
      <c r="I79" s="111" t="s">
        <v>182</v>
      </c>
      <c r="J79" s="111" t="s">
        <v>50</v>
      </c>
      <c r="K79" s="111" t="s">
        <v>51</v>
      </c>
    </row>
    <row r="80" spans="1:11" ht="28.2" customHeight="1" x14ac:dyDescent="0.3">
      <c r="A80" s="114">
        <v>62</v>
      </c>
      <c r="B80" s="114">
        <v>227</v>
      </c>
      <c r="C80" s="114" t="s">
        <v>170</v>
      </c>
      <c r="D80" s="114" t="s">
        <v>151</v>
      </c>
      <c r="E80" s="115" t="s">
        <v>161</v>
      </c>
      <c r="F80" s="116" t="s">
        <v>183</v>
      </c>
      <c r="G80" s="114" t="s">
        <v>184</v>
      </c>
      <c r="H80" s="116" t="s">
        <v>164</v>
      </c>
      <c r="I80" s="114" t="s">
        <v>185</v>
      </c>
      <c r="J80" s="114" t="s">
        <v>62</v>
      </c>
      <c r="K80" s="114" t="s">
        <v>51</v>
      </c>
    </row>
    <row r="81" spans="1:11" ht="28.2" customHeight="1" x14ac:dyDescent="0.3">
      <c r="A81" s="111">
        <v>63</v>
      </c>
      <c r="B81" s="111">
        <v>228</v>
      </c>
      <c r="C81" s="111" t="s">
        <v>170</v>
      </c>
      <c r="D81" s="111" t="s">
        <v>151</v>
      </c>
      <c r="E81" s="112" t="s">
        <v>161</v>
      </c>
      <c r="F81" s="113" t="s">
        <v>183</v>
      </c>
      <c r="G81" s="111" t="s">
        <v>184</v>
      </c>
      <c r="H81" s="113" t="s">
        <v>186</v>
      </c>
      <c r="I81" s="111" t="s">
        <v>187</v>
      </c>
      <c r="J81" s="111" t="s">
        <v>62</v>
      </c>
      <c r="K81" s="111" t="s">
        <v>51</v>
      </c>
    </row>
    <row r="82" spans="1:11" ht="28.2" customHeight="1" x14ac:dyDescent="0.3">
      <c r="A82" s="114">
        <v>64</v>
      </c>
      <c r="B82" s="114">
        <v>55</v>
      </c>
      <c r="C82" s="114" t="s">
        <v>188</v>
      </c>
      <c r="D82" s="114" t="s">
        <v>151</v>
      </c>
      <c r="E82" s="115" t="s">
        <v>45</v>
      </c>
      <c r="F82" s="116" t="s">
        <v>46</v>
      </c>
      <c r="G82" s="114" t="s">
        <v>47</v>
      </c>
      <c r="H82" s="116" t="s">
        <v>176</v>
      </c>
      <c r="I82" s="114" t="s">
        <v>189</v>
      </c>
      <c r="J82" s="114" t="s">
        <v>50</v>
      </c>
      <c r="K82" s="114" t="s">
        <v>51</v>
      </c>
    </row>
    <row r="83" spans="1:11" ht="28.2" customHeight="1" x14ac:dyDescent="0.3">
      <c r="A83" s="111">
        <v>65</v>
      </c>
      <c r="B83" s="111">
        <v>56</v>
      </c>
      <c r="C83" s="111" t="s">
        <v>188</v>
      </c>
      <c r="D83" s="111" t="s">
        <v>151</v>
      </c>
      <c r="E83" s="112" t="s">
        <v>52</v>
      </c>
      <c r="F83" s="113" t="s">
        <v>46</v>
      </c>
      <c r="G83" s="111" t="s">
        <v>47</v>
      </c>
      <c r="H83" s="113" t="s">
        <v>176</v>
      </c>
      <c r="I83" s="111" t="s">
        <v>190</v>
      </c>
      <c r="J83" s="111" t="s">
        <v>50</v>
      </c>
      <c r="K83" s="111" t="s">
        <v>51</v>
      </c>
    </row>
    <row r="84" spans="1:11" ht="28.2" customHeight="1" x14ac:dyDescent="0.3">
      <c r="A84" s="114">
        <v>66</v>
      </c>
      <c r="B84" s="114">
        <v>57</v>
      </c>
      <c r="C84" s="114" t="s">
        <v>188</v>
      </c>
      <c r="D84" s="114" t="s">
        <v>151</v>
      </c>
      <c r="E84" s="115" t="s">
        <v>45</v>
      </c>
      <c r="F84" s="116" t="s">
        <v>46</v>
      </c>
      <c r="G84" s="114" t="s">
        <v>47</v>
      </c>
      <c r="H84" s="116" t="s">
        <v>176</v>
      </c>
      <c r="I84" s="114" t="s">
        <v>191</v>
      </c>
      <c r="J84" s="114" t="s">
        <v>50</v>
      </c>
      <c r="K84" s="114" t="s">
        <v>51</v>
      </c>
    </row>
    <row r="85" spans="1:11" ht="28.2" customHeight="1" x14ac:dyDescent="0.3">
      <c r="A85" s="111">
        <v>67</v>
      </c>
      <c r="B85" s="111">
        <v>58</v>
      </c>
      <c r="C85" s="111" t="s">
        <v>188</v>
      </c>
      <c r="D85" s="111" t="s">
        <v>151</v>
      </c>
      <c r="E85" s="112" t="s">
        <v>52</v>
      </c>
      <c r="F85" s="113" t="s">
        <v>46</v>
      </c>
      <c r="G85" s="111" t="s">
        <v>47</v>
      </c>
      <c r="H85" s="113" t="s">
        <v>176</v>
      </c>
      <c r="I85" s="111" t="s">
        <v>192</v>
      </c>
      <c r="J85" s="111" t="s">
        <v>50</v>
      </c>
      <c r="K85" s="111" t="s">
        <v>51</v>
      </c>
    </row>
    <row r="86" spans="1:11" ht="28.2" customHeight="1" x14ac:dyDescent="0.3">
      <c r="A86" s="114">
        <v>68</v>
      </c>
      <c r="B86" s="114">
        <v>59</v>
      </c>
      <c r="C86" s="114" t="s">
        <v>188</v>
      </c>
      <c r="D86" s="114" t="s">
        <v>151</v>
      </c>
      <c r="E86" s="115" t="s">
        <v>45</v>
      </c>
      <c r="F86" s="116" t="s">
        <v>46</v>
      </c>
      <c r="G86" s="114" t="s">
        <v>47</v>
      </c>
      <c r="H86" s="116" t="s">
        <v>176</v>
      </c>
      <c r="I86" s="114" t="s">
        <v>193</v>
      </c>
      <c r="J86" s="114" t="s">
        <v>50</v>
      </c>
      <c r="K86" s="114" t="s">
        <v>51</v>
      </c>
    </row>
    <row r="87" spans="1:11" ht="28.2" customHeight="1" x14ac:dyDescent="0.3">
      <c r="A87" s="111">
        <v>69</v>
      </c>
      <c r="B87" s="111">
        <v>60</v>
      </c>
      <c r="C87" s="111" t="s">
        <v>188</v>
      </c>
      <c r="D87" s="111" t="s">
        <v>151</v>
      </c>
      <c r="E87" s="112" t="s">
        <v>52</v>
      </c>
      <c r="F87" s="113" t="s">
        <v>46</v>
      </c>
      <c r="G87" s="111" t="s">
        <v>47</v>
      </c>
      <c r="H87" s="113" t="s">
        <v>176</v>
      </c>
      <c r="I87" s="111" t="s">
        <v>194</v>
      </c>
      <c r="J87" s="111" t="s">
        <v>50</v>
      </c>
      <c r="K87" s="111" t="s">
        <v>51</v>
      </c>
    </row>
    <row r="88" spans="1:11" ht="28.2" customHeight="1" x14ac:dyDescent="0.3">
      <c r="A88" s="114">
        <v>70</v>
      </c>
      <c r="B88" s="114">
        <v>87</v>
      </c>
      <c r="C88" s="114" t="s">
        <v>188</v>
      </c>
      <c r="D88" s="114" t="s">
        <v>151</v>
      </c>
      <c r="E88" s="115" t="s">
        <v>161</v>
      </c>
      <c r="F88" s="116" t="s">
        <v>195</v>
      </c>
      <c r="G88" s="114" t="s">
        <v>184</v>
      </c>
      <c r="H88" s="116" t="s">
        <v>176</v>
      </c>
      <c r="I88" s="114" t="s">
        <v>196</v>
      </c>
      <c r="J88" s="114" t="s">
        <v>50</v>
      </c>
      <c r="K88" s="114" t="s">
        <v>51</v>
      </c>
    </row>
    <row r="89" spans="1:11" ht="28.2" customHeight="1" x14ac:dyDescent="0.3">
      <c r="A89" s="111">
        <v>71</v>
      </c>
      <c r="B89" s="111">
        <v>88</v>
      </c>
      <c r="C89" s="111" t="s">
        <v>188</v>
      </c>
      <c r="D89" s="111" t="s">
        <v>151</v>
      </c>
      <c r="E89" s="112" t="s">
        <v>161</v>
      </c>
      <c r="F89" s="113" t="s">
        <v>195</v>
      </c>
      <c r="G89" s="111" t="s">
        <v>184</v>
      </c>
      <c r="H89" s="113" t="s">
        <v>197</v>
      </c>
      <c r="I89" s="111" t="s">
        <v>198</v>
      </c>
      <c r="J89" s="111" t="s">
        <v>50</v>
      </c>
      <c r="K89" s="111" t="s">
        <v>51</v>
      </c>
    </row>
    <row r="90" spans="1:11" ht="28.2" customHeight="1" x14ac:dyDescent="0.3">
      <c r="A90" s="114">
        <v>72</v>
      </c>
      <c r="B90" s="114">
        <v>196</v>
      </c>
      <c r="C90" s="114" t="s">
        <v>188</v>
      </c>
      <c r="D90" s="114" t="s">
        <v>151</v>
      </c>
      <c r="E90" s="115" t="s">
        <v>96</v>
      </c>
      <c r="F90" s="116" t="s">
        <v>97</v>
      </c>
      <c r="G90" s="114" t="s">
        <v>98</v>
      </c>
      <c r="H90" s="116" t="s">
        <v>199</v>
      </c>
      <c r="I90" s="114" t="s">
        <v>200</v>
      </c>
      <c r="J90" s="114" t="s">
        <v>62</v>
      </c>
      <c r="K90" s="114" t="s">
        <v>51</v>
      </c>
    </row>
    <row r="91" spans="1:11" ht="28.2" customHeight="1" x14ac:dyDescent="0.3">
      <c r="A91" s="111">
        <v>73</v>
      </c>
      <c r="B91" s="111">
        <v>268</v>
      </c>
      <c r="C91" s="111" t="s">
        <v>188</v>
      </c>
      <c r="D91" s="111" t="s">
        <v>151</v>
      </c>
      <c r="E91" s="112" t="s">
        <v>101</v>
      </c>
      <c r="F91" s="113" t="s">
        <v>171</v>
      </c>
      <c r="G91" s="111" t="s">
        <v>172</v>
      </c>
      <c r="H91" s="113" t="s">
        <v>201</v>
      </c>
      <c r="I91" s="111" t="s">
        <v>202</v>
      </c>
      <c r="J91" s="111" t="s">
        <v>50</v>
      </c>
      <c r="K91" s="111" t="s">
        <v>51</v>
      </c>
    </row>
    <row r="92" spans="1:11" ht="28.2" customHeight="1" x14ac:dyDescent="0.3">
      <c r="A92" s="114">
        <v>74</v>
      </c>
      <c r="B92" s="114">
        <v>273</v>
      </c>
      <c r="C92" s="114" t="s">
        <v>188</v>
      </c>
      <c r="D92" s="114" t="s">
        <v>151</v>
      </c>
      <c r="E92" s="115" t="s">
        <v>101</v>
      </c>
      <c r="F92" s="116" t="s">
        <v>171</v>
      </c>
      <c r="G92" s="114" t="s">
        <v>172</v>
      </c>
      <c r="H92" s="116" t="s">
        <v>203</v>
      </c>
      <c r="I92" s="114" t="s">
        <v>204</v>
      </c>
      <c r="J92" s="114" t="s">
        <v>50</v>
      </c>
      <c r="K92" s="114" t="s">
        <v>51</v>
      </c>
    </row>
    <row r="93" spans="1:11" ht="28.2" customHeight="1" x14ac:dyDescent="0.3">
      <c r="A93" s="111">
        <v>75</v>
      </c>
      <c r="B93" s="111">
        <v>61</v>
      </c>
      <c r="C93" s="111" t="s">
        <v>205</v>
      </c>
      <c r="D93" s="111" t="s">
        <v>151</v>
      </c>
      <c r="E93" s="112" t="s">
        <v>45</v>
      </c>
      <c r="F93" s="113" t="s">
        <v>46</v>
      </c>
      <c r="G93" s="111" t="s">
        <v>47</v>
      </c>
      <c r="H93" s="113" t="s">
        <v>206</v>
      </c>
      <c r="I93" s="111" t="s">
        <v>207</v>
      </c>
      <c r="J93" s="111" t="s">
        <v>50</v>
      </c>
      <c r="K93" s="111" t="s">
        <v>51</v>
      </c>
    </row>
    <row r="94" spans="1:11" ht="28.2" customHeight="1" x14ac:dyDescent="0.3">
      <c r="A94" s="114">
        <v>76</v>
      </c>
      <c r="B94" s="114">
        <v>62</v>
      </c>
      <c r="C94" s="114" t="s">
        <v>205</v>
      </c>
      <c r="D94" s="114" t="s">
        <v>151</v>
      </c>
      <c r="E94" s="115" t="s">
        <v>52</v>
      </c>
      <c r="F94" s="116" t="s">
        <v>46</v>
      </c>
      <c r="G94" s="114" t="s">
        <v>47</v>
      </c>
      <c r="H94" s="116" t="s">
        <v>206</v>
      </c>
      <c r="I94" s="114" t="s">
        <v>208</v>
      </c>
      <c r="J94" s="114" t="s">
        <v>50</v>
      </c>
      <c r="K94" s="114" t="s">
        <v>51</v>
      </c>
    </row>
    <row r="95" spans="1:11" ht="28.2" customHeight="1" x14ac:dyDescent="0.3">
      <c r="A95" s="111">
        <v>77</v>
      </c>
      <c r="B95" s="111">
        <v>63</v>
      </c>
      <c r="C95" s="111" t="s">
        <v>205</v>
      </c>
      <c r="D95" s="111" t="s">
        <v>151</v>
      </c>
      <c r="E95" s="112" t="s">
        <v>45</v>
      </c>
      <c r="F95" s="113" t="s">
        <v>46</v>
      </c>
      <c r="G95" s="111" t="s">
        <v>47</v>
      </c>
      <c r="H95" s="113" t="s">
        <v>206</v>
      </c>
      <c r="I95" s="111" t="s">
        <v>209</v>
      </c>
      <c r="J95" s="111" t="s">
        <v>50</v>
      </c>
      <c r="K95" s="111" t="s">
        <v>51</v>
      </c>
    </row>
    <row r="96" spans="1:11" ht="28.2" customHeight="1" x14ac:dyDescent="0.3">
      <c r="A96" s="114">
        <v>78</v>
      </c>
      <c r="B96" s="114">
        <v>64</v>
      </c>
      <c r="C96" s="114" t="s">
        <v>205</v>
      </c>
      <c r="D96" s="114" t="s">
        <v>151</v>
      </c>
      <c r="E96" s="115" t="s">
        <v>52</v>
      </c>
      <c r="F96" s="116" t="s">
        <v>46</v>
      </c>
      <c r="G96" s="114" t="s">
        <v>47</v>
      </c>
      <c r="H96" s="116" t="s">
        <v>206</v>
      </c>
      <c r="I96" s="114" t="s">
        <v>210</v>
      </c>
      <c r="J96" s="114" t="s">
        <v>50</v>
      </c>
      <c r="K96" s="114" t="s">
        <v>51</v>
      </c>
    </row>
    <row r="97" spans="1:11" ht="28.2" customHeight="1" x14ac:dyDescent="0.3">
      <c r="A97" s="111">
        <v>79</v>
      </c>
      <c r="B97" s="111">
        <v>65</v>
      </c>
      <c r="C97" s="111" t="s">
        <v>205</v>
      </c>
      <c r="D97" s="111" t="s">
        <v>151</v>
      </c>
      <c r="E97" s="112" t="s">
        <v>45</v>
      </c>
      <c r="F97" s="113" t="s">
        <v>46</v>
      </c>
      <c r="G97" s="111" t="s">
        <v>47</v>
      </c>
      <c r="H97" s="113" t="s">
        <v>206</v>
      </c>
      <c r="I97" s="111" t="s">
        <v>211</v>
      </c>
      <c r="J97" s="111" t="s">
        <v>50</v>
      </c>
      <c r="K97" s="111" t="s">
        <v>51</v>
      </c>
    </row>
    <row r="98" spans="1:11" ht="28.2" customHeight="1" x14ac:dyDescent="0.3">
      <c r="A98" s="114">
        <v>80</v>
      </c>
      <c r="B98" s="114">
        <v>68</v>
      </c>
      <c r="C98" s="114" t="s">
        <v>205</v>
      </c>
      <c r="D98" s="114" t="s">
        <v>151</v>
      </c>
      <c r="E98" s="115" t="s">
        <v>52</v>
      </c>
      <c r="F98" s="116" t="s">
        <v>46</v>
      </c>
      <c r="G98" s="114" t="s">
        <v>47</v>
      </c>
      <c r="H98" s="116" t="s">
        <v>212</v>
      </c>
      <c r="I98" s="114" t="s">
        <v>213</v>
      </c>
      <c r="J98" s="114" t="s">
        <v>50</v>
      </c>
      <c r="K98" s="114" t="s">
        <v>51</v>
      </c>
    </row>
    <row r="99" spans="1:11" ht="28.2" customHeight="1" x14ac:dyDescent="0.3">
      <c r="A99" s="111">
        <v>81</v>
      </c>
      <c r="B99" s="111">
        <v>94</v>
      </c>
      <c r="C99" s="111" t="s">
        <v>205</v>
      </c>
      <c r="D99" s="111" t="s">
        <v>151</v>
      </c>
      <c r="E99" s="112" t="s">
        <v>161</v>
      </c>
      <c r="F99" s="113" t="s">
        <v>195</v>
      </c>
      <c r="G99" s="111" t="s">
        <v>184</v>
      </c>
      <c r="H99" s="113" t="s">
        <v>214</v>
      </c>
      <c r="I99" s="111" t="s">
        <v>215</v>
      </c>
      <c r="J99" s="111" t="s">
        <v>50</v>
      </c>
      <c r="K99" s="111" t="s">
        <v>51</v>
      </c>
    </row>
    <row r="100" spans="1:11" ht="28.2" customHeight="1" x14ac:dyDescent="0.3">
      <c r="A100" s="114">
        <v>82</v>
      </c>
      <c r="B100" s="114">
        <v>298</v>
      </c>
      <c r="C100" s="114" t="s">
        <v>205</v>
      </c>
      <c r="D100" s="114" t="s">
        <v>151</v>
      </c>
      <c r="E100" s="115" t="s">
        <v>122</v>
      </c>
      <c r="F100" s="116" t="s">
        <v>216</v>
      </c>
      <c r="G100" s="114" t="s">
        <v>217</v>
      </c>
      <c r="H100" s="116" t="s">
        <v>218</v>
      </c>
      <c r="I100" s="114" t="s">
        <v>219</v>
      </c>
      <c r="J100" s="114" t="s">
        <v>62</v>
      </c>
      <c r="K100" s="114" t="s">
        <v>51</v>
      </c>
    </row>
    <row r="101" spans="1:11" ht="28.2" customHeight="1" x14ac:dyDescent="0.3">
      <c r="A101" s="111">
        <v>83</v>
      </c>
      <c r="B101" s="111">
        <v>357</v>
      </c>
      <c r="C101" s="111" t="s">
        <v>205</v>
      </c>
      <c r="D101" s="111" t="s">
        <v>151</v>
      </c>
      <c r="E101" s="112" t="s">
        <v>96</v>
      </c>
      <c r="F101" s="113" t="s">
        <v>97</v>
      </c>
      <c r="G101" s="111" t="s">
        <v>98</v>
      </c>
      <c r="H101" s="113" t="s">
        <v>220</v>
      </c>
      <c r="I101" s="111" t="s">
        <v>221</v>
      </c>
      <c r="J101" s="111" t="s">
        <v>50</v>
      </c>
      <c r="K101" s="111" t="s">
        <v>51</v>
      </c>
    </row>
    <row r="102" spans="1:11" ht="28.2" customHeight="1" x14ac:dyDescent="0.3">
      <c r="A102" s="114">
        <v>84</v>
      </c>
      <c r="B102" s="114">
        <v>69</v>
      </c>
      <c r="C102" s="114" t="s">
        <v>222</v>
      </c>
      <c r="D102" s="114" t="s">
        <v>151</v>
      </c>
      <c r="E102" s="115" t="s">
        <v>45</v>
      </c>
      <c r="F102" s="116" t="s">
        <v>46</v>
      </c>
      <c r="G102" s="114" t="s">
        <v>47</v>
      </c>
      <c r="H102" s="116" t="s">
        <v>212</v>
      </c>
      <c r="I102" s="114" t="s">
        <v>223</v>
      </c>
      <c r="J102" s="114" t="s">
        <v>50</v>
      </c>
      <c r="K102" s="114" t="s">
        <v>51</v>
      </c>
    </row>
    <row r="103" spans="1:11" ht="28.2" customHeight="1" x14ac:dyDescent="0.3">
      <c r="A103" s="111">
        <v>85</v>
      </c>
      <c r="B103" s="111">
        <v>75</v>
      </c>
      <c r="C103" s="111" t="s">
        <v>222</v>
      </c>
      <c r="D103" s="111" t="s">
        <v>151</v>
      </c>
      <c r="E103" s="112" t="s">
        <v>52</v>
      </c>
      <c r="F103" s="113" t="s">
        <v>46</v>
      </c>
      <c r="G103" s="111" t="s">
        <v>47</v>
      </c>
      <c r="H103" s="113" t="s">
        <v>224</v>
      </c>
      <c r="I103" s="111" t="s">
        <v>225</v>
      </c>
      <c r="J103" s="111" t="s">
        <v>50</v>
      </c>
      <c r="K103" s="111" t="s">
        <v>51</v>
      </c>
    </row>
    <row r="104" spans="1:11" ht="28.2" customHeight="1" x14ac:dyDescent="0.3">
      <c r="A104" s="114">
        <v>86</v>
      </c>
      <c r="B104" s="114">
        <v>76</v>
      </c>
      <c r="C104" s="114" t="s">
        <v>222</v>
      </c>
      <c r="D104" s="114" t="s">
        <v>151</v>
      </c>
      <c r="E104" s="115" t="s">
        <v>45</v>
      </c>
      <c r="F104" s="116" t="s">
        <v>46</v>
      </c>
      <c r="G104" s="114" t="s">
        <v>47</v>
      </c>
      <c r="H104" s="116" t="s">
        <v>224</v>
      </c>
      <c r="I104" s="114" t="s">
        <v>226</v>
      </c>
      <c r="J104" s="114" t="s">
        <v>50</v>
      </c>
      <c r="K104" s="114" t="s">
        <v>51</v>
      </c>
    </row>
    <row r="105" spans="1:11" ht="28.2" customHeight="1" x14ac:dyDescent="0.3">
      <c r="A105" s="111">
        <v>87</v>
      </c>
      <c r="B105" s="111">
        <v>77</v>
      </c>
      <c r="C105" s="111" t="s">
        <v>222</v>
      </c>
      <c r="D105" s="111" t="s">
        <v>151</v>
      </c>
      <c r="E105" s="112" t="s">
        <v>52</v>
      </c>
      <c r="F105" s="113" t="s">
        <v>46</v>
      </c>
      <c r="G105" s="111" t="s">
        <v>47</v>
      </c>
      <c r="H105" s="113" t="s">
        <v>224</v>
      </c>
      <c r="I105" s="111" t="s">
        <v>227</v>
      </c>
      <c r="J105" s="111" t="s">
        <v>50</v>
      </c>
      <c r="K105" s="111" t="s">
        <v>51</v>
      </c>
    </row>
    <row r="106" spans="1:11" ht="28.2" customHeight="1" x14ac:dyDescent="0.3">
      <c r="A106" s="114">
        <v>88</v>
      </c>
      <c r="B106" s="114">
        <v>78</v>
      </c>
      <c r="C106" s="114" t="s">
        <v>222</v>
      </c>
      <c r="D106" s="114" t="s">
        <v>151</v>
      </c>
      <c r="E106" s="115" t="s">
        <v>45</v>
      </c>
      <c r="F106" s="116" t="s">
        <v>46</v>
      </c>
      <c r="G106" s="114" t="s">
        <v>47</v>
      </c>
      <c r="H106" s="116" t="s">
        <v>224</v>
      </c>
      <c r="I106" s="114" t="s">
        <v>228</v>
      </c>
      <c r="J106" s="114" t="s">
        <v>50</v>
      </c>
      <c r="K106" s="114" t="s">
        <v>51</v>
      </c>
    </row>
    <row r="107" spans="1:11" ht="28.2" customHeight="1" x14ac:dyDescent="0.3">
      <c r="A107" s="111">
        <v>89</v>
      </c>
      <c r="B107" s="111">
        <v>351</v>
      </c>
      <c r="C107" s="111" t="s">
        <v>222</v>
      </c>
      <c r="D107" s="111" t="s">
        <v>151</v>
      </c>
      <c r="E107" s="112" t="s">
        <v>52</v>
      </c>
      <c r="F107" s="113" t="s">
        <v>46</v>
      </c>
      <c r="G107" s="111" t="s">
        <v>47</v>
      </c>
      <c r="H107" s="113" t="s">
        <v>212</v>
      </c>
      <c r="I107" s="111" t="s">
        <v>229</v>
      </c>
      <c r="J107" s="111" t="s">
        <v>50</v>
      </c>
      <c r="K107" s="111" t="s">
        <v>51</v>
      </c>
    </row>
    <row r="108" spans="1:11" ht="28.2" customHeight="1" x14ac:dyDescent="0.3">
      <c r="A108" s="114">
        <v>90</v>
      </c>
      <c r="B108" s="114">
        <v>30</v>
      </c>
      <c r="C108" s="114" t="s">
        <v>230</v>
      </c>
      <c r="D108" s="114" t="s">
        <v>231</v>
      </c>
      <c r="E108" s="115" t="s">
        <v>45</v>
      </c>
      <c r="F108" s="116" t="s">
        <v>46</v>
      </c>
      <c r="G108" s="114" t="s">
        <v>47</v>
      </c>
      <c r="H108" s="116" t="s">
        <v>232</v>
      </c>
      <c r="I108" s="114" t="s">
        <v>233</v>
      </c>
      <c r="J108" s="114" t="s">
        <v>50</v>
      </c>
      <c r="K108" s="114" t="s">
        <v>51</v>
      </c>
    </row>
    <row r="109" spans="1:11" ht="28.2" customHeight="1" x14ac:dyDescent="0.3">
      <c r="A109" s="111">
        <v>91</v>
      </c>
      <c r="B109" s="111">
        <v>32</v>
      </c>
      <c r="C109" s="111" t="s">
        <v>230</v>
      </c>
      <c r="D109" s="111" t="s">
        <v>231</v>
      </c>
      <c r="E109" s="112" t="s">
        <v>52</v>
      </c>
      <c r="F109" s="113" t="s">
        <v>46</v>
      </c>
      <c r="G109" s="111" t="s">
        <v>47</v>
      </c>
      <c r="H109" s="113" t="s">
        <v>234</v>
      </c>
      <c r="I109" s="111" t="s">
        <v>235</v>
      </c>
      <c r="J109" s="111" t="s">
        <v>50</v>
      </c>
      <c r="K109" s="111" t="s">
        <v>51</v>
      </c>
    </row>
    <row r="110" spans="1:11" ht="28.2" customHeight="1" x14ac:dyDescent="0.3">
      <c r="A110" s="114">
        <v>92</v>
      </c>
      <c r="B110" s="114">
        <v>82</v>
      </c>
      <c r="C110" s="114" t="s">
        <v>230</v>
      </c>
      <c r="D110" s="114" t="s">
        <v>231</v>
      </c>
      <c r="E110" s="115" t="s">
        <v>45</v>
      </c>
      <c r="F110" s="116" t="s">
        <v>46</v>
      </c>
      <c r="G110" s="114" t="s">
        <v>47</v>
      </c>
      <c r="H110" s="116" t="s">
        <v>236</v>
      </c>
      <c r="I110" s="114" t="s">
        <v>237</v>
      </c>
      <c r="J110" s="114" t="s">
        <v>50</v>
      </c>
      <c r="K110" s="114" t="s">
        <v>51</v>
      </c>
    </row>
    <row r="111" spans="1:11" ht="28.2" customHeight="1" x14ac:dyDescent="0.3">
      <c r="A111" s="111">
        <v>93</v>
      </c>
      <c r="B111" s="111">
        <v>83</v>
      </c>
      <c r="C111" s="111" t="s">
        <v>230</v>
      </c>
      <c r="D111" s="111" t="s">
        <v>231</v>
      </c>
      <c r="E111" s="112" t="s">
        <v>52</v>
      </c>
      <c r="F111" s="113" t="s">
        <v>46</v>
      </c>
      <c r="G111" s="111" t="s">
        <v>47</v>
      </c>
      <c r="H111" s="113" t="s">
        <v>236</v>
      </c>
      <c r="I111" s="111" t="s">
        <v>238</v>
      </c>
      <c r="J111" s="111" t="s">
        <v>50</v>
      </c>
      <c r="K111" s="111" t="s">
        <v>51</v>
      </c>
    </row>
    <row r="112" spans="1:11" ht="28.2" customHeight="1" x14ac:dyDescent="0.3">
      <c r="A112" s="114">
        <v>94</v>
      </c>
      <c r="B112" s="114">
        <v>154</v>
      </c>
      <c r="C112" s="114" t="s">
        <v>230</v>
      </c>
      <c r="D112" s="114" t="s">
        <v>231</v>
      </c>
      <c r="E112" s="115" t="s">
        <v>239</v>
      </c>
      <c r="F112" s="116" t="s">
        <v>240</v>
      </c>
      <c r="G112" s="114" t="s">
        <v>241</v>
      </c>
      <c r="H112" s="116" t="s">
        <v>242</v>
      </c>
      <c r="I112" s="114" t="s">
        <v>243</v>
      </c>
      <c r="J112" s="114" t="s">
        <v>50</v>
      </c>
      <c r="K112" s="114" t="s">
        <v>51</v>
      </c>
    </row>
    <row r="113" spans="1:11" ht="28.2" customHeight="1" x14ac:dyDescent="0.3">
      <c r="A113" s="111">
        <v>95</v>
      </c>
      <c r="B113" s="111">
        <v>363</v>
      </c>
      <c r="C113" s="111" t="s">
        <v>230</v>
      </c>
      <c r="D113" s="111" t="s">
        <v>231</v>
      </c>
      <c r="E113" s="112" t="s">
        <v>122</v>
      </c>
      <c r="F113" s="113" t="s">
        <v>244</v>
      </c>
      <c r="G113" s="111" t="s">
        <v>245</v>
      </c>
      <c r="H113" s="113" t="s">
        <v>246</v>
      </c>
      <c r="I113" s="111" t="s">
        <v>247</v>
      </c>
      <c r="J113" s="111" t="s">
        <v>50</v>
      </c>
      <c r="K113" s="111" t="s">
        <v>51</v>
      </c>
    </row>
    <row r="114" spans="1:11" ht="28.2" customHeight="1" x14ac:dyDescent="0.3">
      <c r="A114" s="114">
        <v>96</v>
      </c>
      <c r="B114" s="114">
        <v>367</v>
      </c>
      <c r="C114" s="114" t="s">
        <v>230</v>
      </c>
      <c r="D114" s="114" t="s">
        <v>231</v>
      </c>
      <c r="E114" s="115" t="s">
        <v>96</v>
      </c>
      <c r="F114" s="116" t="s">
        <v>248</v>
      </c>
      <c r="G114" s="114" t="s">
        <v>249</v>
      </c>
      <c r="H114" s="116" t="s">
        <v>250</v>
      </c>
      <c r="I114" s="114" t="s">
        <v>251</v>
      </c>
      <c r="J114" s="114" t="s">
        <v>62</v>
      </c>
      <c r="K114" s="114" t="s">
        <v>51</v>
      </c>
    </row>
    <row r="115" spans="1:11" ht="28.2" customHeight="1" x14ac:dyDescent="0.3">
      <c r="A115" s="111">
        <v>97</v>
      </c>
      <c r="B115" s="111">
        <v>214</v>
      </c>
      <c r="C115" s="111" t="s">
        <v>252</v>
      </c>
      <c r="D115" s="111" t="s">
        <v>231</v>
      </c>
      <c r="E115" s="112" t="s">
        <v>45</v>
      </c>
      <c r="F115" s="113" t="s">
        <v>46</v>
      </c>
      <c r="G115" s="111" t="s">
        <v>47</v>
      </c>
      <c r="H115" s="113" t="s">
        <v>70</v>
      </c>
      <c r="I115" s="111" t="s">
        <v>253</v>
      </c>
      <c r="J115" s="111" t="s">
        <v>50</v>
      </c>
      <c r="K115" s="111" t="s">
        <v>51</v>
      </c>
    </row>
    <row r="116" spans="1:11" ht="28.2" customHeight="1" x14ac:dyDescent="0.3">
      <c r="A116" s="114">
        <v>98</v>
      </c>
      <c r="B116" s="114">
        <v>283</v>
      </c>
      <c r="C116" s="114" t="s">
        <v>252</v>
      </c>
      <c r="D116" s="114" t="s">
        <v>231</v>
      </c>
      <c r="E116" s="115" t="s">
        <v>52</v>
      </c>
      <c r="F116" s="116" t="s">
        <v>46</v>
      </c>
      <c r="G116" s="114" t="s">
        <v>47</v>
      </c>
      <c r="H116" s="116" t="s">
        <v>254</v>
      </c>
      <c r="I116" s="114" t="s">
        <v>255</v>
      </c>
      <c r="J116" s="114" t="s">
        <v>50</v>
      </c>
      <c r="K116" s="114" t="s">
        <v>51</v>
      </c>
    </row>
    <row r="117" spans="1:11" ht="28.2" customHeight="1" x14ac:dyDescent="0.3">
      <c r="A117" s="111">
        <v>99</v>
      </c>
      <c r="B117" s="111">
        <v>291</v>
      </c>
      <c r="C117" s="111" t="s">
        <v>252</v>
      </c>
      <c r="D117" s="111" t="s">
        <v>231</v>
      </c>
      <c r="E117" s="112" t="s">
        <v>45</v>
      </c>
      <c r="F117" s="113" t="s">
        <v>46</v>
      </c>
      <c r="G117" s="111" t="s">
        <v>47</v>
      </c>
      <c r="H117" s="113" t="s">
        <v>254</v>
      </c>
      <c r="I117" s="111" t="s">
        <v>256</v>
      </c>
      <c r="J117" s="111" t="s">
        <v>50</v>
      </c>
      <c r="K117" s="111" t="s">
        <v>51</v>
      </c>
    </row>
    <row r="118" spans="1:11" ht="28.2" customHeight="1" x14ac:dyDescent="0.3">
      <c r="A118" s="114">
        <v>100</v>
      </c>
      <c r="B118" s="114">
        <v>292</v>
      </c>
      <c r="C118" s="114" t="s">
        <v>252</v>
      </c>
      <c r="D118" s="114" t="s">
        <v>231</v>
      </c>
      <c r="E118" s="115" t="s">
        <v>52</v>
      </c>
      <c r="F118" s="116" t="s">
        <v>46</v>
      </c>
      <c r="G118" s="114" t="s">
        <v>47</v>
      </c>
      <c r="H118" s="116" t="s">
        <v>257</v>
      </c>
      <c r="I118" s="114" t="s">
        <v>258</v>
      </c>
      <c r="J118" s="114" t="s">
        <v>50</v>
      </c>
      <c r="K118" s="114" t="s">
        <v>51</v>
      </c>
    </row>
    <row r="119" spans="1:11" ht="28.2" customHeight="1" x14ac:dyDescent="0.3">
      <c r="A119" s="111">
        <v>101</v>
      </c>
      <c r="B119" s="111">
        <v>310</v>
      </c>
      <c r="C119" s="111" t="s">
        <v>252</v>
      </c>
      <c r="D119" s="111" t="s">
        <v>231</v>
      </c>
      <c r="E119" s="112" t="s">
        <v>239</v>
      </c>
      <c r="F119" s="113" t="s">
        <v>259</v>
      </c>
      <c r="G119" s="111" t="s">
        <v>260</v>
      </c>
      <c r="H119" s="113" t="s">
        <v>261</v>
      </c>
      <c r="I119" s="111" t="s">
        <v>262</v>
      </c>
      <c r="J119" s="111" t="s">
        <v>50</v>
      </c>
      <c r="K119" s="111" t="s">
        <v>51</v>
      </c>
    </row>
  </sheetData>
  <autoFilter ref="A18:K119" xr:uid="{00000000-0009-0000-0000-000003000000}"/>
  <mergeCells count="7">
    <mergeCell ref="A17:K17"/>
    <mergeCell ref="A1:J1"/>
    <mergeCell ref="A3:J3"/>
    <mergeCell ref="A5:E5"/>
    <mergeCell ref="A13:E13"/>
    <mergeCell ref="A2:J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PARTIDAS A PARTICIPAR  FILTRADA</vt:lpstr>
      <vt:lpstr>PARTIDAS FALLADAS</vt:lpstr>
      <vt:lpstr>PARTIDAS ADJUDICADAS</vt:lpstr>
      <vt:lpstr>PROGRAMACIÓN</vt:lpstr>
      <vt:lpstr>CALENDARIO OPERATIVO</vt:lpstr>
      <vt:lpstr>'PARTIDAS A PARTICIPAR  FILTRADA'!Área_de_impresión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Guadalupe Romero Najera</dc:creator>
  <cp:lastModifiedBy>Biomédica  Comercial</cp:lastModifiedBy>
  <dcterms:created xsi:type="dcterms:W3CDTF">2015-06-05T18:19:34Z</dcterms:created>
  <dcterms:modified xsi:type="dcterms:W3CDTF">2026-09-25T17:34:33Z</dcterms:modified>
</cp:coreProperties>
</file>