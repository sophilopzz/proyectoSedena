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4" autoFilterDateGrouping="1"/>
  </bookViews>
  <sheets>
    <sheet xmlns:r="http://schemas.openxmlformats.org/officeDocument/2006/relationships" name="Universo de Equipos" sheetId="1" state="visible" r:id="rId1"/>
    <sheet xmlns:r="http://schemas.openxmlformats.org/officeDocument/2006/relationships" name="Directorio de Hospitales" sheetId="2" state="visible" r:id="rId2"/>
    <sheet xmlns:r="http://schemas.openxmlformats.org/officeDocument/2006/relationships" name="Asignación por Ingeniero" sheetId="3" state="visible" r:id="rId3"/>
    <sheet xmlns:r="http://schemas.openxmlformats.org/officeDocument/2006/relationships" name="Calendario Operativo" sheetId="4" state="visible" r:id="rId4"/>
    <sheet xmlns:r="http://schemas.openxmlformats.org/officeDocument/2006/relationships" name="Programación" sheetId="5" state="visible" r:id="rId5"/>
    <sheet xmlns:r="http://schemas.openxmlformats.org/officeDocument/2006/relationships" name="PARTIDAS A PARTICIPAR  FILTRADA" sheetId="6" state="visible" r:id="rId6"/>
    <sheet xmlns:r="http://schemas.openxmlformats.org/officeDocument/2006/relationships" name="PARTIDAS FALLADAS" sheetId="7" state="visible" r:id="rId7"/>
    <sheet xmlns:r="http://schemas.openxmlformats.org/officeDocument/2006/relationships" name="PARTIDAS ADJUDICADAS" sheetId="8" state="visible" r:id="rId8"/>
  </sheets>
  <definedNames>
    <definedName name="_xlnm._FilterDatabase" localSheetId="0" hidden="1">'Universo de Equipos'!$A$3:$N$147</definedName>
    <definedName name="_xlnm._FilterDatabase" localSheetId="1" hidden="1">'Directorio de Hospitales'!$A$3:$H$40</definedName>
    <definedName name="_xlnm._FilterDatabase" localSheetId="2" hidden="1">'Asignación por Ingeniero'!$A$17:$P$160</definedName>
    <definedName name="_xlnm._FilterDatabase" localSheetId="4" hidden="1">'Programación'!$A$4:$M$147</definedName>
    <definedName name="_xlnm._FilterDatabase" localSheetId="5" hidden="1">'PARTIDAS A PARTICIPAR  FILTRADA'!$V$12:$X$178</definedName>
    <definedName name="_xlnm.Print_Area" localSheetId="5">'PARTIDAS A PARTICIPAR  FILTRADA'!$A$1:$Z$190</definedName>
    <definedName name="_xlnm._FilterDatabase" localSheetId="6" hidden="1">'PARTIDAS FALLADAS'!$A$12:$Y$178</definedName>
    <definedName name="_xlnm._FilterDatabase" localSheetId="7" hidden="1">'PARTIDAS ADJUDICADAS'!$A$12:$W$158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0.0%"/>
    <numFmt numFmtId="166" formatCode="_-* #,##0_-;\-* #,##0_-;_-* &quot;-&quot;??_-;_-@_-"/>
  </numFmts>
  <fonts count="5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ova"/>
      <family val="2"/>
      <b val="1"/>
      <color theme="1"/>
      <sz val="12"/>
    </font>
    <font>
      <name val="Arial Nova"/>
      <family val="2"/>
      <color theme="1"/>
      <sz val="12"/>
    </font>
    <font>
      <name val="Arial Nova"/>
      <family val="2"/>
      <color theme="0"/>
      <sz val="12"/>
    </font>
    <font>
      <name val="Arial Nova"/>
      <family val="2"/>
      <b val="1"/>
      <color rgb="FF000000"/>
      <sz val="12"/>
    </font>
    <font>
      <name val="Arial Nova"/>
      <family val="2"/>
      <color rgb="FF000000"/>
      <sz val="12"/>
    </font>
    <font>
      <name val="Arial Nova"/>
      <family val="2"/>
      <sz val="12"/>
    </font>
    <font>
      <name val="Arial Nova"/>
      <family val="2"/>
      <color indexed="8"/>
      <sz val="12"/>
    </font>
    <font>
      <name val="Arial Nova"/>
      <family val="2"/>
      <b val="1"/>
      <color rgb="FF000000"/>
      <sz val="20"/>
      <u val="single"/>
    </font>
    <font>
      <name val="Arial Nova"/>
      <b val="1"/>
      <color rgb="FF000000"/>
      <sz val="12"/>
    </font>
    <font>
      <name val="Arial Nova"/>
      <sz val="12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0F172A"/>
      <sz val="9"/>
    </font>
    <font>
      <name val="Calibri"/>
      <family val="2"/>
      <b val="1"/>
      <sz val="14"/>
      <scheme val="minor"/>
    </font>
    <font>
      <name val="Arial Nova"/>
      <family val="2"/>
      <b val="1"/>
      <color theme="1"/>
      <sz val="14"/>
    </font>
    <font>
      <name val="Calibri"/>
      <b val="1"/>
      <color rgb="FFFFFFFF"/>
      <sz val="14"/>
    </font>
    <font>
      <name val="Calibri"/>
      <color rgb="FFE2E8F0"/>
      <sz val="9.5"/>
    </font>
    <font>
      <name val="Calibri"/>
      <b val="1"/>
      <color rgb="FFFFFFFF"/>
      <sz val="9.5"/>
    </font>
    <font>
      <name val="Calibri"/>
      <color rgb="FF0F172A"/>
      <sz val="9"/>
    </font>
    <font>
      <name val="Calibri"/>
      <b val="1"/>
      <color rgb="FF0F172A"/>
      <sz val="9.5"/>
    </font>
    <font>
      <name val="Calibri"/>
      <b val="1"/>
      <color rgb="FFFFFFFF"/>
      <sz val="9.5"/>
    </font>
    <font>
      <name val="Calibri"/>
      <b val="1"/>
      <color rgb="FF0F172A"/>
      <sz val="9"/>
    </font>
    <font>
      <name val="Calibri"/>
      <color rgb="FF0F172A"/>
      <sz val="9"/>
    </font>
    <font>
      <name val="Calibri"/>
      <b val="1"/>
      <color rgb="FF0F172A"/>
      <sz val="9.5"/>
    </font>
    <font>
      <name val="Calibri"/>
      <b val="1"/>
      <color rgb="FFFFFFFF"/>
      <sz val="9.5"/>
    </font>
    <font>
      <name val="Calibri"/>
      <b val="1"/>
      <color rgb="FF0F172A"/>
      <sz val="9"/>
    </font>
    <font>
      <name val="Calibri"/>
      <color rgb="FF0F172A"/>
      <sz val="9"/>
    </font>
    <font>
      <name val="Calibri"/>
      <b val="1"/>
      <color rgb="FFFFFFFF"/>
      <sz val="9"/>
    </font>
    <font>
      <name val="Calibri"/>
      <b val="1"/>
      <color rgb="FF0F172A"/>
      <sz val="9.5"/>
    </font>
    <font>
      <name val="Calibri"/>
      <b val="1"/>
      <color rgb="FFFFFFFF"/>
      <sz val="14"/>
    </font>
    <font>
      <name val="Calibri"/>
      <b val="1"/>
      <color rgb="FF475569"/>
      <sz val="8.5"/>
    </font>
    <font>
      <name val="Calibri"/>
      <b val="1"/>
      <color rgb="FF1B365D"/>
      <sz val="13.5"/>
    </font>
    <font>
      <name val="Calibri"/>
      <color rgb="FF64748B"/>
      <sz val="8"/>
    </font>
    <font>
      <name val="Calibri"/>
      <b val="1"/>
      <color rgb="FF0F766E"/>
      <sz val="13.5"/>
    </font>
    <font>
      <name val="Calibri"/>
      <b val="1"/>
      <color rgb="FF1E3A8A"/>
      <sz val="13.5"/>
    </font>
    <font>
      <name val="Calibri"/>
      <b val="1"/>
      <color rgb="FF334155"/>
      <sz val="13.5"/>
    </font>
    <font>
      <name val="Calibri"/>
      <b val="1"/>
      <color rgb="FFFFFFFF"/>
      <sz val="11"/>
    </font>
    <font>
      <name val="Calibri"/>
      <b val="1"/>
      <color rgb="FFFFFFFF"/>
      <sz val="9.5"/>
    </font>
    <font>
      <name val="Calibri"/>
      <b val="1"/>
      <color rgb="FF0F172A"/>
      <sz val="9"/>
    </font>
    <font>
      <name val="Calibri"/>
      <color rgb="FF0F172A"/>
      <sz val="9"/>
    </font>
    <font>
      <name val="Calibri"/>
      <b val="1"/>
      <color rgb="FF0F172A"/>
      <sz val="9.5"/>
    </font>
    <font>
      <name val="Calibri"/>
      <b val="1"/>
      <color rgb="FFFFFFFF"/>
      <sz val="14"/>
    </font>
    <font>
      <name val="Calibri"/>
      <color rgb="FFE2E8F0"/>
      <sz val="9.5"/>
    </font>
    <font>
      <name val="Calibri"/>
      <b val="1"/>
      <color rgb="FFFFFFFF"/>
      <sz val="9.5"/>
    </font>
    <font>
      <name val="Calibri"/>
      <color rgb="FF0F172A"/>
      <sz val="9"/>
    </font>
    <font>
      <name val="Calibri"/>
      <b val="1"/>
      <color rgb="FF0F172A"/>
      <sz val="9"/>
    </font>
    <font>
      <name val="Calibri"/>
      <b val="1"/>
      <color rgb="FFFFFFFF"/>
      <sz val="9"/>
    </font>
    <font>
      <name val="Calibri"/>
      <b val="1"/>
      <color rgb="FF0F172A"/>
      <sz val="9.5"/>
    </font>
    <font>
      <name val="Calibri"/>
      <b val="1"/>
      <color rgb="FFD4AF37"/>
      <sz val="11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1B365D"/>
      <sz val="11"/>
    </font>
  </fonts>
  <fills count="6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190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CFDF5"/>
        <bgColor rgb="FFECFDF5"/>
      </patternFill>
    </fill>
    <fill>
      <patternFill patternType="solid">
        <fgColor rgb="FFE2E8F0"/>
        <bgColor rgb="FFE2E8F0"/>
      </patternFill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0FDF4"/>
        <bgColor rgb="FFF0FDF4"/>
      </patternFill>
    </fill>
    <fill>
      <patternFill patternType="solid">
        <fgColor rgb="FFE2E8F0"/>
        <bgColor rgb="FFE2E8F0"/>
      </patternFill>
    </fill>
    <fill>
      <patternFill patternType="solid">
        <fgColor rgb="FFFFFF00"/>
        <bgColor rgb="FFF0FDF4"/>
      </patternFill>
    </fill>
    <fill>
      <patternFill patternType="solid">
        <fgColor theme="7" tint="0.3999755851924192"/>
        <bgColor rgb="FFF8FAFC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rgb="FFF0FDF4"/>
      </patternFill>
    </fill>
    <fill>
      <patternFill patternType="solid">
        <fgColor rgb="FFFFFF00"/>
        <bgColor rgb="FFF8FAFC"/>
      </patternFill>
    </fill>
    <fill>
      <patternFill patternType="solid">
        <fgColor theme="9" tint="0.3999755851924192"/>
        <bgColor rgb="FFFFFFFF"/>
      </patternFill>
    </fill>
    <fill>
      <patternFill patternType="solid">
        <fgColor rgb="FFFF66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8FAFC"/>
      </patternFill>
    </fill>
    <fill>
      <patternFill patternType="solid">
        <fgColor rgb="FFFF0000"/>
        <bgColor rgb="FFFFFFFF"/>
      </patternFill>
    </fill>
    <fill>
      <patternFill patternType="solid">
        <fgColor theme="4" tint="0.3999755851924192"/>
        <bgColor rgb="FFF8FAFC"/>
      </patternFill>
    </fill>
    <fill>
      <patternFill patternType="solid">
        <fgColor rgb="FF7030A0"/>
        <bgColor rgb="FFFFFFFF"/>
      </patternFill>
    </fill>
    <fill>
      <patternFill patternType="solid">
        <fgColor rgb="FFFF0000"/>
        <bgColor rgb="FFF0FDF4"/>
      </patternFill>
    </fill>
    <fill>
      <patternFill patternType="solid">
        <fgColor rgb="FFA50021"/>
        <bgColor rgb="FFF0FDF4"/>
      </patternFill>
    </fill>
    <fill>
      <patternFill patternType="solid">
        <fgColor theme="4" tint="0.3999755851924192"/>
        <bgColor rgb="FFF0FDF4"/>
      </patternFill>
    </fill>
    <fill>
      <patternFill patternType="solid">
        <fgColor theme="9" tint="0.3999755851924192"/>
        <bgColor rgb="FFF0FDF4"/>
      </patternFill>
    </fill>
    <fill>
      <patternFill patternType="solid">
        <fgColor rgb="FFA50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2E8F0"/>
        <bgColor rgb="FFE2E8F0"/>
      </patternFill>
    </fill>
    <fill>
      <patternFill patternType="solid">
        <fgColor rgb="FFF0FDF4"/>
        <bgColor rgb="FFF0FDF4"/>
      </patternFill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2E8F0"/>
        <bgColor rgb="FFE2E8F0"/>
      </patternFill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1B365D"/>
        <bgColor rgb="FF1B365D"/>
      </patternFill>
    </fill>
    <fill>
      <patternFill patternType="solid">
        <fgColor rgb="FF0A192F"/>
        <bgColor rgb="FF0A192F"/>
      </patternFill>
    </fill>
    <fill>
      <patternFill patternType="solid">
        <fgColor rgb="FFFFF8DC"/>
        <bgColor rgb="FFFFF8DC"/>
      </patternFill>
    </fill>
    <fill>
      <patternFill patternType="solid">
        <fgColor rgb="00FFF8DC"/>
        <bgColor rgb="00FFF8DC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475569"/>
      </top>
      <bottom style="double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double">
        <color rgb="FF0F172A"/>
      </bottom>
      <diagonal/>
    </border>
    <border>
      <left/>
      <right/>
      <top/>
      <bottom style="double">
        <color rgb="FF0F172A"/>
      </bottom>
      <diagonal/>
    </border>
    <border>
      <left/>
      <right style="thin">
        <color rgb="FFCBD5E1"/>
      </right>
      <top/>
      <bottom style="double">
        <color rgb="FF0F172A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75569"/>
      </top>
      <bottom style="double">
        <color rgb="FF0F172A"/>
      </bottom>
      <diagonal/>
    </border>
    <border>
      <left/>
      <right style="thin">
        <color rgb="FFCBD5E1"/>
      </right>
      <top style="thin">
        <color rgb="FF475569"/>
      </top>
      <bottom style="double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475569"/>
      </top>
      <bottom style="double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475569"/>
      </top>
      <bottom style="double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475569"/>
      </top>
      <bottom style="double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 style="thin">
        <color rgb="FF475569"/>
      </top>
      <bottom/>
      <diagonal/>
    </border>
    <border>
      <left/>
      <right style="thin">
        <color rgb="FFCBD5E1"/>
      </right>
      <top style="thin">
        <color rgb="FF475569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1" fillId="0" borderId="21"/>
    <xf numFmtId="43" fontId="1" fillId="0" borderId="21"/>
    <xf numFmtId="9" fontId="1" fillId="0" borderId="21"/>
  </cellStyleXfs>
  <cellXfs count="35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5" fillId="2" borderId="1" applyAlignment="1" pivotButton="0" quotePrefix="0" xfId="0">
      <alignment vertical="top" wrapText="1"/>
    </xf>
    <xf numFmtId="49" fontId="5" fillId="2" borderId="2" applyAlignment="1" pivotButton="0" quotePrefix="0" xfId="0">
      <alignment vertical="top" wrapText="1"/>
    </xf>
    <xf numFmtId="49" fontId="5" fillId="2" borderId="2" applyAlignment="1" pivotButton="0" quotePrefix="0" xfId="0">
      <alignment horizontal="center" vertical="top" wrapText="1"/>
    </xf>
    <xf numFmtId="49" fontId="3" fillId="0" borderId="0" applyAlignment="1" pivotButton="0" quotePrefix="0" xfId="0">
      <alignment vertical="top"/>
    </xf>
    <xf numFmtId="49" fontId="3" fillId="0" borderId="0" applyAlignment="1" pivotButton="0" quotePrefix="0" xfId="0">
      <alignment vertical="center"/>
    </xf>
    <xf numFmtId="49" fontId="5" fillId="2" borderId="4" applyAlignment="1" pivotButton="0" quotePrefix="0" xfId="0">
      <alignment horizontal="center" wrapText="1"/>
    </xf>
    <xf numFmtId="49" fontId="5" fillId="2" borderId="5" applyAlignment="1" pivotButton="0" quotePrefix="0" xfId="0">
      <alignment horizontal="center" wrapText="1"/>
    </xf>
    <xf numFmtId="49" fontId="5" fillId="2" borderId="6" applyAlignment="1" pivotButton="0" quotePrefix="0" xfId="0">
      <alignment horizontal="center" wrapText="1"/>
    </xf>
    <xf numFmtId="49" fontId="5" fillId="2" borderId="7" applyAlignment="1" pivotButton="0" quotePrefix="0" xfId="0">
      <alignment horizontal="center" wrapText="1"/>
    </xf>
    <xf numFmtId="49" fontId="2" fillId="0" borderId="0" applyAlignment="1" pivotButton="0" quotePrefix="0" xfId="0">
      <alignment horizontal="center"/>
    </xf>
    <xf numFmtId="49" fontId="5" fillId="2" borderId="5" applyAlignment="1" pivotButton="0" quotePrefix="0" xfId="0">
      <alignment horizontal="center" vertical="distributed" wrapText="1"/>
    </xf>
    <xf numFmtId="49" fontId="5" fillId="2" borderId="5" applyAlignment="1" pivotButton="0" quotePrefix="0" xfId="0">
      <alignment vertical="center" wrapText="1"/>
    </xf>
    <xf numFmtId="49" fontId="5" fillId="2" borderId="4" applyAlignment="1" pivotButton="0" quotePrefix="0" xfId="0">
      <alignment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49" fontId="5" fillId="2" borderId="7" applyAlignment="1" pivotButton="0" quotePrefix="0" xfId="0">
      <alignment vertical="center" wrapText="1"/>
    </xf>
    <xf numFmtId="49" fontId="5" fillId="2" borderId="9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164" fontId="2" fillId="0" borderId="8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1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left" vertical="center"/>
    </xf>
    <xf numFmtId="0" fontId="6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justify" vertical="center" wrapText="1"/>
    </xf>
    <xf numFmtId="49" fontId="5" fillId="5" borderId="3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 wrapText="1"/>
    </xf>
    <xf numFmtId="164" fontId="5" fillId="5" borderId="8" applyAlignment="1" pivotButton="0" quotePrefix="0" xfId="0">
      <alignment horizontal="center" vertical="center" wrapText="1"/>
    </xf>
    <xf numFmtId="49" fontId="5" fillId="5" borderId="8" applyAlignment="1" pivotButton="0" quotePrefix="0" xfId="0">
      <alignment horizontal="left" vertical="center" wrapText="1"/>
    </xf>
    <xf numFmtId="49" fontId="5" fillId="5" borderId="8" applyAlignment="1" pivotButton="0" quotePrefix="0" xfId="0">
      <alignment horizontal="center" vertical="center" wrapText="1"/>
    </xf>
    <xf numFmtId="49" fontId="5" fillId="5" borderId="9" applyAlignment="1" pivotButton="0" quotePrefix="0" xfId="0">
      <alignment horizontal="center" vertical="center" wrapText="1"/>
    </xf>
    <xf numFmtId="49" fontId="5" fillId="5" borderId="0" applyAlignment="1" pivotButton="0" quotePrefix="0" xfId="0">
      <alignment horizontal="center" vertical="center" wrapText="1"/>
    </xf>
    <xf numFmtId="164" fontId="5" fillId="6" borderId="8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justify" vertical="center" wrapText="1"/>
    </xf>
    <xf numFmtId="49" fontId="5" fillId="7" borderId="3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/>
    </xf>
    <xf numFmtId="49" fontId="7" fillId="7" borderId="8" applyAlignment="1" pivotButton="0" quotePrefix="0" xfId="0">
      <alignment horizontal="center" vertical="center"/>
    </xf>
    <xf numFmtId="49" fontId="5" fillId="7" borderId="8" applyAlignment="1" pivotButton="0" quotePrefix="0" xfId="0">
      <alignment horizontal="center" vertical="center" wrapText="1"/>
    </xf>
    <xf numFmtId="164" fontId="5" fillId="7" borderId="8" applyAlignment="1" pivotButton="0" quotePrefix="0" xfId="0">
      <alignment horizontal="center" vertical="center" wrapText="1"/>
    </xf>
    <xf numFmtId="49" fontId="5" fillId="7" borderId="8" applyAlignment="1" pivotButton="0" quotePrefix="0" xfId="0">
      <alignment horizontal="left" vertical="center" wrapText="1"/>
    </xf>
    <xf numFmtId="49" fontId="5" fillId="7" borderId="9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justify" vertical="center" wrapText="1"/>
    </xf>
    <xf numFmtId="0" fontId="5" fillId="7" borderId="8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justify" vertical="center"/>
    </xf>
    <xf numFmtId="0" fontId="3" fillId="7" borderId="8" applyAlignment="1" pivotButton="0" quotePrefix="0" xfId="0">
      <alignment horizontal="center" vertical="center"/>
    </xf>
    <xf numFmtId="0" fontId="3" fillId="8" borderId="0" applyAlignment="1" pivotButton="0" quotePrefix="0" xfId="0">
      <alignment vertical="center"/>
    </xf>
    <xf numFmtId="164" fontId="5" fillId="9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/>
    </xf>
    <xf numFmtId="0" fontId="3" fillId="5" borderId="8" applyAlignment="1" pivotButton="0" quotePrefix="0" xfId="0">
      <alignment horizontal="center" vertical="center"/>
    </xf>
    <xf numFmtId="49" fontId="2" fillId="0" borderId="8" applyAlignment="1" pivotButton="0" quotePrefix="0" xfId="0">
      <alignment horizontal="center" vertical="center" wrapText="1"/>
    </xf>
    <xf numFmtId="49" fontId="5" fillId="2" borderId="8" applyAlignment="1" pivotButton="0" quotePrefix="0" xfId="0">
      <alignment horizontal="center" wrapText="1"/>
    </xf>
    <xf numFmtId="0" fontId="11" fillId="0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left" vertical="center" wrapText="1"/>
    </xf>
    <xf numFmtId="1" fontId="11" fillId="0" borderId="13" applyAlignment="1" pivotButton="0" quotePrefix="0" xfId="0">
      <alignment horizontal="center" vertical="center"/>
    </xf>
    <xf numFmtId="1" fontId="11" fillId="0" borderId="13" applyAlignment="1" pivotButton="0" quotePrefix="0" xfId="0">
      <alignment horizontal="left" vertical="center" wrapText="1"/>
    </xf>
    <xf numFmtId="49" fontId="11" fillId="0" borderId="13" applyAlignment="1" pivotButton="0" quotePrefix="0" xfId="0">
      <alignment horizontal="left" vertical="center" wrapText="1"/>
    </xf>
    <xf numFmtId="49" fontId="11" fillId="0" borderId="13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1" fillId="4" borderId="13" applyAlignment="1" pivotButton="0" quotePrefix="0" xfId="0">
      <alignment horizontal="left" vertical="center" wrapText="1"/>
    </xf>
    <xf numFmtId="49" fontId="9" fillId="6" borderId="8" applyAlignment="1" pivotButton="0" quotePrefix="0" xfId="0">
      <alignment horizontal="center" vertical="center" wrapText="1"/>
    </xf>
    <xf numFmtId="164" fontId="5" fillId="11" borderId="8" applyAlignment="1" pivotButton="0" quotePrefix="0" xfId="0">
      <alignment horizontal="center" vertical="center" wrapText="1"/>
    </xf>
    <xf numFmtId="49" fontId="5" fillId="11" borderId="8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/>
    </xf>
    <xf numFmtId="49" fontId="7" fillId="11" borderId="8" applyAlignment="1" pivotButton="0" quotePrefix="0" xfId="0">
      <alignment horizontal="center" vertical="center"/>
    </xf>
    <xf numFmtId="0" fontId="3" fillId="11" borderId="8" applyAlignment="1" pivotButton="0" quotePrefix="0" xfId="0">
      <alignment horizontal="center" vertical="center"/>
    </xf>
    <xf numFmtId="49" fontId="2" fillId="11" borderId="8" applyAlignment="1" pivotButton="0" quotePrefix="0" xfId="0">
      <alignment horizontal="center" vertical="center" wrapText="1"/>
    </xf>
    <xf numFmtId="0" fontId="11" fillId="11" borderId="8" applyAlignment="1" pivotButton="0" quotePrefix="0" xfId="0">
      <alignment horizontal="center" vertical="center"/>
    </xf>
    <xf numFmtId="0" fontId="3" fillId="11" borderId="8" applyAlignment="1" pivotButton="0" quotePrefix="0" xfId="0">
      <alignment horizontal="center" vertical="center" wrapText="1"/>
    </xf>
    <xf numFmtId="0" fontId="3" fillId="11" borderId="8" applyAlignment="1" pivotButton="0" quotePrefix="0" xfId="0">
      <alignment horizontal="center" vertical="top"/>
    </xf>
    <xf numFmtId="0" fontId="6" fillId="11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11" fillId="0" borderId="12" applyAlignment="1" pivotButton="0" quotePrefix="0" xfId="0">
      <alignment horizontal="center" vertical="center"/>
    </xf>
    <xf numFmtId="49" fontId="3" fillId="0" borderId="8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11" fillId="12" borderId="8" applyAlignment="1" pivotButton="0" quotePrefix="0" xfId="0">
      <alignment horizontal="center" vertical="center"/>
    </xf>
    <xf numFmtId="0" fontId="6" fillId="12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left" vertical="center" wrapText="1"/>
    </xf>
    <xf numFmtId="1" fontId="11" fillId="0" borderId="12" applyAlignment="1" pivotButton="0" quotePrefix="0" xfId="0">
      <alignment horizontal="left" vertical="center" wrapText="1"/>
    </xf>
    <xf numFmtId="0" fontId="6" fillId="11" borderId="8" applyAlignment="1" pivotButton="0" quotePrefix="0" xfId="0">
      <alignment horizontal="left" vertical="center" wrapText="1"/>
    </xf>
    <xf numFmtId="0" fontId="3" fillId="11" borderId="8" applyAlignment="1" pivotButton="0" quotePrefix="0" xfId="0">
      <alignment horizontal="left" vertical="center" wrapText="1"/>
    </xf>
    <xf numFmtId="164" fontId="5" fillId="6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vertical="center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0" fontId="7" fillId="12" borderId="8" applyAlignment="1" pivotButton="0" quotePrefix="0" xfId="0">
      <alignment horizontal="center" vertical="center"/>
    </xf>
    <xf numFmtId="9" fontId="1" fillId="0" borderId="21" pivotButton="0" quotePrefix="0" xfId="2"/>
    <xf numFmtId="0" fontId="3" fillId="14" borderId="0" applyAlignment="1" pivotButton="0" quotePrefix="0" xfId="0">
      <alignment horizontal="center" vertical="center"/>
    </xf>
    <xf numFmtId="0" fontId="3" fillId="6" borderId="22" applyAlignment="1" pivotButton="0" quotePrefix="0" xfId="0">
      <alignment vertical="center"/>
    </xf>
    <xf numFmtId="164" fontId="3" fillId="6" borderId="23" applyAlignment="1" pivotButton="0" quotePrefix="0" xfId="0">
      <alignment vertical="center"/>
    </xf>
    <xf numFmtId="0" fontId="3" fillId="7" borderId="24" applyAlignment="1" pivotButton="0" quotePrefix="0" xfId="0">
      <alignment vertical="center"/>
    </xf>
    <xf numFmtId="164" fontId="3" fillId="7" borderId="25" applyAlignment="1" pivotButton="0" quotePrefix="0" xfId="0">
      <alignment vertical="center"/>
    </xf>
    <xf numFmtId="164" fontId="16" fillId="13" borderId="26" applyAlignment="1" pivotButton="0" quotePrefix="0" xfId="0">
      <alignment vertical="center"/>
    </xf>
    <xf numFmtId="9" fontId="15" fillId="13" borderId="27" applyAlignment="1" pivotButton="0" quotePrefix="0" xfId="2">
      <alignment horizontal="center" vertical="center"/>
    </xf>
    <xf numFmtId="0" fontId="22" fillId="21" borderId="29" applyAlignment="1" pivotButton="0" quotePrefix="0" xfId="0">
      <alignment horizontal="center" vertical="center" wrapText="1"/>
    </xf>
    <xf numFmtId="0" fontId="23" fillId="24" borderId="29" applyAlignment="1" pivotButton="0" quotePrefix="0" xfId="0">
      <alignment horizontal="center" vertical="center" wrapText="1"/>
    </xf>
    <xf numFmtId="0" fontId="23" fillId="24" borderId="29" applyAlignment="1" pivotButton="0" quotePrefix="0" xfId="0">
      <alignment horizontal="left" vertical="center" wrapText="1"/>
    </xf>
    <xf numFmtId="0" fontId="24" fillId="24" borderId="29" applyAlignment="1" pivotButton="0" quotePrefix="0" xfId="0">
      <alignment horizontal="center" vertical="center" wrapText="1"/>
    </xf>
    <xf numFmtId="0" fontId="24" fillId="24" borderId="29" applyAlignment="1" pivotButton="0" quotePrefix="0" xfId="0">
      <alignment horizontal="left" vertical="center" wrapText="1"/>
    </xf>
    <xf numFmtId="0" fontId="23" fillId="23" borderId="29" applyAlignment="1" pivotButton="0" quotePrefix="0" xfId="0">
      <alignment horizontal="center" vertical="center" wrapText="1"/>
    </xf>
    <xf numFmtId="0" fontId="23" fillId="23" borderId="29" applyAlignment="1" pivotButton="0" quotePrefix="0" xfId="0">
      <alignment horizontal="left" vertical="center" wrapText="1"/>
    </xf>
    <xf numFmtId="0" fontId="24" fillId="23" borderId="29" applyAlignment="1" pivotButton="0" quotePrefix="0" xfId="0">
      <alignment horizontal="center" vertical="center" wrapText="1"/>
    </xf>
    <xf numFmtId="0" fontId="24" fillId="23" borderId="29" applyAlignment="1" pivotButton="0" quotePrefix="0" xfId="0">
      <alignment horizontal="left" vertical="center" wrapText="1"/>
    </xf>
    <xf numFmtId="0" fontId="23" fillId="25" borderId="29" applyAlignment="1" pivotButton="0" quotePrefix="0" xfId="0">
      <alignment horizontal="center" vertical="center" wrapText="1"/>
    </xf>
    <xf numFmtId="0" fontId="23" fillId="25" borderId="29" applyAlignment="1" pivotButton="0" quotePrefix="0" xfId="0">
      <alignment horizontal="left" vertical="center" wrapText="1"/>
    </xf>
    <xf numFmtId="0" fontId="24" fillId="25" borderId="29" applyAlignment="1" pivotButton="0" quotePrefix="0" xfId="0">
      <alignment horizontal="center" vertical="center" wrapText="1"/>
    </xf>
    <xf numFmtId="0" fontId="24" fillId="25" borderId="29" applyAlignment="1" pivotButton="0" quotePrefix="0" xfId="0">
      <alignment horizontal="left" vertical="center" wrapText="1"/>
    </xf>
    <xf numFmtId="3" fontId="25" fillId="26" borderId="30" applyAlignment="1" pivotButton="0" quotePrefix="0" xfId="0">
      <alignment horizontal="center" vertical="center" wrapText="1"/>
    </xf>
    <xf numFmtId="0" fontId="19" fillId="15" borderId="31" applyAlignment="1" pivotButton="0" quotePrefix="0" xfId="0">
      <alignment horizontal="center" vertical="center" wrapText="1"/>
    </xf>
    <xf numFmtId="3" fontId="21" fillId="20" borderId="32" applyAlignment="1" pivotButton="0" quotePrefix="0" xfId="0">
      <alignment horizontal="center" vertical="center" wrapText="1"/>
    </xf>
    <xf numFmtId="0" fontId="20" fillId="18" borderId="8" applyAlignment="1" pivotButton="0" quotePrefix="0" xfId="0">
      <alignment horizontal="center" vertical="center" wrapText="1"/>
    </xf>
    <xf numFmtId="0" fontId="20" fillId="18" borderId="8" applyAlignment="1" pivotButton="0" quotePrefix="0" xfId="0">
      <alignment horizontal="left" vertical="center" wrapText="1"/>
    </xf>
    <xf numFmtId="0" fontId="20" fillId="17" borderId="8" applyAlignment="1" pivotButton="0" quotePrefix="0" xfId="0">
      <alignment horizontal="center" vertical="center" wrapText="1"/>
    </xf>
    <xf numFmtId="0" fontId="20" fillId="17" borderId="8" applyAlignment="1" pivotButton="0" quotePrefix="0" xfId="0">
      <alignment horizontal="left" vertical="center" wrapText="1"/>
    </xf>
    <xf numFmtId="0" fontId="20" fillId="19" borderId="8" applyAlignment="1" pivotButton="0" quotePrefix="0" xfId="0">
      <alignment horizontal="center" vertical="center" wrapText="1"/>
    </xf>
    <xf numFmtId="0" fontId="20" fillId="19" borderId="8" applyAlignment="1" pivotButton="0" quotePrefix="0" xfId="0">
      <alignment horizontal="left" vertical="center" wrapText="1"/>
    </xf>
    <xf numFmtId="0" fontId="20" fillId="18" borderId="1" applyAlignment="1" pivotButton="0" quotePrefix="0" xfId="0">
      <alignment horizontal="center" vertical="center" wrapText="1"/>
    </xf>
    <xf numFmtId="0" fontId="20" fillId="18" borderId="35" applyAlignment="1" pivotButton="0" quotePrefix="0" xfId="0">
      <alignment horizontal="left" vertical="center" wrapText="1"/>
    </xf>
    <xf numFmtId="0" fontId="26" fillId="48" borderId="38" applyAlignment="1" pivotButton="0" quotePrefix="0" xfId="0">
      <alignment horizontal="center" vertical="center" wrapText="1"/>
    </xf>
    <xf numFmtId="0" fontId="28" fillId="51" borderId="38" applyAlignment="1" pivotButton="0" quotePrefix="0" xfId="0">
      <alignment horizontal="center" vertical="center" wrapText="1"/>
    </xf>
    <xf numFmtId="0" fontId="27" fillId="44" borderId="38" applyAlignment="1" pivotButton="0" quotePrefix="0" xfId="0">
      <alignment horizontal="center" vertical="center" wrapText="1"/>
    </xf>
    <xf numFmtId="0" fontId="27" fillId="51" borderId="38" applyAlignment="1" pivotButton="0" quotePrefix="0" xfId="0">
      <alignment horizontal="left" vertical="center" wrapText="1"/>
    </xf>
    <xf numFmtId="0" fontId="27" fillId="51" borderId="38" applyAlignment="1" pivotButton="0" quotePrefix="0" xfId="0">
      <alignment horizontal="center" vertical="center" wrapText="1"/>
    </xf>
    <xf numFmtId="165" fontId="28" fillId="51" borderId="38" applyAlignment="1" pivotButton="0" quotePrefix="0" xfId="0">
      <alignment horizontal="center" vertical="center" wrapText="1"/>
    </xf>
    <xf numFmtId="0" fontId="28" fillId="50" borderId="38" applyAlignment="1" pivotButton="0" quotePrefix="0" xfId="0">
      <alignment horizontal="center" vertical="center" wrapText="1"/>
    </xf>
    <xf numFmtId="0" fontId="29" fillId="34" borderId="38" applyAlignment="1" pivotButton="0" quotePrefix="0" xfId="0">
      <alignment horizontal="center" vertical="center" wrapText="1"/>
    </xf>
    <xf numFmtId="0" fontId="27" fillId="50" borderId="38" applyAlignment="1" pivotButton="0" quotePrefix="0" xfId="0">
      <alignment horizontal="left" vertical="center" wrapText="1"/>
    </xf>
    <xf numFmtId="0" fontId="27" fillId="50" borderId="38" applyAlignment="1" pivotButton="0" quotePrefix="0" xfId="0">
      <alignment horizontal="center" vertical="center" wrapText="1"/>
    </xf>
    <xf numFmtId="165" fontId="28" fillId="50" borderId="38" applyAlignment="1" pivotButton="0" quotePrefix="0" xfId="0">
      <alignment horizontal="center" vertical="center" wrapText="1"/>
    </xf>
    <xf numFmtId="0" fontId="27" fillId="46" borderId="38" applyAlignment="1" pivotButton="0" quotePrefix="0" xfId="0">
      <alignment horizontal="center" vertical="center" wrapText="1"/>
    </xf>
    <xf numFmtId="0" fontId="27" fillId="47" borderId="38" applyAlignment="1" pivotButton="0" quotePrefix="0" xfId="0">
      <alignment horizontal="center" vertical="center" wrapText="1"/>
    </xf>
    <xf numFmtId="0" fontId="27" fillId="3" borderId="38" applyAlignment="1" pivotButton="0" quotePrefix="0" xfId="0">
      <alignment horizontal="center" vertical="center" wrapText="1"/>
    </xf>
    <xf numFmtId="0" fontId="27" fillId="13" borderId="38" applyAlignment="1" pivotButton="0" quotePrefix="0" xfId="0">
      <alignment horizontal="center" vertical="center" wrapText="1"/>
    </xf>
    <xf numFmtId="0" fontId="29" fillId="45" borderId="38" applyAlignment="1" pivotButton="0" quotePrefix="0" xfId="0">
      <alignment horizontal="center" vertical="center" wrapText="1"/>
    </xf>
    <xf numFmtId="0" fontId="29" fillId="43" borderId="38" applyAlignment="1" pivotButton="0" quotePrefix="0" xfId="0">
      <alignment horizontal="center" vertical="center" wrapText="1"/>
    </xf>
    <xf numFmtId="0" fontId="30" fillId="52" borderId="39" applyAlignment="1" pivotButton="0" quotePrefix="0" xfId="0">
      <alignment horizontal="center" vertical="center" wrapText="1"/>
    </xf>
    <xf numFmtId="0" fontId="28" fillId="51" borderId="38" applyAlignment="1" pivotButton="0" quotePrefix="0" xfId="0">
      <alignment horizontal="left" vertical="center" wrapText="1"/>
    </xf>
    <xf numFmtId="0" fontId="27" fillId="33" borderId="38" applyAlignment="1" pivotButton="0" quotePrefix="0" xfId="0">
      <alignment horizontal="center" vertical="center" wrapText="1"/>
    </xf>
    <xf numFmtId="0" fontId="28" fillId="50" borderId="38" applyAlignment="1" pivotButton="0" quotePrefix="0" xfId="0">
      <alignment horizontal="left" vertical="center" wrapText="1"/>
    </xf>
    <xf numFmtId="0" fontId="28" fillId="53" borderId="38" applyAlignment="1" pivotButton="0" quotePrefix="0" xfId="0">
      <alignment horizontal="center" vertical="center" wrapText="1"/>
    </xf>
    <xf numFmtId="0" fontId="27" fillId="53" borderId="38" applyAlignment="1" pivotButton="0" quotePrefix="0" xfId="0">
      <alignment horizontal="center" vertical="center" wrapText="1"/>
    </xf>
    <xf numFmtId="0" fontId="27" fillId="53" borderId="38" applyAlignment="1" pivotButton="0" quotePrefix="0" xfId="0">
      <alignment horizontal="left" vertical="center" wrapText="1"/>
    </xf>
    <xf numFmtId="0" fontId="28" fillId="53" borderId="38" applyAlignment="1" pivotButton="0" quotePrefix="0" xfId="0">
      <alignment horizontal="left" vertical="center" wrapText="1"/>
    </xf>
    <xf numFmtId="0" fontId="29" fillId="36" borderId="38" applyAlignment="1" pivotButton="0" quotePrefix="0" xfId="0">
      <alignment horizontal="center" vertical="center" wrapText="1"/>
    </xf>
    <xf numFmtId="0" fontId="29" fillId="39" borderId="38" applyAlignment="1" pivotButton="0" quotePrefix="0" xfId="0">
      <alignment horizontal="center" vertical="center" wrapText="1"/>
    </xf>
    <xf numFmtId="0" fontId="29" fillId="35" borderId="38" applyAlignment="1" pivotButton="0" quotePrefix="0" xfId="0">
      <alignment horizontal="center" vertical="center" wrapText="1"/>
    </xf>
    <xf numFmtId="0" fontId="27" fillId="30" borderId="38" applyAlignment="1" pivotButton="0" quotePrefix="0" xfId="0">
      <alignment horizontal="center" vertical="center" wrapText="1"/>
    </xf>
    <xf numFmtId="0" fontId="27" fillId="29" borderId="38" applyAlignment="1" pivotButton="0" quotePrefix="0" xfId="0">
      <alignment horizontal="center" vertical="center" wrapText="1"/>
    </xf>
    <xf numFmtId="0" fontId="27" fillId="28" borderId="38" applyAlignment="1" pivotButton="0" quotePrefix="0" xfId="0">
      <alignment horizontal="center" vertical="center" wrapText="1"/>
    </xf>
    <xf numFmtId="0" fontId="27" fillId="37" borderId="38" applyAlignment="1" pivotButton="0" quotePrefix="0" xfId="0">
      <alignment horizontal="center" vertical="center" wrapText="1"/>
    </xf>
    <xf numFmtId="0" fontId="27" fillId="41" borderId="38" applyAlignment="1" pivotButton="0" quotePrefix="0" xfId="0">
      <alignment horizontal="center" vertical="center" wrapText="1"/>
    </xf>
    <xf numFmtId="0" fontId="27" fillId="27" borderId="38" applyAlignment="1" pivotButton="0" quotePrefix="0" xfId="0">
      <alignment horizontal="center" vertical="center" wrapText="1"/>
    </xf>
    <xf numFmtId="0" fontId="27" fillId="31" borderId="38" applyAlignment="1" pivotButton="0" quotePrefix="0" xfId="0">
      <alignment horizontal="center" vertical="center" wrapText="1"/>
    </xf>
    <xf numFmtId="0" fontId="27" fillId="42" borderId="38" applyAlignment="1" pivotButton="0" quotePrefix="0" xfId="0">
      <alignment horizontal="center" vertical="center" wrapText="1"/>
    </xf>
    <xf numFmtId="0" fontId="27" fillId="32" borderId="38" applyAlignment="1" pivotButton="0" quotePrefix="0" xfId="0">
      <alignment horizontal="center" vertical="center" wrapText="1"/>
    </xf>
    <xf numFmtId="0" fontId="29" fillId="38" borderId="38" applyAlignment="1" pivotButton="0" quotePrefix="0" xfId="0">
      <alignment horizontal="center" vertical="center" wrapText="1"/>
    </xf>
    <xf numFmtId="0" fontId="29" fillId="40" borderId="38" applyAlignment="1" pivotButton="0" quotePrefix="0" xfId="0">
      <alignment horizontal="center" vertical="center" wrapText="1"/>
    </xf>
    <xf numFmtId="3" fontId="30" fillId="52" borderId="39" applyAlignment="1" pivotButton="0" quotePrefix="0" xfId="0">
      <alignment horizontal="center" vertical="center" wrapText="1"/>
    </xf>
    <xf numFmtId="0" fontId="39" fillId="54" borderId="40" applyAlignment="1" pivotButton="0" quotePrefix="0" xfId="0">
      <alignment horizontal="center" vertical="center" wrapText="1"/>
    </xf>
    <xf numFmtId="0" fontId="41" fillId="57" borderId="40" applyAlignment="1" pivotButton="0" quotePrefix="0" xfId="0">
      <alignment horizontal="center" vertical="center" wrapText="1"/>
    </xf>
    <xf numFmtId="0" fontId="40" fillId="57" borderId="40" applyAlignment="1" pivotButton="0" quotePrefix="0" xfId="0">
      <alignment horizontal="center" vertical="center" wrapText="1"/>
    </xf>
    <xf numFmtId="0" fontId="41" fillId="56" borderId="40" applyAlignment="1" pivotButton="0" quotePrefix="0" xfId="0">
      <alignment horizontal="center" vertical="center" wrapText="1"/>
    </xf>
    <xf numFmtId="0" fontId="40" fillId="56" borderId="40" applyAlignment="1" pivotButton="0" quotePrefix="0" xfId="0">
      <alignment horizontal="center" vertical="center" wrapText="1"/>
    </xf>
    <xf numFmtId="0" fontId="42" fillId="58" borderId="41" applyAlignment="1" pivotButton="0" quotePrefix="0" xfId="0">
      <alignment horizontal="right" vertical="center"/>
    </xf>
    <xf numFmtId="0" fontId="42" fillId="58" borderId="41" applyAlignment="1" pivotButton="0" quotePrefix="0" xfId="0">
      <alignment horizontal="center" vertical="center" wrapText="1"/>
    </xf>
    <xf numFmtId="0" fontId="14" fillId="44" borderId="40" applyAlignment="1" pivotButton="0" quotePrefix="0" xfId="0">
      <alignment horizontal="left" vertical="center" wrapText="1"/>
    </xf>
    <xf numFmtId="0" fontId="29" fillId="34" borderId="40" applyAlignment="1" pivotButton="0" quotePrefix="0" xfId="0">
      <alignment horizontal="left" vertical="center" wrapText="1"/>
    </xf>
    <xf numFmtId="0" fontId="14" fillId="46" borderId="40" applyAlignment="1" pivotButton="0" quotePrefix="0" xfId="0">
      <alignment horizontal="left" vertical="center" wrapText="1"/>
    </xf>
    <xf numFmtId="0" fontId="14" fillId="47" borderId="40" applyAlignment="1" pivotButton="0" quotePrefix="0" xfId="0">
      <alignment horizontal="left" vertical="center" wrapText="1"/>
    </xf>
    <xf numFmtId="0" fontId="14" fillId="3" borderId="40" applyAlignment="1" pivotButton="0" quotePrefix="0" xfId="0">
      <alignment horizontal="left" vertical="center" wrapText="1"/>
    </xf>
    <xf numFmtId="0" fontId="14" fillId="13" borderId="40" applyAlignment="1" pivotButton="0" quotePrefix="0" xfId="0">
      <alignment horizontal="left" vertical="center" wrapText="1"/>
    </xf>
    <xf numFmtId="0" fontId="29" fillId="45" borderId="40" applyAlignment="1" pivotButton="0" quotePrefix="0" xfId="0">
      <alignment horizontal="left" vertical="center" wrapText="1"/>
    </xf>
    <xf numFmtId="0" fontId="29" fillId="43" borderId="40" applyAlignment="1" pivotButton="0" quotePrefix="0" xfId="0">
      <alignment horizontal="left" vertical="center" wrapText="1"/>
    </xf>
    <xf numFmtId="0" fontId="45" fillId="59" borderId="42" applyAlignment="1" pivotButton="0" quotePrefix="0" xfId="0">
      <alignment horizontal="center" vertical="center" wrapText="1"/>
    </xf>
    <xf numFmtId="0" fontId="46" fillId="61" borderId="42" applyAlignment="1" pivotButton="0" quotePrefix="0" xfId="0">
      <alignment horizontal="center" vertical="center" wrapText="1"/>
    </xf>
    <xf numFmtId="0" fontId="47" fillId="61" borderId="42" applyAlignment="1" pivotButton="0" quotePrefix="0" xfId="0">
      <alignment horizontal="center" vertical="center" wrapText="1"/>
    </xf>
    <xf numFmtId="0" fontId="46" fillId="61" borderId="42" applyAlignment="1" pivotButton="0" quotePrefix="0" xfId="0">
      <alignment horizontal="left" vertical="center" wrapText="1"/>
    </xf>
    <xf numFmtId="0" fontId="48" fillId="36" borderId="42" applyAlignment="1" pivotButton="0" quotePrefix="0" xfId="0">
      <alignment horizontal="left" vertical="center" wrapText="1"/>
    </xf>
    <xf numFmtId="0" fontId="46" fillId="62" borderId="42" applyAlignment="1" pivotButton="0" quotePrefix="0" xfId="0">
      <alignment horizontal="center" vertical="center" wrapText="1"/>
    </xf>
    <xf numFmtId="0" fontId="47" fillId="62" borderId="42" applyAlignment="1" pivotButton="0" quotePrefix="0" xfId="0">
      <alignment horizontal="center" vertical="center" wrapText="1"/>
    </xf>
    <xf numFmtId="0" fontId="46" fillId="62" borderId="42" applyAlignment="1" pivotButton="0" quotePrefix="0" xfId="0">
      <alignment horizontal="left" vertical="center" wrapText="1"/>
    </xf>
    <xf numFmtId="0" fontId="48" fillId="38" borderId="42" applyAlignment="1" pivotButton="0" quotePrefix="0" xfId="0">
      <alignment horizontal="left" vertical="center" wrapText="1"/>
    </xf>
    <xf numFmtId="0" fontId="47" fillId="33" borderId="42" applyAlignment="1" pivotButton="0" quotePrefix="0" xfId="0">
      <alignment horizontal="left" vertical="center" wrapText="1"/>
    </xf>
    <xf numFmtId="0" fontId="47" fillId="37" borderId="42" applyAlignment="1" pivotButton="0" quotePrefix="0" xfId="0">
      <alignment horizontal="left" vertical="center" wrapText="1"/>
    </xf>
    <xf numFmtId="0" fontId="47" fillId="27" borderId="42" applyAlignment="1" pivotButton="0" quotePrefix="0" xfId="0">
      <alignment horizontal="left" vertical="center" wrapText="1"/>
    </xf>
    <xf numFmtId="0" fontId="48" fillId="39" borderId="42" applyAlignment="1" pivotButton="0" quotePrefix="0" xfId="0">
      <alignment horizontal="left" vertical="center" wrapText="1"/>
    </xf>
    <xf numFmtId="0" fontId="47" fillId="42" borderId="42" applyAlignment="1" pivotButton="0" quotePrefix="0" xfId="0">
      <alignment horizontal="left" vertical="center" wrapText="1"/>
    </xf>
    <xf numFmtId="0" fontId="47" fillId="32" borderId="42" applyAlignment="1" pivotButton="0" quotePrefix="0" xfId="0">
      <alignment horizontal="left" vertical="center" wrapText="1"/>
    </xf>
    <xf numFmtId="0" fontId="47" fillId="28" borderId="42" applyAlignment="1" pivotButton="0" quotePrefix="0" xfId="0">
      <alignment horizontal="left" vertical="center" wrapText="1"/>
    </xf>
    <xf numFmtId="0" fontId="48" fillId="34" borderId="42" applyAlignment="1" pivotButton="0" quotePrefix="0" xfId="0">
      <alignment horizontal="left" vertical="center" wrapText="1"/>
    </xf>
    <xf numFmtId="0" fontId="48" fillId="40" borderId="42" applyAlignment="1" pivotButton="0" quotePrefix="0" xfId="0">
      <alignment horizontal="left" vertical="center" wrapText="1"/>
    </xf>
    <xf numFmtId="0" fontId="47" fillId="30" borderId="42" applyAlignment="1" pivotButton="0" quotePrefix="0" xfId="0">
      <alignment horizontal="left" vertical="center" wrapText="1"/>
    </xf>
    <xf numFmtId="0" fontId="47" fillId="29" borderId="42" applyAlignment="1" pivotButton="0" quotePrefix="0" xfId="0">
      <alignment horizontal="left" vertical="center" wrapText="1"/>
    </xf>
    <xf numFmtId="0" fontId="47" fillId="41" borderId="42" applyAlignment="1" pivotButton="0" quotePrefix="0" xfId="0">
      <alignment horizontal="left" vertical="center" wrapText="1"/>
    </xf>
    <xf numFmtId="0" fontId="48" fillId="35" borderId="42" applyAlignment="1" pivotButton="0" quotePrefix="0" xfId="0">
      <alignment horizontal="left" vertical="center" wrapText="1"/>
    </xf>
    <xf numFmtId="0" fontId="47" fillId="31" borderId="42" applyAlignment="1" pivotButton="0" quotePrefix="0" xfId="0">
      <alignment horizontal="left" vertical="center" wrapText="1"/>
    </xf>
    <xf numFmtId="3" fontId="49" fillId="63" borderId="43" applyAlignment="1" pivotButton="0" quotePrefix="0" xfId="0">
      <alignment horizontal="center" vertical="center" wrapText="1"/>
    </xf>
    <xf numFmtId="0" fontId="49" fillId="63" borderId="43" applyAlignment="1" pivotButton="0" quotePrefix="0" xfId="0">
      <alignment horizontal="center" vertical="center" wrapText="1"/>
    </xf>
    <xf numFmtId="0" fontId="24" fillId="0" borderId="29" applyAlignment="1" pivotButton="0" quotePrefix="0" xfId="0">
      <alignment horizontal="center" vertical="center" wrapText="1"/>
    </xf>
    <xf numFmtId="0" fontId="51" fillId="65" borderId="44" applyAlignment="1" pivotButton="0" quotePrefix="0" xfId="0">
      <alignment horizontal="center" vertical="center" wrapText="1"/>
    </xf>
    <xf numFmtId="0" fontId="52" fillId="0" borderId="44" applyAlignment="1" pivotButton="0" quotePrefix="0" xfId="0">
      <alignment horizontal="center" vertical="center" wrapText="1"/>
    </xf>
    <xf numFmtId="0" fontId="53" fillId="0" borderId="44" applyAlignment="1" pivotButton="0" quotePrefix="0" xfId="0">
      <alignment horizontal="center" vertical="center" wrapText="1"/>
    </xf>
    <xf numFmtId="0" fontId="52" fillId="66" borderId="44" applyAlignment="1" pivotButton="0" quotePrefix="0" xfId="0">
      <alignment horizontal="center" vertical="center" wrapText="1"/>
    </xf>
    <xf numFmtId="0" fontId="53" fillId="0" borderId="44" applyAlignment="1" pivotButton="0" quotePrefix="0" xfId="0">
      <alignment horizontal="left" vertical="center"/>
    </xf>
    <xf numFmtId="0" fontId="53" fillId="66" borderId="44" applyAlignment="1" pivotButton="0" quotePrefix="0" xfId="0">
      <alignment horizontal="center" vertical="center" wrapText="1"/>
    </xf>
    <xf numFmtId="0" fontId="21" fillId="63" borderId="43" applyAlignment="1" pivotButton="0" quotePrefix="0" xfId="0">
      <alignment horizontal="right" vertical="center"/>
    </xf>
    <xf numFmtId="0" fontId="0" fillId="0" borderId="36" pivotButton="0" quotePrefix="0" xfId="0"/>
    <xf numFmtId="0" fontId="0" fillId="0" borderId="37" pivotButton="0" quotePrefix="0" xfId="0"/>
    <xf numFmtId="0" fontId="44" fillId="60" borderId="21" applyAlignment="1" pivotButton="0" quotePrefix="0" xfId="0">
      <alignment horizontal="center" vertical="center" wrapText="1"/>
    </xf>
    <xf numFmtId="0" fontId="0" fillId="0" borderId="0" pivotButton="0" quotePrefix="0" xfId="0"/>
    <xf numFmtId="0" fontId="43" fillId="59" borderId="21" applyAlignment="1" pivotButton="0" quotePrefix="0" xfId="0">
      <alignment horizontal="center" vertical="center" wrapText="1"/>
    </xf>
    <xf numFmtId="0" fontId="21" fillId="20" borderId="32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4" pivotButton="0" quotePrefix="0" xfId="0"/>
    <xf numFmtId="0" fontId="18" fillId="16" borderId="21" applyAlignment="1" pivotButton="0" quotePrefix="0" xfId="0">
      <alignment horizontal="center" vertical="center" wrapText="1"/>
    </xf>
    <xf numFmtId="0" fontId="17" fillId="15" borderId="21" applyAlignment="1" pivotButton="0" quotePrefix="0" xfId="0">
      <alignment horizontal="center" vertical="center" wrapText="1"/>
    </xf>
    <xf numFmtId="0" fontId="25" fillId="26" borderId="43" applyAlignment="1" pivotButton="0" quotePrefix="0" xfId="0">
      <alignment horizontal="right" vertical="center"/>
    </xf>
    <xf numFmtId="0" fontId="18" fillId="22" borderId="21" applyAlignment="1" pivotButton="0" quotePrefix="0" xfId="0">
      <alignment horizontal="center" vertical="center" wrapText="1"/>
    </xf>
    <xf numFmtId="0" fontId="12" fillId="21" borderId="21" applyAlignment="1" pivotButton="0" quotePrefix="0" xfId="0">
      <alignment horizontal="center" vertical="center" wrapText="1"/>
    </xf>
    <xf numFmtId="0" fontId="12" fillId="48" borderId="21" applyAlignment="1" pivotButton="0" quotePrefix="0" xfId="0">
      <alignment horizontal="center" vertical="center" wrapText="1"/>
    </xf>
    <xf numFmtId="0" fontId="18" fillId="49" borderId="21" applyAlignment="1" pivotButton="0" quotePrefix="0" xfId="0">
      <alignment horizontal="center" vertical="center" wrapText="1"/>
    </xf>
    <xf numFmtId="0" fontId="30" fillId="52" borderId="43" applyAlignment="1" pivotButton="0" quotePrefix="0" xfId="0">
      <alignment horizontal="right" vertical="center"/>
    </xf>
    <xf numFmtId="0" fontId="13" fillId="48" borderId="21" applyAlignment="1" pivotButton="0" quotePrefix="0" xfId="0">
      <alignment horizontal="left" vertical="center" indent="1"/>
    </xf>
    <xf numFmtId="0" fontId="21" fillId="52" borderId="43" applyAlignment="1" pivotButton="0" quotePrefix="0" xfId="0">
      <alignment horizontal="right" vertical="center"/>
    </xf>
    <xf numFmtId="0" fontId="32" fillId="56" borderId="42" applyAlignment="1" pivotButton="0" quotePrefix="0" xfId="0">
      <alignment horizontal="center" vertical="center" wrapText="1"/>
    </xf>
    <xf numFmtId="0" fontId="0" fillId="0" borderId="20" pivotButton="0" quotePrefix="0" xfId="0"/>
    <xf numFmtId="0" fontId="50" fillId="64" borderId="0" applyAlignment="1" pivotButton="0" quotePrefix="0" xfId="0">
      <alignment horizontal="center" vertical="center" wrapText="1"/>
    </xf>
    <xf numFmtId="0" fontId="34" fillId="56" borderId="42" applyAlignment="1" pivotButton="0" quotePrefix="0" xfId="0">
      <alignment horizontal="center" vertical="center" wrapText="1"/>
    </xf>
    <xf numFmtId="0" fontId="31" fillId="54" borderId="21" applyAlignment="1" pivotButton="0" quotePrefix="0" xfId="0">
      <alignment horizontal="center" vertical="center" wrapText="1"/>
    </xf>
    <xf numFmtId="0" fontId="38" fillId="54" borderId="21" applyAlignment="1" pivotButton="0" quotePrefix="0" xfId="0">
      <alignment horizontal="left" vertical="center" indent="1"/>
    </xf>
    <xf numFmtId="0" fontId="35" fillId="56" borderId="42" applyAlignment="1" pivotButton="0" quotePrefix="0" xfId="0">
      <alignment horizontal="center" vertical="center" wrapText="1"/>
    </xf>
    <xf numFmtId="0" fontId="33" fillId="56" borderId="42" applyAlignment="1" pivotButton="0" quotePrefix="0" xfId="0">
      <alignment horizontal="center" vertical="center" wrapText="1"/>
    </xf>
    <xf numFmtId="0" fontId="36" fillId="56" borderId="42" applyAlignment="1" pivotButton="0" quotePrefix="0" xfId="0">
      <alignment horizontal="center" vertical="center" wrapText="1"/>
    </xf>
    <xf numFmtId="0" fontId="18" fillId="55" borderId="21" applyAlignment="1" pivotButton="0" quotePrefix="0" xfId="0">
      <alignment horizontal="center" vertical="center" wrapText="1"/>
    </xf>
    <xf numFmtId="0" fontId="37" fillId="56" borderId="42" applyAlignment="1" pivotButton="0" quotePrefix="0" xfId="0">
      <alignment horizontal="center" vertical="center" wrapText="1"/>
    </xf>
    <xf numFmtId="166" fontId="3" fillId="0" borderId="8" applyAlignment="1" pivotButton="0" quotePrefix="0" xfId="1">
      <alignment horizontal="center" vertical="center"/>
    </xf>
    <xf numFmtId="0" fontId="0" fillId="0" borderId="3" pivotButton="0" quotePrefix="0" xfId="0"/>
    <xf numFmtId="49" fontId="5" fillId="2" borderId="8" applyAlignment="1" pivotButton="0" quotePrefix="0" xfId="0">
      <alignment horizontal="center" vertical="top" wrapText="1"/>
    </xf>
    <xf numFmtId="0" fontId="0" fillId="0" borderId="2" pivotButton="0" quotePrefix="0" xfId="0"/>
    <xf numFmtId="49" fontId="5" fillId="2" borderId="8" applyAlignment="1" pivotButton="0" quotePrefix="0" xfId="0">
      <alignment horizontal="center" vertical="center" wrapText="1"/>
    </xf>
    <xf numFmtId="49" fontId="5" fillId="2" borderId="8" applyAlignment="1" pivotButton="0" quotePrefix="0" xfId="0">
      <alignment horizontal="center" wrapText="1"/>
    </xf>
    <xf numFmtId="0" fontId="0" fillId="0" borderId="5" pivotButton="0" quotePrefix="0" xfId="0"/>
    <xf numFmtId="49" fontId="5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49" fontId="9" fillId="8" borderId="8" applyAlignment="1" pivotButton="0" quotePrefix="0" xfId="0">
      <alignment horizontal="center" vertical="center" wrapText="1"/>
    </xf>
    <xf numFmtId="49" fontId="9" fillId="6" borderId="8" applyAlignment="1" pivotButton="0" quotePrefix="0" xfId="0">
      <alignment horizontal="center" vertical="center" wrapText="1"/>
    </xf>
    <xf numFmtId="49" fontId="2" fillId="3" borderId="11" applyAlignment="1" pivotButton="0" quotePrefix="1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2" fillId="0" borderId="21" applyAlignment="1" pivotButton="0" quotePrefix="0" xfId="0">
      <alignment horizontal="left" vertical="top" wrapText="1"/>
    </xf>
    <xf numFmtId="49" fontId="5" fillId="6" borderId="8" applyAlignment="1" pivotButton="0" quotePrefix="0" xfId="0">
      <alignment horizontal="center" vertical="center" wrapText="1"/>
    </xf>
    <xf numFmtId="0" fontId="10" fillId="1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5" fillId="10" borderId="14" applyAlignment="1" pivotButton="0" quotePrefix="0" xfId="0">
      <alignment horizontal="center" vertical="center" wrapText="1"/>
    </xf>
    <xf numFmtId="164" fontId="2" fillId="0" borderId="19" applyAlignment="1" pivotButton="0" quotePrefix="0" xfId="0">
      <alignment horizontal="center" vertical="center" wrapText="1"/>
    </xf>
    <xf numFmtId="0" fontId="16" fillId="13" borderId="28" applyAlignment="1" pivotButton="0" quotePrefix="0" xfId="0">
      <alignment horizontal="center" vertical="center"/>
    </xf>
    <xf numFmtId="0" fontId="0" fillId="0" borderId="27" pivotButton="0" quotePrefix="0" xfId="0"/>
    <xf numFmtId="164" fontId="5" fillId="6" borderId="19" applyAlignment="1" pivotButton="0" quotePrefix="0" xfId="0">
      <alignment horizontal="center" vertical="center" wrapText="1"/>
    </xf>
    <xf numFmtId="0" fontId="3" fillId="8" borderId="0" applyAlignment="1" pivotButton="0" quotePrefix="0" xfId="0">
      <alignment vertical="center"/>
    </xf>
    <xf numFmtId="165" fontId="28" fillId="51" borderId="38" applyAlignment="1" pivotButton="0" quotePrefix="0" xfId="0">
      <alignment horizontal="center" vertical="center" wrapText="1"/>
    </xf>
    <xf numFmtId="165" fontId="28" fillId="50" borderId="38" applyAlignment="1" pivotButton="0" quotePrefix="0" xfId="0">
      <alignment horizontal="center" vertical="center" wrapText="1"/>
    </xf>
    <xf numFmtId="0" fontId="32" fillId="56" borderId="44" applyAlignment="1" pivotButton="0" quotePrefix="0" xfId="0">
      <alignment horizontal="center" vertical="center" wrapText="1"/>
    </xf>
    <xf numFmtId="0" fontId="33" fillId="56" borderId="44" applyAlignment="1" pivotButton="0" quotePrefix="0" xfId="0">
      <alignment horizontal="center" vertical="center" wrapText="1"/>
    </xf>
    <xf numFmtId="0" fontId="35" fillId="56" borderId="44" applyAlignment="1" pivotButton="0" quotePrefix="0" xfId="0">
      <alignment horizontal="center" vertical="center" wrapText="1"/>
    </xf>
    <xf numFmtId="0" fontId="36" fillId="56" borderId="44" applyAlignment="1" pivotButton="0" quotePrefix="0" xfId="0">
      <alignment horizontal="center" vertical="center" wrapText="1"/>
    </xf>
    <xf numFmtId="0" fontId="37" fillId="56" borderId="44" applyAlignment="1" pivotButton="0" quotePrefix="0" xfId="0">
      <alignment horizontal="center" vertical="center" wrapText="1"/>
    </xf>
    <xf numFmtId="0" fontId="34" fillId="56" borderId="44" applyAlignment="1" pivotButton="0" quotePrefix="0" xfId="0">
      <alignment horizontal="center" vertical="center" wrapText="1"/>
    </xf>
    <xf numFmtId="0" fontId="41" fillId="67" borderId="40" applyAlignment="1" pivotButton="0" quotePrefix="0" xfId="0">
      <alignment horizontal="center" vertical="center" wrapText="1"/>
    </xf>
    <xf numFmtId="0" fontId="41" fillId="0" borderId="40" applyAlignment="1" pivotButton="0" quotePrefix="0" xfId="0">
      <alignment horizontal="center" vertical="center" wrapText="1"/>
    </xf>
    <xf numFmtId="0" fontId="50" fillId="64" borderId="21" applyAlignment="1" pivotButton="0" quotePrefix="0" xfId="0">
      <alignment horizontal="center" vertical="center" wrapText="1"/>
    </xf>
    <xf numFmtId="0" fontId="52" fillId="67" borderId="44" applyAlignment="1" pivotButton="0" quotePrefix="0" xfId="0">
      <alignment horizontal="center" vertical="center" wrapText="1"/>
    </xf>
    <xf numFmtId="164" fontId="5" fillId="9" borderId="8" applyAlignment="1" pivotButton="0" quotePrefix="0" xfId="0">
      <alignment horizontal="center" vertical="center" wrapText="1"/>
    </xf>
    <xf numFmtId="164" fontId="5" fillId="6" borderId="8" applyAlignment="1" pivotButton="0" quotePrefix="0" xfId="0">
      <alignment horizontal="center" vertical="center" wrapText="1"/>
    </xf>
    <xf numFmtId="164" fontId="5" fillId="7" borderId="8" applyAlignment="1" pivotButton="0" quotePrefix="0" xfId="0">
      <alignment horizontal="center" vertical="center" wrapText="1"/>
    </xf>
    <xf numFmtId="164" fontId="5" fillId="5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vertical="center"/>
    </xf>
    <xf numFmtId="166" fontId="3" fillId="0" borderId="8" applyAlignment="1" pivotButton="0" quotePrefix="0" xfId="1">
      <alignment horizontal="center" vertical="center"/>
    </xf>
    <xf numFmtId="164" fontId="5" fillId="11" borderId="8" applyAlignment="1" pivotButton="0" quotePrefix="0" xfId="0">
      <alignment horizontal="center" vertical="center" wrapText="1"/>
    </xf>
    <xf numFmtId="164" fontId="5" fillId="6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vertical="center"/>
    </xf>
    <xf numFmtId="164" fontId="5" fillId="6" borderId="19" applyAlignment="1" pivotButton="0" quotePrefix="0" xfId="0">
      <alignment horizontal="center" vertical="center" wrapText="1"/>
    </xf>
    <xf numFmtId="164" fontId="2" fillId="0" borderId="19" applyAlignment="1" pivotButton="0" quotePrefix="0" xfId="0">
      <alignment horizontal="center" vertical="center" wrapText="1"/>
    </xf>
    <xf numFmtId="164" fontId="3" fillId="6" borderId="23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3" fillId="7" borderId="25" applyAlignment="1" pivotButton="0" quotePrefix="0" xfId="0">
      <alignment vertical="center"/>
    </xf>
    <xf numFmtId="164" fontId="16" fillId="13" borderId="26" applyAlignment="1" pivotButton="0" quotePrefix="0" xfId="0">
      <alignment vertical="center"/>
    </xf>
    <xf numFmtId="0" fontId="47" fillId="44" borderId="38" applyAlignment="1" pivotButton="0" quotePrefix="0" xfId="0">
      <alignment horizontal="center" vertical="center" wrapText="1"/>
    </xf>
    <xf numFmtId="0" fontId="48" fillId="34" borderId="38" applyAlignment="1" pivotButton="0" quotePrefix="0" xfId="0">
      <alignment horizontal="center" vertical="center" wrapText="1"/>
    </xf>
    <xf numFmtId="0" fontId="47" fillId="46" borderId="38" applyAlignment="1" pivotButton="0" quotePrefix="0" xfId="0">
      <alignment horizontal="center" vertical="center" wrapText="1"/>
    </xf>
    <xf numFmtId="0" fontId="47" fillId="47" borderId="38" applyAlignment="1" pivotButton="0" quotePrefix="0" xfId="0">
      <alignment horizontal="center" vertical="center" wrapText="1"/>
    </xf>
    <xf numFmtId="0" fontId="48" fillId="43" borderId="38" applyAlignment="1" pivotButton="0" quotePrefix="0" xfId="0">
      <alignment horizontal="center" vertical="center" wrapText="1"/>
    </xf>
    <xf numFmtId="0" fontId="48" fillId="45" borderId="38" applyAlignment="1" pivotButton="0" quotePrefix="0" xfId="0">
      <alignment horizontal="center" vertical="center" wrapText="1"/>
    </xf>
    <xf numFmtId="0" fontId="47" fillId="13" borderId="38" applyAlignment="1" pivotButton="0" quotePrefix="0" xfId="0">
      <alignment horizontal="center" vertical="center" wrapText="1"/>
    </xf>
    <xf numFmtId="0" fontId="47" fillId="3" borderId="38" applyAlignment="1" pivotButton="0" quotePrefix="0" xfId="0">
      <alignment horizontal="center" vertical="center" wrapText="1"/>
    </xf>
    <xf numFmtId="0" fontId="28" fillId="61" borderId="38" applyAlignment="1" pivotButton="0" quotePrefix="0" xfId="0">
      <alignment horizontal="center" vertical="center" wrapText="1"/>
    </xf>
    <xf numFmtId="0" fontId="27" fillId="61" borderId="38" applyAlignment="1" pivotButton="0" quotePrefix="0" xfId="0">
      <alignment horizontal="center" vertical="center" wrapText="1"/>
    </xf>
    <xf numFmtId="0" fontId="27" fillId="61" borderId="38" applyAlignment="1" pivotButton="0" quotePrefix="0" xfId="0">
      <alignment horizontal="left" vertical="center" wrapText="1"/>
    </xf>
    <xf numFmtId="0" fontId="28" fillId="61" borderId="38" applyAlignment="1" pivotButton="0" quotePrefix="0" xfId="0">
      <alignment horizontal="left" vertical="center" wrapText="1"/>
    </xf>
    <xf numFmtId="0" fontId="28" fillId="62" borderId="38" applyAlignment="1" pivotButton="0" quotePrefix="0" xfId="0">
      <alignment horizontal="center" vertical="center" wrapText="1"/>
    </xf>
    <xf numFmtId="0" fontId="27" fillId="62" borderId="38" applyAlignment="1" pivotButton="0" quotePrefix="0" xfId="0">
      <alignment horizontal="center" vertical="center" wrapText="1"/>
    </xf>
    <xf numFmtId="0" fontId="27" fillId="62" borderId="38" applyAlignment="1" pivotButton="0" quotePrefix="0" xfId="0">
      <alignment horizontal="left" vertical="center" wrapText="1"/>
    </xf>
    <xf numFmtId="0" fontId="28" fillId="62" borderId="38" applyAlignment="1" pivotButton="0" quotePrefix="0" xfId="0">
      <alignment horizontal="left" vertical="center" wrapText="1"/>
    </xf>
    <xf numFmtId="0" fontId="48" fillId="45" borderId="42" applyAlignment="1" pivotButton="0" quotePrefix="0" xfId="0">
      <alignment horizontal="left" vertical="center" wrapText="1"/>
    </xf>
    <xf numFmtId="0" fontId="47" fillId="44" borderId="42" applyAlignment="1" pivotButton="0" quotePrefix="0" xfId="0">
      <alignment horizontal="left" vertical="center" wrapText="1"/>
    </xf>
    <xf numFmtId="0" fontId="47" fillId="47" borderId="42" applyAlignment="1" pivotButton="0" quotePrefix="0" xfId="0">
      <alignment horizontal="left" vertical="center" wrapText="1"/>
    </xf>
    <xf numFmtId="0" fontId="48" fillId="43" borderId="42" applyAlignment="1" pivotButton="0" quotePrefix="0" xfId="0">
      <alignment horizontal="left" vertical="center" wrapText="1"/>
    </xf>
    <xf numFmtId="0" fontId="47" fillId="13" borderId="42" applyAlignment="1" pivotButton="0" quotePrefix="0" xfId="0">
      <alignment horizontal="left" vertical="center" wrapText="1"/>
    </xf>
    <xf numFmtId="0" fontId="47" fillId="46" borderId="42" applyAlignment="1" pivotButton="0" quotePrefix="0" xfId="0">
      <alignment horizontal="left" vertical="center" wrapText="1"/>
    </xf>
    <xf numFmtId="0" fontId="49" fillId="63" borderId="43" applyAlignment="1" pivotButton="0" quotePrefix="0" xfId="0">
      <alignment horizontal="right" vertical="center"/>
    </xf>
    <xf numFmtId="0" fontId="1" fillId="0" borderId="21" pivotButton="0" quotePrefix="0" xfId="0"/>
    <xf numFmtId="0" fontId="38" fillId="64" borderId="21" applyAlignment="1" pivotButton="0" quotePrefix="0" xfId="0">
      <alignment horizontal="left" vertical="center" indent="1"/>
    </xf>
    <xf numFmtId="0" fontId="45" fillId="64" borderId="44" applyAlignment="1" pivotButton="0" quotePrefix="0" xfId="0">
      <alignment horizontal="center" vertical="center" wrapText="1"/>
    </xf>
    <xf numFmtId="0" fontId="46" fillId="61" borderId="44" applyAlignment="1" pivotButton="0" quotePrefix="0" xfId="0">
      <alignment horizontal="center" vertical="center" wrapText="1"/>
    </xf>
    <xf numFmtId="0" fontId="47" fillId="61" borderId="44" applyAlignment="1" pivotButton="0" quotePrefix="0" xfId="0">
      <alignment horizontal="center" vertical="center" wrapText="1"/>
    </xf>
    <xf numFmtId="0" fontId="47" fillId="61" borderId="44" applyAlignment="1" pivotButton="0" quotePrefix="0" xfId="0">
      <alignment horizontal="left" vertical="center" wrapText="1"/>
    </xf>
    <xf numFmtId="0" fontId="47" fillId="44" borderId="44" applyAlignment="1" pivotButton="0" quotePrefix="0" xfId="0">
      <alignment horizontal="center" vertical="center" wrapText="1"/>
    </xf>
    <xf numFmtId="0" fontId="46" fillId="61" borderId="44" applyAlignment="1" pivotButton="0" quotePrefix="0" xfId="0">
      <alignment horizontal="left" vertical="center" wrapText="1"/>
    </xf>
    <xf numFmtId="0" fontId="46" fillId="62" borderId="44" applyAlignment="1" pivotButton="0" quotePrefix="0" xfId="0">
      <alignment horizontal="center" vertical="center" wrapText="1"/>
    </xf>
    <xf numFmtId="0" fontId="47" fillId="62" borderId="44" applyAlignment="1" pivotButton="0" quotePrefix="0" xfId="0">
      <alignment horizontal="center" vertical="center" wrapText="1"/>
    </xf>
    <xf numFmtId="0" fontId="47" fillId="62" borderId="44" applyAlignment="1" pivotButton="0" quotePrefix="0" xfId="0">
      <alignment horizontal="left" vertical="center" wrapText="1"/>
    </xf>
    <xf numFmtId="0" fontId="46" fillId="62" borderId="44" applyAlignment="1" pivotButton="0" quotePrefix="0" xfId="0">
      <alignment horizontal="left" vertical="center" wrapText="1"/>
    </xf>
    <xf numFmtId="0" fontId="48" fillId="34" borderId="44" applyAlignment="1" pivotButton="0" quotePrefix="0" xfId="0">
      <alignment horizontal="center" vertical="center" wrapText="1"/>
    </xf>
    <xf numFmtId="0" fontId="47" fillId="46" borderId="44" applyAlignment="1" pivotButton="0" quotePrefix="0" xfId="0">
      <alignment horizontal="center" vertical="center" wrapText="1"/>
    </xf>
    <xf numFmtId="0" fontId="47" fillId="47" borderId="44" applyAlignment="1" pivotButton="0" quotePrefix="0" xfId="0">
      <alignment horizontal="center" vertical="center" wrapText="1"/>
    </xf>
    <xf numFmtId="0" fontId="48" fillId="43" borderId="44" applyAlignment="1" pivotButton="0" quotePrefix="0" xfId="0">
      <alignment horizontal="center" vertical="center" wrapText="1"/>
    </xf>
    <xf numFmtId="0" fontId="48" fillId="45" borderId="44" applyAlignment="1" pivotButton="0" quotePrefix="0" xfId="0">
      <alignment horizontal="center" vertical="center" wrapText="1"/>
    </xf>
    <xf numFmtId="0" fontId="47" fillId="13" borderId="44" applyAlignment="1" pivotButton="0" quotePrefix="0" xfId="0">
      <alignment horizontal="center" vertical="center" wrapText="1"/>
    </xf>
    <xf numFmtId="0" fontId="47" fillId="44" borderId="44" applyAlignment="1" pivotButton="0" quotePrefix="0" xfId="0">
      <alignment horizontal="left" vertical="center" wrapText="1"/>
    </xf>
    <xf numFmtId="0" fontId="46" fillId="67" borderId="44" applyAlignment="1" pivotButton="0" quotePrefix="0" xfId="0">
      <alignment horizontal="center" vertical="center" wrapText="1"/>
    </xf>
    <xf numFmtId="0" fontId="46" fillId="0" borderId="44" applyAlignment="1" pivotButton="0" quotePrefix="0" xfId="0">
      <alignment horizontal="center" vertical="center" wrapText="1"/>
    </xf>
    <xf numFmtId="0" fontId="48" fillId="34" borderId="44" applyAlignment="1" pivotButton="0" quotePrefix="0" xfId="0">
      <alignment horizontal="left" vertical="center" wrapText="1"/>
    </xf>
    <xf numFmtId="0" fontId="47" fillId="46" borderId="44" applyAlignment="1" pivotButton="0" quotePrefix="0" xfId="0">
      <alignment horizontal="left" vertical="center" wrapText="1"/>
    </xf>
    <xf numFmtId="0" fontId="47" fillId="47" borderId="44" applyAlignment="1" pivotButton="0" quotePrefix="0" xfId="0">
      <alignment horizontal="left" vertical="center" wrapText="1"/>
    </xf>
    <xf numFmtId="0" fontId="47" fillId="13" borderId="44" applyAlignment="1" pivotButton="0" quotePrefix="0" xfId="0">
      <alignment horizontal="left" vertical="center" wrapText="1"/>
    </xf>
    <xf numFmtId="0" fontId="48" fillId="45" borderId="44" applyAlignment="1" pivotButton="0" quotePrefix="0" xfId="0">
      <alignment horizontal="left" vertical="center" wrapText="1"/>
    </xf>
    <xf numFmtId="0" fontId="48" fillId="43" borderId="44" applyAlignment="1" pivotButton="0" quotePrefix="0" xfId="0">
      <alignment horizontal="left" vertical="center" wrapText="1"/>
    </xf>
  </cellXfs>
  <cellStyles count="3">
    <cellStyle name="Normal" xfId="0" builtinId="0"/>
    <cellStyle name="Millares" xfId="1" builtinId="3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B365D"/>
    <outlinePr summaryBelow="1" summaryRight="1"/>
    <pageSetUpPr/>
  </sheetPr>
  <dimension ref="A1:N147"/>
  <sheetViews>
    <sheetView topLeftCell="F137" zoomScale="88" workbookViewId="0">
      <selection activeCell="R13" sqref="R13"/>
    </sheetView>
  </sheetViews>
  <sheetFormatPr baseColWidth="10" defaultColWidth="8.88671875" defaultRowHeight="14.4"/>
  <cols>
    <col width="6" customWidth="1" style="227" min="1" max="1"/>
    <col width="14" customWidth="1" style="227" min="2" max="2"/>
    <col width="10" customWidth="1" style="227" min="3" max="3"/>
    <col width="34" customWidth="1" style="227" min="4" max="4"/>
    <col width="16" customWidth="1" style="227" min="5" max="5"/>
    <col width="92.6640625" bestFit="1" customWidth="1" style="227" min="6" max="6"/>
    <col width="18.44140625" bestFit="1" customWidth="1" style="227" min="7" max="7"/>
    <col width="18" customWidth="1" style="227" min="8" max="9"/>
    <col width="16" customWidth="1" style="227" min="10" max="10"/>
    <col width="20" customWidth="1" style="227" min="11" max="11"/>
    <col width="12" customWidth="1" style="227" min="12" max="13"/>
    <col width="13" customWidth="1" style="227" min="14" max="14"/>
  </cols>
  <sheetData>
    <row r="1" ht="30" customHeight="1" s="227">
      <c r="A1" s="233" t="inlineStr">
        <is>
          <t>CONTROL DE INVENTARIO DE EQUIPOS MÉDICOS - LICITACIÓN SEDENA 2026-2027</t>
        </is>
      </c>
    </row>
    <row r="2" ht="22.05" customHeight="1" s="227">
      <c r="A2" s="232" t="inlineStr">
        <is>
          <t>MEDICAL DIMEGAR, S.A. DE C.V. | INVENTARIO DE EQUIPOS | COBERTURA EN 37 UNIDADES MILITARES</t>
        </is>
      </c>
    </row>
    <row r="3" ht="28.05" customHeight="1" s="227">
      <c r="A3" s="126" t="inlineStr">
        <is>
          <t>No.</t>
        </is>
      </c>
      <c r="B3" s="126" t="inlineStr">
        <is>
          <t>Folio Control</t>
        </is>
      </c>
      <c r="C3" s="126" t="inlineStr">
        <is>
          <t>Partida</t>
        </is>
      </c>
      <c r="D3" s="126" t="inlineStr">
        <is>
          <t>Hospital Militar / Unidad Médica</t>
        </is>
      </c>
      <c r="E3" s="126" t="inlineStr">
        <is>
          <t>Entidad Federativa</t>
        </is>
      </c>
      <c r="F3" s="126" t="inlineStr">
        <is>
          <t>Equipo Médico / Denominación Oficial</t>
        </is>
      </c>
      <c r="G3" s="126" t="inlineStr">
        <is>
          <t>Marca</t>
        </is>
      </c>
      <c r="H3" s="126" t="inlineStr">
        <is>
          <t>Modelo</t>
        </is>
      </c>
      <c r="I3" s="126" t="inlineStr">
        <is>
          <t>No. de Serie (N/S)</t>
        </is>
      </c>
      <c r="J3" s="126" t="inlineStr">
        <is>
          <t>Especialidad Médica</t>
        </is>
      </c>
      <c r="K3" s="126" t="inlineStr">
        <is>
          <t>Proveedor Soporte / Especialista</t>
        </is>
      </c>
      <c r="L3" s="126" t="inlineStr">
        <is>
          <t>Servicios 2026</t>
        </is>
      </c>
      <c r="M3" s="126" t="inlineStr">
        <is>
          <t>Servicios 2027</t>
        </is>
      </c>
      <c r="N3" s="126" t="inlineStr">
        <is>
          <t>Total Servicios</t>
        </is>
      </c>
    </row>
    <row r="4" ht="19.95" customHeight="1" s="227">
      <c r="A4" s="128" t="n">
        <v>1</v>
      </c>
      <c r="B4" s="128" t="inlineStr">
        <is>
          <t>BM-001</t>
        </is>
      </c>
      <c r="C4" s="134" t="n">
        <v>6</v>
      </c>
      <c r="D4" s="135" t="inlineStr">
        <is>
          <t>H.C.M. Lomas de Sotelo</t>
        </is>
      </c>
      <c r="E4" s="128" t="inlineStr">
        <is>
          <t>CDMX</t>
        </is>
      </c>
      <c r="F4" s="129" t="inlineStr">
        <is>
          <t>Microscopio avanzado, marca Leica, modelo M320F12</t>
        </is>
      </c>
      <c r="G4" s="129" t="inlineStr">
        <is>
          <t>Leica</t>
        </is>
      </c>
      <c r="H4" s="129" t="inlineStr">
        <is>
          <t>M320F12</t>
        </is>
      </c>
      <c r="I4" s="128" t="inlineStr">
        <is>
          <t>10724001</t>
        </is>
      </c>
      <c r="J4" s="128" t="inlineStr">
        <is>
          <t>OFTALMO</t>
        </is>
      </c>
      <c r="K4" s="128" t="inlineStr">
        <is>
          <t>COINDISA</t>
        </is>
      </c>
      <c r="L4" s="128" t="n">
        <v>1</v>
      </c>
      <c r="M4" s="128" t="n">
        <v>2</v>
      </c>
      <c r="N4" s="128">
        <f>L4+M4</f>
        <v/>
      </c>
    </row>
    <row r="5" ht="19.95" customHeight="1" s="227">
      <c r="A5" s="130" t="n">
        <v>2</v>
      </c>
      <c r="B5" s="130" t="inlineStr">
        <is>
          <t>BM-002</t>
        </is>
      </c>
      <c r="C5" s="130" t="n">
        <v>16</v>
      </c>
      <c r="D5" s="131" t="inlineStr">
        <is>
          <t>H.M.Z. Ixcotel</t>
        </is>
      </c>
      <c r="E5" s="130" t="inlineStr">
        <is>
          <t>OAXACA</t>
        </is>
      </c>
      <c r="F5" s="131" t="inlineStr">
        <is>
          <t>Sistema de diagnóstico oftálmico avanzado, marca Heidelberg Engineering, modelo Anterion</t>
        </is>
      </c>
      <c r="G5" s="131" t="inlineStr">
        <is>
          <t>Heidelberg Engineering</t>
        </is>
      </c>
      <c r="H5" s="131" t="inlineStr">
        <is>
          <t>Anterion</t>
        </is>
      </c>
      <c r="I5" s="130" t="inlineStr">
        <is>
          <t>01827B0106</t>
        </is>
      </c>
      <c r="J5" s="130" t="inlineStr">
        <is>
          <t>OFTALMO</t>
        </is>
      </c>
      <c r="K5" s="130" t="inlineStr">
        <is>
          <t>ARFAMEX</t>
        </is>
      </c>
      <c r="L5" s="130" t="n">
        <v>1</v>
      </c>
      <c r="M5" s="130" t="n">
        <v>2</v>
      </c>
      <c r="N5" s="130">
        <f>L5+M5</f>
        <v/>
      </c>
    </row>
    <row r="6" ht="19.95" customHeight="1" s="227">
      <c r="A6" s="128" t="n">
        <v>3</v>
      </c>
      <c r="B6" s="128" t="inlineStr">
        <is>
          <t>BM-003</t>
        </is>
      </c>
      <c r="C6" s="128" t="n">
        <v>17</v>
      </c>
      <c r="D6" s="129" t="inlineStr">
        <is>
          <t>H.M.Z. Ixcotel</t>
        </is>
      </c>
      <c r="E6" s="128" t="inlineStr">
        <is>
          <t>OAXACA</t>
        </is>
      </c>
      <c r="F6" s="129" t="inlineStr">
        <is>
          <t>Sistema de diagnóstico oftálmico avanzado, marca Heidelberg Engineering, modelo Spectralis</t>
        </is>
      </c>
      <c r="G6" s="129" t="inlineStr">
        <is>
          <t>Heidelberg Engineering</t>
        </is>
      </c>
      <c r="H6" s="129" t="inlineStr">
        <is>
          <t>Spectralis</t>
        </is>
      </c>
      <c r="I6" s="128" t="inlineStr">
        <is>
          <t>SPEC-CAM-22694-S3610</t>
        </is>
      </c>
      <c r="J6" s="128" t="inlineStr">
        <is>
          <t>OFTALMO</t>
        </is>
      </c>
      <c r="K6" s="128" t="inlineStr">
        <is>
          <t>ARFAMEX</t>
        </is>
      </c>
      <c r="L6" s="128" t="n">
        <v>1</v>
      </c>
      <c r="M6" s="128" t="n">
        <v>2</v>
      </c>
      <c r="N6" s="128">
        <f>L6+M6</f>
        <v/>
      </c>
    </row>
    <row r="7" ht="19.95" customHeight="1" s="227">
      <c r="A7" s="130" t="n">
        <v>4</v>
      </c>
      <c r="B7" s="130" t="inlineStr">
        <is>
          <t>BM-004</t>
        </is>
      </c>
      <c r="C7" s="130" t="n">
        <v>19</v>
      </c>
      <c r="D7" s="131" t="inlineStr">
        <is>
          <t>H.M.E.O. Constituyentes</t>
        </is>
      </c>
      <c r="E7" s="130" t="inlineStr">
        <is>
          <t>CDMX</t>
        </is>
      </c>
      <c r="F7" s="131" t="inlineStr">
        <is>
          <t>Sistema de facoemulsificación, marca Alcon, modelo Centurion</t>
        </is>
      </c>
      <c r="G7" s="131" t="inlineStr">
        <is>
          <t>Alcon</t>
        </is>
      </c>
      <c r="H7" s="131" t="inlineStr">
        <is>
          <t>Centurion</t>
        </is>
      </c>
      <c r="I7" s="130" t="inlineStr">
        <is>
          <t>2201601801X</t>
        </is>
      </c>
      <c r="J7" s="130" t="inlineStr">
        <is>
          <t>OFTALMO</t>
        </is>
      </c>
      <c r="K7" s="130" t="inlineStr">
        <is>
          <t>ALCON</t>
        </is>
      </c>
      <c r="L7" s="130" t="n">
        <v>1</v>
      </c>
      <c r="M7" s="130" t="n">
        <v>2</v>
      </c>
      <c r="N7" s="130">
        <f>L7+M7</f>
        <v/>
      </c>
    </row>
    <row r="8" ht="19.95" customHeight="1" s="227">
      <c r="A8" s="128" t="n">
        <v>5</v>
      </c>
      <c r="B8" s="128" t="inlineStr">
        <is>
          <t>BM-005</t>
        </is>
      </c>
      <c r="C8" s="128" t="n">
        <v>20</v>
      </c>
      <c r="D8" s="129" t="inlineStr">
        <is>
          <t>H.M.E.O. Constituyentes</t>
        </is>
      </c>
      <c r="E8" s="128" t="inlineStr">
        <is>
          <t>CDMX</t>
        </is>
      </c>
      <c r="F8" s="129" t="inlineStr">
        <is>
          <t>Sistema de facoemulsificación, marca Alcon, modelo Centurion</t>
        </is>
      </c>
      <c r="G8" s="129" t="inlineStr">
        <is>
          <t>Alcon</t>
        </is>
      </c>
      <c r="H8" s="129" t="inlineStr">
        <is>
          <t>Centurion</t>
        </is>
      </c>
      <c r="I8" s="128" t="inlineStr">
        <is>
          <t>2201483301X</t>
        </is>
      </c>
      <c r="J8" s="128" t="inlineStr">
        <is>
          <t>OFTALMO</t>
        </is>
      </c>
      <c r="K8" s="128" t="inlineStr">
        <is>
          <t>ALCON</t>
        </is>
      </c>
      <c r="L8" s="128" t="n">
        <v>1</v>
      </c>
      <c r="M8" s="128" t="n">
        <v>2</v>
      </c>
      <c r="N8" s="128">
        <f>L8+M8</f>
        <v/>
      </c>
    </row>
    <row r="9" ht="19.95" customHeight="1" s="227">
      <c r="A9" s="130" t="n">
        <v>6</v>
      </c>
      <c r="B9" s="130" t="inlineStr">
        <is>
          <t>BM-006</t>
        </is>
      </c>
      <c r="C9" s="130" t="n">
        <v>21</v>
      </c>
      <c r="D9" s="131" t="inlineStr">
        <is>
          <t>H.M.E.O. Constituyentes</t>
        </is>
      </c>
      <c r="E9" s="130" t="inlineStr">
        <is>
          <t>CDMX</t>
        </is>
      </c>
      <c r="F9" s="131" t="inlineStr">
        <is>
          <t>Sistema de facoemulsificación, marca Alcon, modelo Centurion</t>
        </is>
      </c>
      <c r="G9" s="131" t="inlineStr">
        <is>
          <t>Alcon</t>
        </is>
      </c>
      <c r="H9" s="131" t="inlineStr">
        <is>
          <t>Centurion</t>
        </is>
      </c>
      <c r="I9" s="130" t="inlineStr">
        <is>
          <t>2201602101X</t>
        </is>
      </c>
      <c r="J9" s="130" t="inlineStr">
        <is>
          <t>OFTALMO</t>
        </is>
      </c>
      <c r="K9" s="130" t="inlineStr">
        <is>
          <t>ALCON</t>
        </is>
      </c>
      <c r="L9" s="130" t="n">
        <v>1</v>
      </c>
      <c r="M9" s="130" t="n">
        <v>2</v>
      </c>
      <c r="N9" s="130">
        <f>L9+M9</f>
        <v/>
      </c>
    </row>
    <row r="10" ht="19.95" customHeight="1" s="227">
      <c r="A10" s="128" t="n">
        <v>7</v>
      </c>
      <c r="B10" s="128" t="inlineStr">
        <is>
          <t>BM-007</t>
        </is>
      </c>
      <c r="C10" s="128" t="n">
        <v>22</v>
      </c>
      <c r="D10" s="129" t="inlineStr">
        <is>
          <t>H.M.E.O. Constituyentes</t>
        </is>
      </c>
      <c r="E10" s="128" t="inlineStr">
        <is>
          <t>CDMX</t>
        </is>
      </c>
      <c r="F10" s="129" t="inlineStr">
        <is>
          <t>Sistema de facoemulsificación, marca Alcon, modelo Centurion</t>
        </is>
      </c>
      <c r="G10" s="129" t="inlineStr">
        <is>
          <t>Alcon</t>
        </is>
      </c>
      <c r="H10" s="129" t="inlineStr">
        <is>
          <t>Centurion</t>
        </is>
      </c>
      <c r="I10" s="128" t="inlineStr">
        <is>
          <t>2202291501X</t>
        </is>
      </c>
      <c r="J10" s="128" t="inlineStr">
        <is>
          <t>OFTALMO</t>
        </is>
      </c>
      <c r="K10" s="128" t="inlineStr">
        <is>
          <t>ALCON</t>
        </is>
      </c>
      <c r="L10" s="128" t="n">
        <v>1</v>
      </c>
      <c r="M10" s="128" t="n">
        <v>2</v>
      </c>
      <c r="N10" s="128">
        <f>L10+M10</f>
        <v/>
      </c>
    </row>
    <row r="11" ht="19.95" customHeight="1" s="227">
      <c r="A11" s="130" t="n">
        <v>8</v>
      </c>
      <c r="B11" s="130" t="inlineStr">
        <is>
          <t>BM-008</t>
        </is>
      </c>
      <c r="C11" s="130" t="n">
        <v>23</v>
      </c>
      <c r="D11" s="131" t="inlineStr">
        <is>
          <t>H.M.E.O. Constituyentes</t>
        </is>
      </c>
      <c r="E11" s="130" t="inlineStr">
        <is>
          <t>CDMX</t>
        </is>
      </c>
      <c r="F11" s="131" t="inlineStr">
        <is>
          <t>Sistema de cirugía vitreorretiniana, marca Alcon, modelo Constellation</t>
        </is>
      </c>
      <c r="G11" s="131" t="inlineStr">
        <is>
          <t>Alcon</t>
        </is>
      </c>
      <c r="H11" s="131" t="inlineStr">
        <is>
          <t>Constellation</t>
        </is>
      </c>
      <c r="I11" s="130" t="inlineStr">
        <is>
          <t>2201508001X</t>
        </is>
      </c>
      <c r="J11" s="130" t="inlineStr">
        <is>
          <t>OFTALMO</t>
        </is>
      </c>
      <c r="K11" s="130" t="inlineStr">
        <is>
          <t>ALCON</t>
        </is>
      </c>
      <c r="L11" s="130" t="n">
        <v>1</v>
      </c>
      <c r="M11" s="130" t="n">
        <v>2</v>
      </c>
      <c r="N11" s="130">
        <f>L11+M11</f>
        <v/>
      </c>
    </row>
    <row r="12" ht="19.95" customHeight="1" s="227">
      <c r="A12" s="128" t="n">
        <v>9</v>
      </c>
      <c r="B12" s="128" t="inlineStr">
        <is>
          <t>BM-009</t>
        </is>
      </c>
      <c r="C12" s="128" t="n">
        <v>24</v>
      </c>
      <c r="D12" s="129" t="inlineStr">
        <is>
          <t>H.M.E.O. Constituyentes</t>
        </is>
      </c>
      <c r="E12" s="128" t="inlineStr">
        <is>
          <t>CDMX</t>
        </is>
      </c>
      <c r="F12" s="129" t="inlineStr">
        <is>
          <t>Sistema de cirugía vitreorretiniana, marca Alcon, modelo Constellation</t>
        </is>
      </c>
      <c r="G12" s="129" t="inlineStr">
        <is>
          <t>Alcon</t>
        </is>
      </c>
      <c r="H12" s="129" t="inlineStr">
        <is>
          <t>Constellation</t>
        </is>
      </c>
      <c r="I12" s="128" t="inlineStr">
        <is>
          <t>2201508101X</t>
        </is>
      </c>
      <c r="J12" s="128" t="inlineStr">
        <is>
          <t>OFTALMO</t>
        </is>
      </c>
      <c r="K12" s="128" t="inlineStr">
        <is>
          <t>ALCON</t>
        </is>
      </c>
      <c r="L12" s="128" t="n">
        <v>1</v>
      </c>
      <c r="M12" s="128" t="n">
        <v>2</v>
      </c>
      <c r="N12" s="128">
        <f>L12+M12</f>
        <v/>
      </c>
    </row>
    <row r="13" ht="19.95" customHeight="1" s="227">
      <c r="A13" s="130" t="n">
        <v>10</v>
      </c>
      <c r="B13" s="130" t="inlineStr">
        <is>
          <t>BM-010</t>
        </is>
      </c>
      <c r="C13" s="130" t="n">
        <v>25</v>
      </c>
      <c r="D13" s="131" t="inlineStr">
        <is>
          <t>H.M.E.O. Constituyentes</t>
        </is>
      </c>
      <c r="E13" s="130" t="inlineStr">
        <is>
          <t>CDMX</t>
        </is>
      </c>
      <c r="F13" s="131" t="inlineStr">
        <is>
          <t>Sistema de cirugía vitreorretiniana, marca Alcon, modelo Constellation</t>
        </is>
      </c>
      <c r="G13" s="131" t="inlineStr">
        <is>
          <t>Alcon</t>
        </is>
      </c>
      <c r="H13" s="131" t="inlineStr">
        <is>
          <t>Constellation</t>
        </is>
      </c>
      <c r="I13" s="130" t="inlineStr">
        <is>
          <t>2201541901X</t>
        </is>
      </c>
      <c r="J13" s="130" t="inlineStr">
        <is>
          <t>OFTALMO</t>
        </is>
      </c>
      <c r="K13" s="130" t="inlineStr">
        <is>
          <t>ALCON</t>
        </is>
      </c>
      <c r="L13" s="130" t="n">
        <v>1</v>
      </c>
      <c r="M13" s="130" t="n">
        <v>2</v>
      </c>
      <c r="N13" s="130">
        <f>L13+M13</f>
        <v/>
      </c>
    </row>
    <row r="14" ht="19.95" customHeight="1" s="227">
      <c r="A14" s="128" t="n">
        <v>11</v>
      </c>
      <c r="B14" s="128" t="inlineStr">
        <is>
          <t>BM-011</t>
        </is>
      </c>
      <c r="C14" s="128" t="n">
        <v>26</v>
      </c>
      <c r="D14" s="129" t="inlineStr">
        <is>
          <t>H.M.E.O. Constituyentes</t>
        </is>
      </c>
      <c r="E14" s="128" t="inlineStr">
        <is>
          <t>CDMX</t>
        </is>
      </c>
      <c r="F14" s="129" t="inlineStr">
        <is>
          <t>Láser de diodo, marca A.R.C. Laser, modelo FOX 810</t>
        </is>
      </c>
      <c r="G14" s="129" t="inlineStr">
        <is>
          <t>A.R.C. Laser</t>
        </is>
      </c>
      <c r="H14" s="129" t="inlineStr">
        <is>
          <t>FOX 810</t>
        </is>
      </c>
      <c r="I14" s="128" t="inlineStr">
        <is>
          <t>615423-AAAB</t>
        </is>
      </c>
      <c r="J14" s="128" t="inlineStr">
        <is>
          <t>OFTALMO</t>
        </is>
      </c>
      <c r="K14" s="128" t="inlineStr">
        <is>
          <t>MD</t>
        </is>
      </c>
      <c r="L14" s="128" t="n">
        <v>1</v>
      </c>
      <c r="M14" s="128" t="n">
        <v>2</v>
      </c>
      <c r="N14" s="128">
        <f>L14+M14</f>
        <v/>
      </c>
    </row>
    <row r="15" ht="19.95" customHeight="1" s="227">
      <c r="A15" s="130" t="n">
        <v>12</v>
      </c>
      <c r="B15" s="130" t="inlineStr">
        <is>
          <t>BM-012</t>
        </is>
      </c>
      <c r="C15" s="130" t="n">
        <v>27</v>
      </c>
      <c r="D15" s="131" t="inlineStr">
        <is>
          <t>H.M.E.O. Constituyentes</t>
        </is>
      </c>
      <c r="E15" s="130" t="inlineStr">
        <is>
          <t>CDMX</t>
        </is>
      </c>
      <c r="F15" s="131" t="inlineStr">
        <is>
          <t>Electroretinógrafo portátil, marca LKC, modelo RETeval</t>
        </is>
      </c>
      <c r="G15" s="131" t="inlineStr">
        <is>
          <t>LKC</t>
        </is>
      </c>
      <c r="H15" s="131" t="inlineStr">
        <is>
          <t>RETeval</t>
        </is>
      </c>
      <c r="I15" s="130" t="inlineStr">
        <is>
          <t>R002034</t>
        </is>
      </c>
      <c r="J15" s="130" t="inlineStr">
        <is>
          <t>OFTALMO</t>
        </is>
      </c>
      <c r="K15" s="130" t="inlineStr">
        <is>
          <t>ARFAMEX</t>
        </is>
      </c>
      <c r="L15" s="130" t="n">
        <v>1</v>
      </c>
      <c r="M15" s="130" t="n">
        <v>2</v>
      </c>
      <c r="N15" s="130">
        <f>L15+M15</f>
        <v/>
      </c>
    </row>
    <row r="16" ht="19.95" customHeight="1" s="227">
      <c r="A16" s="128" t="n">
        <v>13</v>
      </c>
      <c r="B16" s="128" t="inlineStr">
        <is>
          <t>BM-013</t>
        </is>
      </c>
      <c r="C16" s="128" t="n">
        <v>28</v>
      </c>
      <c r="D16" s="129" t="inlineStr">
        <is>
          <t>H.M.E.O. Constituyentes</t>
        </is>
      </c>
      <c r="E16" s="128" t="inlineStr">
        <is>
          <t>CDMX</t>
        </is>
      </c>
      <c r="F16" s="129" t="inlineStr">
        <is>
          <t>Electroretinógrafo portátil, marca LKC, modelo RETeval</t>
        </is>
      </c>
      <c r="G16" s="129" t="inlineStr">
        <is>
          <t>LKC</t>
        </is>
      </c>
      <c r="H16" s="129" t="inlineStr">
        <is>
          <t>RETeval</t>
        </is>
      </c>
      <c r="I16" s="128" t="inlineStr">
        <is>
          <t>R002556</t>
        </is>
      </c>
      <c r="J16" s="128" t="inlineStr">
        <is>
          <t>OFTALMO</t>
        </is>
      </c>
      <c r="K16" s="128" t="inlineStr">
        <is>
          <t>ARFAMEX</t>
        </is>
      </c>
      <c r="L16" s="128" t="n">
        <v>1</v>
      </c>
      <c r="M16" s="128" t="n">
        <v>2</v>
      </c>
      <c r="N16" s="128">
        <f>L16+M16</f>
        <v/>
      </c>
    </row>
    <row r="17" ht="19.95" customHeight="1" s="227">
      <c r="A17" s="130" t="n">
        <v>14</v>
      </c>
      <c r="B17" s="130" t="inlineStr">
        <is>
          <t>BM-014</t>
        </is>
      </c>
      <c r="C17" s="130" t="n">
        <v>29</v>
      </c>
      <c r="D17" s="131" t="inlineStr">
        <is>
          <t>H.M.E.O. Constituyentes</t>
        </is>
      </c>
      <c r="E17" s="130" t="inlineStr">
        <is>
          <t>CDMX</t>
        </is>
      </c>
      <c r="F17" s="131" t="inlineStr">
        <is>
          <t>Microscopio confocal, marca Heidelberg Engineering, modelo HRT3 RCM</t>
        </is>
      </c>
      <c r="G17" s="131" t="inlineStr">
        <is>
          <t>Heidelberg Engineering</t>
        </is>
      </c>
      <c r="H17" s="131" t="inlineStr">
        <is>
          <t>HRT3 RCM</t>
        </is>
      </c>
      <c r="I17" s="130" t="inlineStr">
        <is>
          <t>HRT3-08313</t>
        </is>
      </c>
      <c r="J17" s="130" t="inlineStr">
        <is>
          <t>OFTALMO</t>
        </is>
      </c>
      <c r="K17" s="130" t="inlineStr">
        <is>
          <t>ARFAMEX</t>
        </is>
      </c>
      <c r="L17" s="130" t="n">
        <v>1</v>
      </c>
      <c r="M17" s="130" t="n">
        <v>2</v>
      </c>
      <c r="N17" s="130">
        <f>L17+M17</f>
        <v/>
      </c>
    </row>
    <row r="18" ht="19.95" customHeight="1" s="227">
      <c r="A18" s="128" t="n">
        <v>15</v>
      </c>
      <c r="B18" s="128" t="inlineStr">
        <is>
          <t>BM-015</t>
        </is>
      </c>
      <c r="C18" s="128" t="n">
        <v>30</v>
      </c>
      <c r="D18" s="129" t="inlineStr">
        <is>
          <t>H.M.E.O. Constituyentes</t>
        </is>
      </c>
      <c r="E18" s="128" t="inlineStr">
        <is>
          <t>CDMX</t>
        </is>
      </c>
      <c r="F18" s="129" t="inlineStr">
        <is>
          <t>Topógrafo corneal con cámara Scheimpflug, marca Oculus, modelo Pentacam</t>
        </is>
      </c>
      <c r="G18" s="129" t="inlineStr">
        <is>
          <t>Oculus</t>
        </is>
      </c>
      <c r="H18" s="129" t="inlineStr">
        <is>
          <t>Pentacam</t>
        </is>
      </c>
      <c r="I18" s="128" t="inlineStr">
        <is>
          <t>7010054522270</t>
        </is>
      </c>
      <c r="J18" s="128" t="inlineStr">
        <is>
          <t>OFTALMO</t>
        </is>
      </c>
      <c r="K18" s="128" t="inlineStr">
        <is>
          <t>CYAN</t>
        </is>
      </c>
      <c r="L18" s="128" t="n">
        <v>1</v>
      </c>
      <c r="M18" s="128" t="n">
        <v>2</v>
      </c>
      <c r="N18" s="128">
        <f>L18+M18</f>
        <v/>
      </c>
    </row>
    <row r="19" ht="19.95" customHeight="1" s="227">
      <c r="A19" s="130" t="n">
        <v>16</v>
      </c>
      <c r="B19" s="130" t="inlineStr">
        <is>
          <t>BM-016</t>
        </is>
      </c>
      <c r="C19" s="130" t="n">
        <v>32</v>
      </c>
      <c r="D19" s="131" t="inlineStr">
        <is>
          <t>H.M.E.O. Constituyentes</t>
        </is>
      </c>
      <c r="E19" s="130" t="inlineStr">
        <is>
          <t>CDMX</t>
        </is>
      </c>
      <c r="F19" s="131" t="inlineStr">
        <is>
          <t>Sistema de fotocoagulación láser con estación de trabajo, marca OD-OS, modelo Navilas</t>
        </is>
      </c>
      <c r="G19" s="131" t="inlineStr">
        <is>
          <t>OD-OS</t>
        </is>
      </c>
      <c r="H19" s="131" t="inlineStr">
        <is>
          <t>Navilas</t>
        </is>
      </c>
      <c r="I19" s="130" t="inlineStr">
        <is>
          <t>158000-3215</t>
        </is>
      </c>
      <c r="J19" s="130" t="inlineStr">
        <is>
          <t>OFTALMO</t>
        </is>
      </c>
      <c r="K19" s="130" t="inlineStr">
        <is>
          <t>FARBAC</t>
        </is>
      </c>
      <c r="L19" s="130" t="n">
        <v>1</v>
      </c>
      <c r="M19" s="130" t="n">
        <v>2</v>
      </c>
      <c r="N19" s="130">
        <f>L19+M19</f>
        <v/>
      </c>
    </row>
    <row r="20" ht="19.95" customHeight="1" s="227">
      <c r="A20" s="128" t="n">
        <v>17</v>
      </c>
      <c r="B20" s="128" t="inlineStr">
        <is>
          <t>BM-017</t>
        </is>
      </c>
      <c r="C20" s="128" t="n">
        <v>33</v>
      </c>
      <c r="D20" s="129" t="inlineStr">
        <is>
          <t>H.M.E.O. Constituyentes</t>
        </is>
      </c>
      <c r="E20" s="128" t="inlineStr">
        <is>
          <t>CDMX</t>
        </is>
      </c>
      <c r="F20" s="129" t="inlineStr">
        <is>
          <t>Cámara de campo ultra amplio, marca Natus, modelo RetCam Envision</t>
        </is>
      </c>
      <c r="G20" s="129" t="inlineStr">
        <is>
          <t>Natus</t>
        </is>
      </c>
      <c r="H20" s="129" t="inlineStr">
        <is>
          <t>RetCam Envision</t>
        </is>
      </c>
      <c r="I20" s="128" t="inlineStr">
        <is>
          <t>RE-0276</t>
        </is>
      </c>
      <c r="J20" s="128" t="inlineStr">
        <is>
          <t>OFTALMO</t>
        </is>
      </c>
      <c r="K20" s="128" t="inlineStr">
        <is>
          <t>ARFAMEX</t>
        </is>
      </c>
      <c r="L20" s="128" t="n">
        <v>1</v>
      </c>
      <c r="M20" s="128" t="n">
        <v>2</v>
      </c>
      <c r="N20" s="128">
        <f>L20+M20</f>
        <v/>
      </c>
    </row>
    <row r="21" ht="19.95" customHeight="1" s="227">
      <c r="A21" s="130" t="n">
        <v>18</v>
      </c>
      <c r="B21" s="130" t="inlineStr">
        <is>
          <t>BM-018</t>
        </is>
      </c>
      <c r="C21" s="130" t="n">
        <v>34</v>
      </c>
      <c r="D21" s="131" t="inlineStr">
        <is>
          <t>H.M.E.O. Constituyentes</t>
        </is>
      </c>
      <c r="E21" s="130" t="inlineStr">
        <is>
          <t>CDMX</t>
        </is>
      </c>
      <c r="F21" s="131" t="inlineStr">
        <is>
          <t>Láser, marca Quantel Medical, modelo Vitra 810</t>
        </is>
      </c>
      <c r="G21" s="131" t="inlineStr">
        <is>
          <t>Quantel Medical</t>
        </is>
      </c>
      <c r="H21" s="131" t="inlineStr">
        <is>
          <t>Vitra 810</t>
        </is>
      </c>
      <c r="I21" s="130" t="inlineStr">
        <is>
          <t>574</t>
        </is>
      </c>
      <c r="J21" s="130" t="inlineStr">
        <is>
          <t>OFTALMO</t>
        </is>
      </c>
      <c r="K21" s="130" t="inlineStr">
        <is>
          <t>ARFAMEX</t>
        </is>
      </c>
      <c r="L21" s="130" t="n">
        <v>1</v>
      </c>
      <c r="M21" s="130" t="n">
        <v>2</v>
      </c>
      <c r="N21" s="130">
        <f>L21+M21</f>
        <v/>
      </c>
    </row>
    <row r="22" ht="19.95" customHeight="1" s="227">
      <c r="A22" s="128" t="n">
        <v>19</v>
      </c>
      <c r="B22" s="128" t="inlineStr">
        <is>
          <t>BM-019</t>
        </is>
      </c>
      <c r="C22" s="128" t="n">
        <v>35</v>
      </c>
      <c r="D22" s="129" t="inlineStr">
        <is>
          <t>H.M.E.O. Constituyentes</t>
        </is>
      </c>
      <c r="E22" s="128" t="inlineStr">
        <is>
          <t>CDMX</t>
        </is>
      </c>
      <c r="F22" s="129" t="inlineStr">
        <is>
          <t>Láser, marca Quantel Medical, modelo Vitra 811</t>
        </is>
      </c>
      <c r="G22" s="129" t="inlineStr">
        <is>
          <t>Quantel Medical</t>
        </is>
      </c>
      <c r="H22" s="129" t="inlineStr">
        <is>
          <t>Vitra 811</t>
        </is>
      </c>
      <c r="I22" s="128" t="inlineStr">
        <is>
          <t>575</t>
        </is>
      </c>
      <c r="J22" s="128" t="inlineStr">
        <is>
          <t>OFTALMO</t>
        </is>
      </c>
      <c r="K22" s="128" t="inlineStr">
        <is>
          <t>ARFAMEX</t>
        </is>
      </c>
      <c r="L22" s="128" t="n">
        <v>1</v>
      </c>
      <c r="M22" s="128" t="n">
        <v>2</v>
      </c>
      <c r="N22" s="128">
        <f>L22+M22</f>
        <v/>
      </c>
    </row>
    <row r="23" ht="19.95" customHeight="1" s="227">
      <c r="A23" s="130" t="n">
        <v>20</v>
      </c>
      <c r="B23" s="130" t="inlineStr">
        <is>
          <t>BM-020</t>
        </is>
      </c>
      <c r="C23" s="130" t="n">
        <v>38</v>
      </c>
      <c r="D23" s="131" t="inlineStr">
        <is>
          <t>H.M.E.O. Constituyentes</t>
        </is>
      </c>
      <c r="E23" s="130" t="inlineStr">
        <is>
          <t>CDMX</t>
        </is>
      </c>
      <c r="F23" s="131" t="inlineStr">
        <is>
          <t>Retinógrafo portátil de campo amplio para neonatos, marca Visunex Medical Systems, modelo PanoCam</t>
        </is>
      </c>
      <c r="G23" s="131" t="inlineStr">
        <is>
          <t>Visunex Medical Systems</t>
        </is>
      </c>
      <c r="H23" s="131" t="inlineStr">
        <is>
          <t>PanoCam</t>
        </is>
      </c>
      <c r="I23" s="130" t="inlineStr">
        <is>
          <t>A237402</t>
        </is>
      </c>
      <c r="J23" s="130" t="inlineStr">
        <is>
          <t>OFTALMO</t>
        </is>
      </c>
      <c r="K23" s="130" t="inlineStr">
        <is>
          <t>MD</t>
        </is>
      </c>
      <c r="L23" s="130" t="n">
        <v>1</v>
      </c>
      <c r="M23" s="130" t="n">
        <v>2</v>
      </c>
      <c r="N23" s="130">
        <f>L23+M23</f>
        <v/>
      </c>
    </row>
    <row r="24" ht="19.95" customHeight="1" s="227">
      <c r="A24" s="128" t="n">
        <v>21</v>
      </c>
      <c r="B24" s="128" t="inlineStr">
        <is>
          <t>BM-021</t>
        </is>
      </c>
      <c r="C24" s="128" t="n">
        <v>39</v>
      </c>
      <c r="D24" s="129" t="inlineStr">
        <is>
          <t>H.M.E.O. Constituyentes</t>
        </is>
      </c>
      <c r="E24" s="128" t="inlineStr">
        <is>
          <t>CDMX</t>
        </is>
      </c>
      <c r="F24" s="129" t="inlineStr">
        <is>
          <t>Retinógrafo portátil de campo amplio para neonatos, marca Visunex Medical Systems, modelo PanoCam</t>
        </is>
      </c>
      <c r="G24" s="129" t="inlineStr">
        <is>
          <t>Visunex Medical Systems</t>
        </is>
      </c>
      <c r="H24" s="129" t="inlineStr">
        <is>
          <t>PanoCam</t>
        </is>
      </c>
      <c r="I24" s="128" t="inlineStr">
        <is>
          <t>A237403</t>
        </is>
      </c>
      <c r="J24" s="128" t="inlineStr">
        <is>
          <t>OFTALMO</t>
        </is>
      </c>
      <c r="K24" s="128" t="inlineStr">
        <is>
          <t>MD</t>
        </is>
      </c>
      <c r="L24" s="128" t="n">
        <v>1</v>
      </c>
      <c r="M24" s="128" t="n">
        <v>2</v>
      </c>
      <c r="N24" s="128">
        <f>L24+M24</f>
        <v/>
      </c>
    </row>
    <row r="25" ht="19.95" customHeight="1" s="227">
      <c r="A25" s="130" t="n">
        <v>22</v>
      </c>
      <c r="B25" s="130" t="inlineStr">
        <is>
          <t>BM-022</t>
        </is>
      </c>
      <c r="C25" s="130" t="n">
        <v>40</v>
      </c>
      <c r="D25" s="131" t="inlineStr">
        <is>
          <t>H.M.E.O. Constituyentes</t>
        </is>
      </c>
      <c r="E25" s="130" t="inlineStr">
        <is>
          <t>CDMX</t>
        </is>
      </c>
      <c r="F25" s="131" t="inlineStr">
        <is>
          <t>Retinógrafo portátil de campo amplio para neonatos, marca Visunex Medical Systems, modelo PanoCam</t>
        </is>
      </c>
      <c r="G25" s="131" t="inlineStr">
        <is>
          <t>Visunex Medical Systems</t>
        </is>
      </c>
      <c r="H25" s="131" t="inlineStr">
        <is>
          <t>PanoCam</t>
        </is>
      </c>
      <c r="I25" s="130" t="inlineStr">
        <is>
          <t>A237401</t>
        </is>
      </c>
      <c r="J25" s="130" t="inlineStr">
        <is>
          <t>OFTALMO</t>
        </is>
      </c>
      <c r="K25" s="130" t="inlineStr">
        <is>
          <t>MD</t>
        </is>
      </c>
      <c r="L25" s="130" t="n">
        <v>1</v>
      </c>
      <c r="M25" s="130" t="n">
        <v>2</v>
      </c>
      <c r="N25" s="130">
        <f>L25+M25</f>
        <v/>
      </c>
    </row>
    <row r="26" ht="19.95" customHeight="1" s="227">
      <c r="A26" s="128" t="n">
        <v>23</v>
      </c>
      <c r="B26" s="128" t="inlineStr">
        <is>
          <t>BM-023</t>
        </is>
      </c>
      <c r="C26" s="128" t="n">
        <v>41</v>
      </c>
      <c r="D26" s="129" t="inlineStr">
        <is>
          <t>H.M.E.O. Constituyentes</t>
        </is>
      </c>
      <c r="E26" s="128" t="inlineStr">
        <is>
          <t>CDMX</t>
        </is>
      </c>
      <c r="F26" s="129" t="inlineStr">
        <is>
          <t>Microscopio especular, marca TOMEY, modelo EM-4000</t>
        </is>
      </c>
      <c r="G26" s="129" t="inlineStr">
        <is>
          <t>TOMEY</t>
        </is>
      </c>
      <c r="H26" s="129" t="inlineStr">
        <is>
          <t>EM-4000</t>
        </is>
      </c>
      <c r="I26" s="128" t="inlineStr">
        <is>
          <t>354304</t>
        </is>
      </c>
      <c r="J26" s="128" t="inlineStr">
        <is>
          <t>OFTALMO</t>
        </is>
      </c>
      <c r="K26" s="128" t="inlineStr">
        <is>
          <t xml:space="preserve">ALDAI </t>
        </is>
      </c>
      <c r="L26" s="128" t="n">
        <v>1</v>
      </c>
      <c r="M26" s="128" t="n">
        <v>2</v>
      </c>
      <c r="N26" s="128">
        <f>L26+M26</f>
        <v/>
      </c>
    </row>
    <row r="27" ht="19.95" customHeight="1" s="227">
      <c r="A27" s="130" t="n">
        <v>24</v>
      </c>
      <c r="B27" s="130" t="inlineStr">
        <is>
          <t>BM-024</t>
        </is>
      </c>
      <c r="C27" s="130" t="n">
        <v>42</v>
      </c>
      <c r="D27" s="131" t="inlineStr">
        <is>
          <t>H.M.E.O. Constituyentes</t>
        </is>
      </c>
      <c r="E27" s="130" t="inlineStr">
        <is>
          <t>CDMX</t>
        </is>
      </c>
      <c r="F27" s="131" t="inlineStr">
        <is>
          <t>Microscopio especular, marca TOMEY, modelo EM-4001</t>
        </is>
      </c>
      <c r="G27" s="131" t="inlineStr">
        <is>
          <t>TOMEY</t>
        </is>
      </c>
      <c r="H27" s="131" t="inlineStr">
        <is>
          <t>EM-4001</t>
        </is>
      </c>
      <c r="I27" s="130" t="inlineStr">
        <is>
          <t>349103</t>
        </is>
      </c>
      <c r="J27" s="130" t="inlineStr">
        <is>
          <t>OFTALMO</t>
        </is>
      </c>
      <c r="K27" s="130" t="inlineStr">
        <is>
          <t xml:space="preserve">ALDAI </t>
        </is>
      </c>
      <c r="L27" s="130" t="n">
        <v>1</v>
      </c>
      <c r="M27" s="130" t="n">
        <v>2</v>
      </c>
      <c r="N27" s="130">
        <f>L27+M27</f>
        <v/>
      </c>
    </row>
    <row r="28" ht="19.95" customHeight="1" s="227">
      <c r="A28" s="128" t="n">
        <v>25</v>
      </c>
      <c r="B28" s="128" t="inlineStr">
        <is>
          <t>BM-025</t>
        </is>
      </c>
      <c r="C28" s="128" t="n">
        <v>43</v>
      </c>
      <c r="D28" s="129" t="inlineStr">
        <is>
          <t>H.M.E.O. Constituyentes</t>
        </is>
      </c>
      <c r="E28" s="128" t="inlineStr">
        <is>
          <t>CDMX</t>
        </is>
      </c>
      <c r="F28" s="129" t="inlineStr">
        <is>
          <t>Ultrasonido modo A-B, marca TOMEY, modelo UD-800</t>
        </is>
      </c>
      <c r="G28" s="129" t="inlineStr">
        <is>
          <t>TOMEY</t>
        </is>
      </c>
      <c r="H28" s="129" t="inlineStr">
        <is>
          <t>UD-800</t>
        </is>
      </c>
      <c r="I28" s="128" t="inlineStr">
        <is>
          <t>366702</t>
        </is>
      </c>
      <c r="J28" s="128" t="inlineStr">
        <is>
          <t>OFTALMO</t>
        </is>
      </c>
      <c r="K28" s="128" t="inlineStr">
        <is>
          <t xml:space="preserve">ALDAI </t>
        </is>
      </c>
      <c r="L28" s="128" t="n">
        <v>1</v>
      </c>
      <c r="M28" s="128" t="n">
        <v>2</v>
      </c>
      <c r="N28" s="128">
        <f>L28+M28</f>
        <v/>
      </c>
    </row>
    <row r="29" ht="19.95" customHeight="1" s="227">
      <c r="A29" s="130" t="n">
        <v>26</v>
      </c>
      <c r="B29" s="130" t="inlineStr">
        <is>
          <t>BM-026</t>
        </is>
      </c>
      <c r="C29" s="130" t="n">
        <v>44</v>
      </c>
      <c r="D29" s="131" t="inlineStr">
        <is>
          <t>H.M.E.O. Constituyentes</t>
        </is>
      </c>
      <c r="E29" s="130" t="inlineStr">
        <is>
          <t>CDMX</t>
        </is>
      </c>
      <c r="F29" s="131" t="inlineStr">
        <is>
          <t>Ultrasonido modo A-B, marca TOMEY, modelo UD-801</t>
        </is>
      </c>
      <c r="G29" s="131" t="inlineStr">
        <is>
          <t>TOMEY</t>
        </is>
      </c>
      <c r="H29" s="131" t="inlineStr">
        <is>
          <t>UD-801</t>
        </is>
      </c>
      <c r="I29" s="130" t="inlineStr">
        <is>
          <t>372404</t>
        </is>
      </c>
      <c r="J29" s="130" t="inlineStr">
        <is>
          <t>OFTALMO</t>
        </is>
      </c>
      <c r="K29" s="130" t="inlineStr">
        <is>
          <t xml:space="preserve">ALDAI </t>
        </is>
      </c>
      <c r="L29" s="130" t="n">
        <v>1</v>
      </c>
      <c r="M29" s="130" t="n">
        <v>2</v>
      </c>
      <c r="N29" s="130">
        <f>L29+M29</f>
        <v/>
      </c>
    </row>
    <row r="30" ht="19.95" customHeight="1" s="227">
      <c r="A30" s="128" t="n">
        <v>27</v>
      </c>
      <c r="B30" s="128" t="inlineStr">
        <is>
          <t>BM-027</t>
        </is>
      </c>
      <c r="C30" s="128" t="n">
        <v>45</v>
      </c>
      <c r="D30" s="129" t="inlineStr">
        <is>
          <t>H.M.E.O. Constituyentes</t>
        </is>
      </c>
      <c r="E30" s="128" t="inlineStr">
        <is>
          <t>CDMX</t>
        </is>
      </c>
      <c r="F30" s="129" t="inlineStr">
        <is>
          <t>Autorrefractómetro, marca SUOER, modelo Ocular Screening SW-800</t>
        </is>
      </c>
      <c r="G30" s="129" t="inlineStr">
        <is>
          <t>SUOER</t>
        </is>
      </c>
      <c r="H30" s="129" t="inlineStr">
        <is>
          <t>Ocular Screening SW-800</t>
        </is>
      </c>
      <c r="I30" s="128" t="inlineStr">
        <is>
          <t>BC0013GY1C</t>
        </is>
      </c>
      <c r="J30" s="128" t="inlineStr">
        <is>
          <t>OFTALMO</t>
        </is>
      </c>
      <c r="K30" s="128" t="inlineStr">
        <is>
          <t>MD</t>
        </is>
      </c>
      <c r="L30" s="128" t="n">
        <v>1</v>
      </c>
      <c r="M30" s="128" t="n">
        <v>2</v>
      </c>
      <c r="N30" s="128">
        <f>L30+M30</f>
        <v/>
      </c>
    </row>
    <row r="31" ht="19.95" customHeight="1" s="227">
      <c r="A31" s="130" t="n">
        <v>28</v>
      </c>
      <c r="B31" s="130" t="inlineStr">
        <is>
          <t>BM-028</t>
        </is>
      </c>
      <c r="C31" s="130" t="n">
        <v>46</v>
      </c>
      <c r="D31" s="131" t="inlineStr">
        <is>
          <t>H.M.E.O. Constituyentes</t>
        </is>
      </c>
      <c r="E31" s="130" t="inlineStr">
        <is>
          <t>CDMX</t>
        </is>
      </c>
      <c r="F31" s="131" t="inlineStr">
        <is>
          <t>Autorrefractómetro, marca SUOER, modelo Ocular Screening SW-800</t>
        </is>
      </c>
      <c r="G31" s="131" t="inlineStr">
        <is>
          <t>SUOER</t>
        </is>
      </c>
      <c r="H31" s="131" t="inlineStr">
        <is>
          <t>Ocular Screening SW-800</t>
        </is>
      </c>
      <c r="I31" s="130" t="inlineStr">
        <is>
          <t>BC0007GY1C</t>
        </is>
      </c>
      <c r="J31" s="130" t="inlineStr">
        <is>
          <t>OFTALMO</t>
        </is>
      </c>
      <c r="K31" s="130" t="inlineStr">
        <is>
          <t>MD</t>
        </is>
      </c>
      <c r="L31" s="130" t="n">
        <v>1</v>
      </c>
      <c r="M31" s="130" t="n">
        <v>2</v>
      </c>
      <c r="N31" s="130">
        <f>L31+M31</f>
        <v/>
      </c>
    </row>
    <row r="32" ht="19.95" customHeight="1" s="227">
      <c r="A32" s="128" t="n">
        <v>29</v>
      </c>
      <c r="B32" s="128" t="inlineStr">
        <is>
          <t>BM-029</t>
        </is>
      </c>
      <c r="C32" s="128" t="n">
        <v>47</v>
      </c>
      <c r="D32" s="129" t="inlineStr">
        <is>
          <t>H.M.E.O. Constituyentes</t>
        </is>
      </c>
      <c r="E32" s="128" t="inlineStr">
        <is>
          <t>CDMX</t>
        </is>
      </c>
      <c r="F32" s="129" t="inlineStr">
        <is>
          <t>Autorrefractómetro, marca SUOER, modelo Ocular Screening SW-800</t>
        </is>
      </c>
      <c r="G32" s="129" t="inlineStr">
        <is>
          <t>SUOER</t>
        </is>
      </c>
      <c r="H32" s="129" t="inlineStr">
        <is>
          <t>Ocular Screening SW-800</t>
        </is>
      </c>
      <c r="I32" s="128" t="inlineStr">
        <is>
          <t>BB0042GY1C</t>
        </is>
      </c>
      <c r="J32" s="128" t="inlineStr">
        <is>
          <t>OFTALMO</t>
        </is>
      </c>
      <c r="K32" s="128" t="inlineStr">
        <is>
          <t>MD</t>
        </is>
      </c>
      <c r="L32" s="128" t="n">
        <v>1</v>
      </c>
      <c r="M32" s="128" t="n">
        <v>2</v>
      </c>
      <c r="N32" s="128">
        <f>L32+M32</f>
        <v/>
      </c>
    </row>
    <row r="33" ht="19.95" customHeight="1" s="227">
      <c r="A33" s="130" t="n">
        <v>30</v>
      </c>
      <c r="B33" s="130" t="inlineStr">
        <is>
          <t>BM-030</t>
        </is>
      </c>
      <c r="C33" s="130" t="n">
        <v>48</v>
      </c>
      <c r="D33" s="131" t="inlineStr">
        <is>
          <t>H.M.E.O. Constituyentes</t>
        </is>
      </c>
      <c r="E33" s="130" t="inlineStr">
        <is>
          <t>CDMX</t>
        </is>
      </c>
      <c r="F33" s="131" t="inlineStr">
        <is>
          <t>Autorrefractómetro, marca SUOER, modelo Ocular Screening SW-800</t>
        </is>
      </c>
      <c r="G33" s="131" t="inlineStr">
        <is>
          <t>SUOER</t>
        </is>
      </c>
      <c r="H33" s="131" t="inlineStr">
        <is>
          <t>Ocular Screening SW-800</t>
        </is>
      </c>
      <c r="I33" s="130" t="inlineStr">
        <is>
          <t>BB0043GY1C</t>
        </is>
      </c>
      <c r="J33" s="130" t="inlineStr">
        <is>
          <t>OFTALMO</t>
        </is>
      </c>
      <c r="K33" s="130" t="inlineStr">
        <is>
          <t>MD</t>
        </is>
      </c>
      <c r="L33" s="130" t="n">
        <v>1</v>
      </c>
      <c r="M33" s="130" t="n">
        <v>2</v>
      </c>
      <c r="N33" s="130">
        <f>L33+M33</f>
        <v/>
      </c>
    </row>
    <row r="34" ht="19.95" customHeight="1" s="227">
      <c r="A34" s="128" t="n">
        <v>31</v>
      </c>
      <c r="B34" s="128" t="inlineStr">
        <is>
          <t>BM-031</t>
        </is>
      </c>
      <c r="C34" s="128" t="n">
        <v>49</v>
      </c>
      <c r="D34" s="129" t="inlineStr">
        <is>
          <t>H.M.E.O. Constituyentes</t>
        </is>
      </c>
      <c r="E34" s="128" t="inlineStr">
        <is>
          <t>CDMX</t>
        </is>
      </c>
      <c r="F34" s="129" t="inlineStr">
        <is>
          <t>Autoqueratorrefractor, marca Nidek, modelo ARK-F</t>
        </is>
      </c>
      <c r="G34" s="129" t="inlineStr">
        <is>
          <t>Nidek</t>
        </is>
      </c>
      <c r="H34" s="129" t="inlineStr">
        <is>
          <t>ARK-F</t>
        </is>
      </c>
      <c r="I34" s="128" t="inlineStr">
        <is>
          <t>270021</t>
        </is>
      </c>
      <c r="J34" s="128" t="inlineStr">
        <is>
          <t>OFTALMO</t>
        </is>
      </c>
      <c r="K34" s="128" t="inlineStr">
        <is>
          <t>S4</t>
        </is>
      </c>
      <c r="L34" s="128" t="n">
        <v>1</v>
      </c>
      <c r="M34" s="128" t="n">
        <v>2</v>
      </c>
      <c r="N34" s="128">
        <f>L34+M34</f>
        <v/>
      </c>
    </row>
    <row r="35" ht="19.95" customHeight="1" s="227">
      <c r="A35" s="130" t="n">
        <v>32</v>
      </c>
      <c r="B35" s="130" t="inlineStr">
        <is>
          <t>BM-032</t>
        </is>
      </c>
      <c r="C35" s="130" t="n">
        <v>50</v>
      </c>
      <c r="D35" s="131" t="inlineStr">
        <is>
          <t>H.M.E.O. Constituyentes</t>
        </is>
      </c>
      <c r="E35" s="130" t="inlineStr">
        <is>
          <t>CDMX</t>
        </is>
      </c>
      <c r="F35" s="131" t="inlineStr">
        <is>
          <t>Autoqueratorrefractor, marca Nidek, modelo ARK-F</t>
        </is>
      </c>
      <c r="G35" s="131" t="inlineStr">
        <is>
          <t>Nidek</t>
        </is>
      </c>
      <c r="H35" s="131" t="inlineStr">
        <is>
          <t>ARK-F</t>
        </is>
      </c>
      <c r="I35" s="130" t="inlineStr">
        <is>
          <t>270029</t>
        </is>
      </c>
      <c r="J35" s="130" t="inlineStr">
        <is>
          <t>OFTALMO</t>
        </is>
      </c>
      <c r="K35" s="130" t="inlineStr">
        <is>
          <t>S4</t>
        </is>
      </c>
      <c r="L35" s="130" t="n">
        <v>1</v>
      </c>
      <c r="M35" s="130" t="n">
        <v>2</v>
      </c>
      <c r="N35" s="130">
        <f>L35+M35</f>
        <v/>
      </c>
    </row>
    <row r="36" ht="19.95" customHeight="1" s="227">
      <c r="A36" s="128" t="n">
        <v>33</v>
      </c>
      <c r="B36" s="128" t="inlineStr">
        <is>
          <t>BM-033</t>
        </is>
      </c>
      <c r="C36" s="128" t="n">
        <v>51</v>
      </c>
      <c r="D36" s="129" t="inlineStr">
        <is>
          <t>H.M.E.O. Constituyentes</t>
        </is>
      </c>
      <c r="E36" s="128" t="inlineStr">
        <is>
          <t>CDMX</t>
        </is>
      </c>
      <c r="F36" s="129" t="inlineStr">
        <is>
          <t>Autoqueratorrefractor, marca Nidek, modelo ARK-F</t>
        </is>
      </c>
      <c r="G36" s="129" t="inlineStr">
        <is>
          <t>Nidek</t>
        </is>
      </c>
      <c r="H36" s="129" t="inlineStr">
        <is>
          <t>ARK-F</t>
        </is>
      </c>
      <c r="I36" s="128" t="inlineStr">
        <is>
          <t>270031</t>
        </is>
      </c>
      <c r="J36" s="128" t="inlineStr">
        <is>
          <t>OFTALMO</t>
        </is>
      </c>
      <c r="K36" s="128" t="inlineStr">
        <is>
          <t>S4</t>
        </is>
      </c>
      <c r="L36" s="128" t="n">
        <v>1</v>
      </c>
      <c r="M36" s="128" t="n">
        <v>2</v>
      </c>
      <c r="N36" s="128">
        <f>L36+M36</f>
        <v/>
      </c>
    </row>
    <row r="37" ht="19.95" customHeight="1" s="227">
      <c r="A37" s="130" t="n">
        <v>34</v>
      </c>
      <c r="B37" s="130" t="inlineStr">
        <is>
          <t>BM-034</t>
        </is>
      </c>
      <c r="C37" s="130" t="n">
        <v>52</v>
      </c>
      <c r="D37" s="131" t="inlineStr">
        <is>
          <t>H.M.E.O. Constituyentes</t>
        </is>
      </c>
      <c r="E37" s="130" t="inlineStr">
        <is>
          <t>CDMX</t>
        </is>
      </c>
      <c r="F37" s="131" t="inlineStr">
        <is>
          <t>Autoqueratorrefractor, marca Nidek, modelo ARK-F</t>
        </is>
      </c>
      <c r="G37" s="131" t="inlineStr">
        <is>
          <t>Nidek</t>
        </is>
      </c>
      <c r="H37" s="131" t="inlineStr">
        <is>
          <t>ARK-F</t>
        </is>
      </c>
      <c r="I37" s="130" t="inlineStr">
        <is>
          <t>270032</t>
        </is>
      </c>
      <c r="J37" s="130" t="inlineStr">
        <is>
          <t>OFTALMO</t>
        </is>
      </c>
      <c r="K37" s="130" t="inlineStr">
        <is>
          <t>S4</t>
        </is>
      </c>
      <c r="L37" s="130" t="n">
        <v>1</v>
      </c>
      <c r="M37" s="130" t="n">
        <v>2</v>
      </c>
      <c r="N37" s="130">
        <f>L37+M37</f>
        <v/>
      </c>
    </row>
    <row r="38" ht="19.95" customHeight="1" s="227">
      <c r="A38" s="128" t="n">
        <v>35</v>
      </c>
      <c r="B38" s="128" t="inlineStr">
        <is>
          <t>BM-035</t>
        </is>
      </c>
      <c r="C38" s="128" t="n">
        <v>53</v>
      </c>
      <c r="D38" s="129" t="inlineStr">
        <is>
          <t>H.M.E.O. Constituyentes</t>
        </is>
      </c>
      <c r="E38" s="128" t="inlineStr">
        <is>
          <t>CDMX</t>
        </is>
      </c>
      <c r="F38" s="129" t="inlineStr">
        <is>
          <t>Autoqueratorrefractor, marca Nidek, modelo ARK-F</t>
        </is>
      </c>
      <c r="G38" s="129" t="inlineStr">
        <is>
          <t>Nidek</t>
        </is>
      </c>
      <c r="H38" s="129" t="inlineStr">
        <is>
          <t>ARK-F</t>
        </is>
      </c>
      <c r="I38" s="128" t="inlineStr">
        <is>
          <t>270023</t>
        </is>
      </c>
      <c r="J38" s="128" t="inlineStr">
        <is>
          <t>OFTALMO</t>
        </is>
      </c>
      <c r="K38" s="128" t="inlineStr">
        <is>
          <t>S4</t>
        </is>
      </c>
      <c r="L38" s="128" t="n">
        <v>1</v>
      </c>
      <c r="M38" s="128" t="n">
        <v>2</v>
      </c>
      <c r="N38" s="128">
        <f>L38+M38</f>
        <v/>
      </c>
    </row>
    <row r="39" ht="19.95" customHeight="1" s="227">
      <c r="A39" s="130" t="n">
        <v>36</v>
      </c>
      <c r="B39" s="130" t="inlineStr">
        <is>
          <t>BM-036</t>
        </is>
      </c>
      <c r="C39" s="130" t="n">
        <v>54</v>
      </c>
      <c r="D39" s="131" t="inlineStr">
        <is>
          <t>H.M.E.O. Constituyentes</t>
        </is>
      </c>
      <c r="E39" s="130" t="inlineStr">
        <is>
          <t>CDMX</t>
        </is>
      </c>
      <c r="F39" s="131" t="inlineStr">
        <is>
          <t>Autoqueratorrefractor, marca Nidek, modelo ARK-F</t>
        </is>
      </c>
      <c r="G39" s="131" t="inlineStr">
        <is>
          <t>Nidek</t>
        </is>
      </c>
      <c r="H39" s="131" t="inlineStr">
        <is>
          <t>ARK-F</t>
        </is>
      </c>
      <c r="I39" s="130" t="inlineStr">
        <is>
          <t>270034</t>
        </is>
      </c>
      <c r="J39" s="130" t="inlineStr">
        <is>
          <t>OFTALMO</t>
        </is>
      </c>
      <c r="K39" s="130" t="inlineStr">
        <is>
          <t>S4</t>
        </is>
      </c>
      <c r="L39" s="130" t="n">
        <v>1</v>
      </c>
      <c r="M39" s="130" t="n">
        <v>2</v>
      </c>
      <c r="N39" s="130">
        <f>L39+M39</f>
        <v/>
      </c>
    </row>
    <row r="40" ht="19.95" customHeight="1" s="227">
      <c r="A40" s="128" t="n">
        <v>37</v>
      </c>
      <c r="B40" s="128" t="inlineStr">
        <is>
          <t>BM-037</t>
        </is>
      </c>
      <c r="C40" s="128" t="n">
        <v>55</v>
      </c>
      <c r="D40" s="129" t="inlineStr">
        <is>
          <t>H.M.E.O. Constituyentes</t>
        </is>
      </c>
      <c r="E40" s="128" t="inlineStr">
        <is>
          <t>CDMX</t>
        </is>
      </c>
      <c r="F40" s="129" t="inlineStr">
        <is>
          <t>Autoqueratorrefractor, marca Nidek, modelo ARK-F</t>
        </is>
      </c>
      <c r="G40" s="129" t="inlineStr">
        <is>
          <t>Nidek</t>
        </is>
      </c>
      <c r="H40" s="129" t="inlineStr">
        <is>
          <t>ARK-F</t>
        </is>
      </c>
      <c r="I40" s="128" t="inlineStr">
        <is>
          <t>270035</t>
        </is>
      </c>
      <c r="J40" s="128" t="inlineStr">
        <is>
          <t>OFTALMO</t>
        </is>
      </c>
      <c r="K40" s="128" t="inlineStr">
        <is>
          <t>S4</t>
        </is>
      </c>
      <c r="L40" s="128" t="n">
        <v>1</v>
      </c>
      <c r="M40" s="128" t="n">
        <v>2</v>
      </c>
      <c r="N40" s="128">
        <f>L40+M40</f>
        <v/>
      </c>
    </row>
    <row r="41" ht="19.95" customHeight="1" s="227">
      <c r="A41" s="130" t="n">
        <v>38</v>
      </c>
      <c r="B41" s="130" t="inlineStr">
        <is>
          <t>BM-038</t>
        </is>
      </c>
      <c r="C41" s="130" t="n">
        <v>56</v>
      </c>
      <c r="D41" s="131" t="inlineStr">
        <is>
          <t>H.M.E.O. Constituyentes</t>
        </is>
      </c>
      <c r="E41" s="130" t="inlineStr">
        <is>
          <t>CDMX</t>
        </is>
      </c>
      <c r="F41" s="131" t="inlineStr">
        <is>
          <t>Autoqueratorrefractor, marca Nidek, modelo ARK-F</t>
        </is>
      </c>
      <c r="G41" s="131" t="inlineStr">
        <is>
          <t>Nidek</t>
        </is>
      </c>
      <c r="H41" s="131" t="inlineStr">
        <is>
          <t>ARK-F</t>
        </is>
      </c>
      <c r="I41" s="130" t="inlineStr">
        <is>
          <t>270036</t>
        </is>
      </c>
      <c r="J41" s="130" t="inlineStr">
        <is>
          <t>OFTALMO</t>
        </is>
      </c>
      <c r="K41" s="130" t="inlineStr">
        <is>
          <t>S4</t>
        </is>
      </c>
      <c r="L41" s="130" t="n">
        <v>1</v>
      </c>
      <c r="M41" s="130" t="n">
        <v>2</v>
      </c>
      <c r="N41" s="130">
        <f>L41+M41</f>
        <v/>
      </c>
    </row>
    <row r="42" ht="19.95" customHeight="1" s="227">
      <c r="A42" s="128" t="n">
        <v>39</v>
      </c>
      <c r="B42" s="128" t="inlineStr">
        <is>
          <t>BM-039</t>
        </is>
      </c>
      <c r="C42" s="128" t="n">
        <v>57</v>
      </c>
      <c r="D42" s="129" t="inlineStr">
        <is>
          <t>H.M.E.O. Constituyentes</t>
        </is>
      </c>
      <c r="E42" s="128" t="inlineStr">
        <is>
          <t>CDMX</t>
        </is>
      </c>
      <c r="F42" s="129" t="inlineStr">
        <is>
          <t>Autoqueratorrefractor, marca Nidek, modelo ARK-F</t>
        </is>
      </c>
      <c r="G42" s="129" t="inlineStr">
        <is>
          <t>Nidek</t>
        </is>
      </c>
      <c r="H42" s="129" t="inlineStr">
        <is>
          <t>ARK-F</t>
        </is>
      </c>
      <c r="I42" s="128" t="inlineStr">
        <is>
          <t>270037</t>
        </is>
      </c>
      <c r="J42" s="128" t="inlineStr">
        <is>
          <t>OFTALMO</t>
        </is>
      </c>
      <c r="K42" s="128" t="inlineStr">
        <is>
          <t>S4</t>
        </is>
      </c>
      <c r="L42" s="128" t="n">
        <v>1</v>
      </c>
      <c r="M42" s="128" t="n">
        <v>2</v>
      </c>
      <c r="N42" s="128">
        <f>L42+M42</f>
        <v/>
      </c>
    </row>
    <row r="43" ht="19.95" customHeight="1" s="227">
      <c r="A43" s="130" t="n">
        <v>40</v>
      </c>
      <c r="B43" s="130" t="inlineStr">
        <is>
          <t>BM-040</t>
        </is>
      </c>
      <c r="C43" s="130" t="n">
        <v>58</v>
      </c>
      <c r="D43" s="131" t="inlineStr">
        <is>
          <t>H.M.E.O. Constituyentes</t>
        </is>
      </c>
      <c r="E43" s="130" t="inlineStr">
        <is>
          <t>CDMX</t>
        </is>
      </c>
      <c r="F43" s="131" t="inlineStr">
        <is>
          <t>Autoqueratorrefractor, marca Nidek, modelo ARK-F</t>
        </is>
      </c>
      <c r="G43" s="131" t="inlineStr">
        <is>
          <t>Nidek</t>
        </is>
      </c>
      <c r="H43" s="131" t="inlineStr">
        <is>
          <t>ARK-F</t>
        </is>
      </c>
      <c r="I43" s="130" t="inlineStr">
        <is>
          <t>270038</t>
        </is>
      </c>
      <c r="J43" s="130" t="inlineStr">
        <is>
          <t>OFTALMO</t>
        </is>
      </c>
      <c r="K43" s="130" t="inlineStr">
        <is>
          <t>S4</t>
        </is>
      </c>
      <c r="L43" s="130" t="n">
        <v>1</v>
      </c>
      <c r="M43" s="130" t="n">
        <v>2</v>
      </c>
      <c r="N43" s="130">
        <f>L43+M43</f>
        <v/>
      </c>
    </row>
    <row r="44" ht="19.95" customHeight="1" s="227">
      <c r="A44" s="128" t="n">
        <v>41</v>
      </c>
      <c r="B44" s="128" t="inlineStr">
        <is>
          <t>BM-041</t>
        </is>
      </c>
      <c r="C44" s="128" t="n">
        <v>59</v>
      </c>
      <c r="D44" s="129" t="inlineStr">
        <is>
          <t>H.M.E.O. Constituyentes</t>
        </is>
      </c>
      <c r="E44" s="128" t="inlineStr">
        <is>
          <t>CDMX</t>
        </is>
      </c>
      <c r="F44" s="129" t="inlineStr">
        <is>
          <t>Autoqueratorrefractor, marca Nidek, modelo ARK-F</t>
        </is>
      </c>
      <c r="G44" s="129" t="inlineStr">
        <is>
          <t>Nidek</t>
        </is>
      </c>
      <c r="H44" s="129" t="inlineStr">
        <is>
          <t>ARK-F</t>
        </is>
      </c>
      <c r="I44" s="128" t="inlineStr">
        <is>
          <t>270033</t>
        </is>
      </c>
      <c r="J44" s="128" t="inlineStr">
        <is>
          <t>OFTALMO</t>
        </is>
      </c>
      <c r="K44" s="128" t="inlineStr">
        <is>
          <t>S4</t>
        </is>
      </c>
      <c r="L44" s="128" t="n">
        <v>1</v>
      </c>
      <c r="M44" s="128" t="n">
        <v>2</v>
      </c>
      <c r="N44" s="128">
        <f>L44+M44</f>
        <v/>
      </c>
    </row>
    <row r="45" ht="19.95" customHeight="1" s="227">
      <c r="A45" s="130" t="n">
        <v>42</v>
      </c>
      <c r="B45" s="130" t="inlineStr">
        <is>
          <t>BM-042</t>
        </is>
      </c>
      <c r="C45" s="130" t="n">
        <v>60</v>
      </c>
      <c r="D45" s="131" t="inlineStr">
        <is>
          <t>H.M.E.O. Constituyentes</t>
        </is>
      </c>
      <c r="E45" s="130" t="inlineStr">
        <is>
          <t>CDMX</t>
        </is>
      </c>
      <c r="F45" s="131" t="inlineStr">
        <is>
          <t>Autoqueratorrefractor, marca Nidek, modelo ARK-F</t>
        </is>
      </c>
      <c r="G45" s="131" t="inlineStr">
        <is>
          <t>Nidek</t>
        </is>
      </c>
      <c r="H45" s="131" t="inlineStr">
        <is>
          <t>ARK-F</t>
        </is>
      </c>
      <c r="I45" s="130" t="inlineStr">
        <is>
          <t>270025</t>
        </is>
      </c>
      <c r="J45" s="130" t="inlineStr">
        <is>
          <t>OFTALMO</t>
        </is>
      </c>
      <c r="K45" s="130" t="inlineStr">
        <is>
          <t>S4</t>
        </is>
      </c>
      <c r="L45" s="130" t="n">
        <v>1</v>
      </c>
      <c r="M45" s="130" t="n">
        <v>2</v>
      </c>
      <c r="N45" s="130">
        <f>L45+M45</f>
        <v/>
      </c>
    </row>
    <row r="46" ht="19.95" customHeight="1" s="227">
      <c r="A46" s="128" t="n">
        <v>43</v>
      </c>
      <c r="B46" s="128" t="inlineStr">
        <is>
          <t>BM-043</t>
        </is>
      </c>
      <c r="C46" s="128" t="n">
        <v>61</v>
      </c>
      <c r="D46" s="129" t="inlineStr">
        <is>
          <t>H.M.E.O. Constituyentes</t>
        </is>
      </c>
      <c r="E46" s="128" t="inlineStr">
        <is>
          <t>CDMX</t>
        </is>
      </c>
      <c r="F46" s="129" t="inlineStr">
        <is>
          <t>Sistema de diagnóstico oftálmico avanzado, marca Nidek, modelo TONOREF III</t>
        </is>
      </c>
      <c r="G46" s="129" t="inlineStr">
        <is>
          <t>Nidek</t>
        </is>
      </c>
      <c r="H46" s="129" t="inlineStr">
        <is>
          <t>TONOREF III</t>
        </is>
      </c>
      <c r="I46" s="128" t="inlineStr">
        <is>
          <t>170692</t>
        </is>
      </c>
      <c r="J46" s="128" t="inlineStr">
        <is>
          <t>OFTALMO</t>
        </is>
      </c>
      <c r="K46" s="128" t="inlineStr">
        <is>
          <t>S4</t>
        </is>
      </c>
      <c r="L46" s="128" t="n">
        <v>1</v>
      </c>
      <c r="M46" s="128" t="n">
        <v>2</v>
      </c>
      <c r="N46" s="128">
        <f>L46+M46</f>
        <v/>
      </c>
    </row>
    <row r="47" ht="19.95" customHeight="1" s="227">
      <c r="A47" s="130" t="n">
        <v>44</v>
      </c>
      <c r="B47" s="130" t="inlineStr">
        <is>
          <t>BM-044</t>
        </is>
      </c>
      <c r="C47" s="130" t="n">
        <v>62</v>
      </c>
      <c r="D47" s="131" t="inlineStr">
        <is>
          <t>H.M.E.O. Constituyentes</t>
        </is>
      </c>
      <c r="E47" s="130" t="inlineStr">
        <is>
          <t>CDMX</t>
        </is>
      </c>
      <c r="F47" s="131" t="inlineStr">
        <is>
          <t>Sistema de diagnóstico oftálmico avanzado, marca Nidek, modelo TONOREF III</t>
        </is>
      </c>
      <c r="G47" s="131" t="inlineStr">
        <is>
          <t>Nidek</t>
        </is>
      </c>
      <c r="H47" s="131" t="inlineStr">
        <is>
          <t>TONOREF III</t>
        </is>
      </c>
      <c r="I47" s="130" t="inlineStr">
        <is>
          <t>170696</t>
        </is>
      </c>
      <c r="J47" s="130" t="inlineStr">
        <is>
          <t>OFTALMO</t>
        </is>
      </c>
      <c r="K47" s="130" t="inlineStr">
        <is>
          <t>S4</t>
        </is>
      </c>
      <c r="L47" s="130" t="n">
        <v>1</v>
      </c>
      <c r="M47" s="130" t="n">
        <v>2</v>
      </c>
      <c r="N47" s="130">
        <f>L47+M47</f>
        <v/>
      </c>
    </row>
    <row r="48" ht="19.95" customHeight="1" s="227">
      <c r="A48" s="128" t="n">
        <v>45</v>
      </c>
      <c r="B48" s="128" t="inlineStr">
        <is>
          <t>BM-045</t>
        </is>
      </c>
      <c r="C48" s="128" t="n">
        <v>63</v>
      </c>
      <c r="D48" s="129" t="inlineStr">
        <is>
          <t>H.M.E.O. Constituyentes</t>
        </is>
      </c>
      <c r="E48" s="128" t="inlineStr">
        <is>
          <t>CDMX</t>
        </is>
      </c>
      <c r="F48" s="129" t="inlineStr">
        <is>
          <t>Sistema de diagnóstico oftálmico avanzado, marca Nidek, modelo TONOREF III</t>
        </is>
      </c>
      <c r="G48" s="129" t="inlineStr">
        <is>
          <t>Nidek</t>
        </is>
      </c>
      <c r="H48" s="129" t="inlineStr">
        <is>
          <t>TONOREF III</t>
        </is>
      </c>
      <c r="I48" s="128" t="inlineStr">
        <is>
          <t>170711</t>
        </is>
      </c>
      <c r="J48" s="128" t="inlineStr">
        <is>
          <t>OFTALMO</t>
        </is>
      </c>
      <c r="K48" s="128" t="inlineStr">
        <is>
          <t>S4</t>
        </is>
      </c>
      <c r="L48" s="128" t="n">
        <v>1</v>
      </c>
      <c r="M48" s="128" t="n">
        <v>2</v>
      </c>
      <c r="N48" s="128">
        <f>L48+M48</f>
        <v/>
      </c>
    </row>
    <row r="49" ht="19.95" customHeight="1" s="227">
      <c r="A49" s="130" t="n">
        <v>46</v>
      </c>
      <c r="B49" s="130" t="inlineStr">
        <is>
          <t>BM-046</t>
        </is>
      </c>
      <c r="C49" s="130" t="n">
        <v>64</v>
      </c>
      <c r="D49" s="131" t="inlineStr">
        <is>
          <t>H.M.E.O. Constituyentes</t>
        </is>
      </c>
      <c r="E49" s="130" t="inlineStr">
        <is>
          <t>CDMX</t>
        </is>
      </c>
      <c r="F49" s="131" t="inlineStr">
        <is>
          <t>Sistema de diagnóstico oftálmico avanzado, marca Nidek, modelo TONOREF III</t>
        </is>
      </c>
      <c r="G49" s="131" t="inlineStr">
        <is>
          <t>Nidek</t>
        </is>
      </c>
      <c r="H49" s="131" t="inlineStr">
        <is>
          <t>TONOREF III</t>
        </is>
      </c>
      <c r="I49" s="130" t="inlineStr">
        <is>
          <t>170712</t>
        </is>
      </c>
      <c r="J49" s="130" t="inlineStr">
        <is>
          <t>OFTALMO</t>
        </is>
      </c>
      <c r="K49" s="130" t="inlineStr">
        <is>
          <t>S4</t>
        </is>
      </c>
      <c r="L49" s="130" t="n">
        <v>1</v>
      </c>
      <c r="M49" s="130" t="n">
        <v>2</v>
      </c>
      <c r="N49" s="130">
        <f>L49+M49</f>
        <v/>
      </c>
    </row>
    <row r="50" ht="19.95" customHeight="1" s="227">
      <c r="A50" s="128" t="n">
        <v>47</v>
      </c>
      <c r="B50" s="128" t="inlineStr">
        <is>
          <t>BM-047</t>
        </is>
      </c>
      <c r="C50" s="128" t="n">
        <v>65</v>
      </c>
      <c r="D50" s="129" t="inlineStr">
        <is>
          <t>H.M.E.O. Constituyentes</t>
        </is>
      </c>
      <c r="E50" s="128" t="inlineStr">
        <is>
          <t>CDMX</t>
        </is>
      </c>
      <c r="F50" s="129" t="inlineStr">
        <is>
          <t>Sistema de diagnóstico oftálmico avanzado, marca Nidek, modelo TONOREF III</t>
        </is>
      </c>
      <c r="G50" s="129" t="inlineStr">
        <is>
          <t>Nidek</t>
        </is>
      </c>
      <c r="H50" s="129" t="inlineStr">
        <is>
          <t>TONOREF III</t>
        </is>
      </c>
      <c r="I50" s="128" t="inlineStr">
        <is>
          <t>170715</t>
        </is>
      </c>
      <c r="J50" s="128" t="inlineStr">
        <is>
          <t>OFTALMO</t>
        </is>
      </c>
      <c r="K50" s="128" t="inlineStr">
        <is>
          <t>S4</t>
        </is>
      </c>
      <c r="L50" s="128" t="n">
        <v>1</v>
      </c>
      <c r="M50" s="128" t="n">
        <v>2</v>
      </c>
      <c r="N50" s="128">
        <f>L50+M50</f>
        <v/>
      </c>
    </row>
    <row r="51" ht="19.95" customHeight="1" s="227">
      <c r="A51" s="130" t="n">
        <v>48</v>
      </c>
      <c r="B51" s="130" t="inlineStr">
        <is>
          <t>BM-048</t>
        </is>
      </c>
      <c r="C51" s="130" t="n">
        <v>68</v>
      </c>
      <c r="D51" s="131" t="inlineStr">
        <is>
          <t>H.M.E.O. Constituyentes</t>
        </is>
      </c>
      <c r="E51" s="130" t="inlineStr">
        <is>
          <t>CDMX</t>
        </is>
      </c>
      <c r="F51" s="131" t="inlineStr">
        <is>
          <t>Sistema de diagnóstico oftálmico avanzado, marca Nidek, modelo OPD-Scan III</t>
        </is>
      </c>
      <c r="G51" s="131" t="inlineStr">
        <is>
          <t>Nidek</t>
        </is>
      </c>
      <c r="H51" s="131" t="inlineStr">
        <is>
          <t>OPD-Scan III</t>
        </is>
      </c>
      <c r="I51" s="130" t="inlineStr">
        <is>
          <t>470112</t>
        </is>
      </c>
      <c r="J51" s="130" t="inlineStr">
        <is>
          <t>OFTALMO</t>
        </is>
      </c>
      <c r="K51" s="130" t="inlineStr">
        <is>
          <t>S4</t>
        </is>
      </c>
      <c r="L51" s="130" t="n">
        <v>1</v>
      </c>
      <c r="M51" s="130" t="n">
        <v>2</v>
      </c>
      <c r="N51" s="130">
        <f>L51+M51</f>
        <v/>
      </c>
    </row>
    <row r="52" ht="19.95" customHeight="1" s="227">
      <c r="A52" s="128" t="n">
        <v>49</v>
      </c>
      <c r="B52" s="128" t="inlineStr">
        <is>
          <t>BM-049</t>
        </is>
      </c>
      <c r="C52" s="128" t="n">
        <v>69</v>
      </c>
      <c r="D52" s="129" t="inlineStr">
        <is>
          <t>H.M.E.O. Constituyentes</t>
        </is>
      </c>
      <c r="E52" s="128" t="inlineStr">
        <is>
          <t>CDMX</t>
        </is>
      </c>
      <c r="F52" s="129" t="inlineStr">
        <is>
          <t>Sistema de diagnóstico oftálmico avanzado, marca Nidek, modelo OPD-Scan III</t>
        </is>
      </c>
      <c r="G52" s="129" t="inlineStr">
        <is>
          <t>Nidek</t>
        </is>
      </c>
      <c r="H52" s="129" t="inlineStr">
        <is>
          <t>OPD-Scan III</t>
        </is>
      </c>
      <c r="I52" s="128" t="inlineStr">
        <is>
          <t>470113</t>
        </is>
      </c>
      <c r="J52" s="128" t="inlineStr">
        <is>
          <t>OFTALMO</t>
        </is>
      </c>
      <c r="K52" s="128" t="inlineStr">
        <is>
          <t>S4</t>
        </is>
      </c>
      <c r="L52" s="128" t="n">
        <v>1</v>
      </c>
      <c r="M52" s="128" t="n">
        <v>2</v>
      </c>
      <c r="N52" s="128">
        <f>L52+M52</f>
        <v/>
      </c>
    </row>
    <row r="53" ht="19.95" customHeight="1" s="227">
      <c r="A53" s="130" t="n">
        <v>50</v>
      </c>
      <c r="B53" s="130" t="inlineStr">
        <is>
          <t>BM-050</t>
        </is>
      </c>
      <c r="C53" s="130" t="n">
        <v>70</v>
      </c>
      <c r="D53" s="131" t="inlineStr">
        <is>
          <t>H.M.E.O. Constituyentes</t>
        </is>
      </c>
      <c r="E53" s="130" t="inlineStr">
        <is>
          <t>CDMX</t>
        </is>
      </c>
      <c r="F53" s="131" t="inlineStr">
        <is>
          <t>Plataforma láser oftálmica combinada YAG/SLT, marca Quantel Medical, modelo Optimis Fusion</t>
        </is>
      </c>
      <c r="G53" s="131" t="inlineStr">
        <is>
          <t>Quantel Medical</t>
        </is>
      </c>
      <c r="H53" s="131" t="inlineStr">
        <is>
          <t>Optimis Fusion</t>
        </is>
      </c>
      <c r="I53" s="130" t="inlineStr">
        <is>
          <t>62-10-135</t>
        </is>
      </c>
      <c r="J53" s="130" t="inlineStr">
        <is>
          <t>OFTALMO</t>
        </is>
      </c>
      <c r="K53" s="130" t="inlineStr">
        <is>
          <t>ARFAMEX</t>
        </is>
      </c>
      <c r="L53" s="130" t="n">
        <v>1</v>
      </c>
      <c r="M53" s="130" t="n">
        <v>2</v>
      </c>
      <c r="N53" s="130">
        <f>L53+M53</f>
        <v/>
      </c>
    </row>
    <row r="54" ht="19.95" customHeight="1" s="227">
      <c r="A54" s="128" t="n">
        <v>51</v>
      </c>
      <c r="B54" s="128" t="inlineStr">
        <is>
          <t>BM-051</t>
        </is>
      </c>
      <c r="C54" s="128" t="n">
        <v>71</v>
      </c>
      <c r="D54" s="129" t="inlineStr">
        <is>
          <t>H.M.E.O. Constituyentes</t>
        </is>
      </c>
      <c r="E54" s="128" t="inlineStr">
        <is>
          <t>CDMX</t>
        </is>
      </c>
      <c r="F54" s="129" t="inlineStr">
        <is>
          <t>Láser excimer, marca Alcon, modelo Wavelight</t>
        </is>
      </c>
      <c r="G54" s="129" t="inlineStr">
        <is>
          <t>Alcon</t>
        </is>
      </c>
      <c r="H54" s="129" t="inlineStr">
        <is>
          <t>Wavelight</t>
        </is>
      </c>
      <c r="I54" s="128" t="inlineStr">
        <is>
          <t>1016-4-3384</t>
        </is>
      </c>
      <c r="J54" s="128" t="inlineStr">
        <is>
          <t>OFTALMO</t>
        </is>
      </c>
      <c r="K54" s="128" t="inlineStr">
        <is>
          <t>ALCON</t>
        </is>
      </c>
      <c r="L54" s="128" t="n">
        <v>1</v>
      </c>
      <c r="M54" s="128" t="n">
        <v>2</v>
      </c>
      <c r="N54" s="128">
        <f>L54+M54</f>
        <v/>
      </c>
    </row>
    <row r="55" ht="19.95" customHeight="1" s="227">
      <c r="A55" s="130" t="n">
        <v>52</v>
      </c>
      <c r="B55" s="130" t="inlineStr">
        <is>
          <t>BM-052</t>
        </is>
      </c>
      <c r="C55" s="130" t="n">
        <v>72</v>
      </c>
      <c r="D55" s="131" t="inlineStr">
        <is>
          <t>H.M.E.O. Constituyentes</t>
        </is>
      </c>
      <c r="E55" s="130" t="inlineStr">
        <is>
          <t>CDMX</t>
        </is>
      </c>
      <c r="F55" s="131" t="inlineStr">
        <is>
          <t>Láser oftálmico, marca Quantel Medical, modelo Easyret</t>
        </is>
      </c>
      <c r="G55" s="131" t="inlineStr">
        <is>
          <t>Quantel Medical</t>
        </is>
      </c>
      <c r="H55" s="131" t="inlineStr">
        <is>
          <t>Easyret</t>
        </is>
      </c>
      <c r="I55" s="130" t="inlineStr">
        <is>
          <t>2209031</t>
        </is>
      </c>
      <c r="J55" s="130" t="inlineStr">
        <is>
          <t>OFTALMO</t>
        </is>
      </c>
      <c r="K55" s="130" t="inlineStr">
        <is>
          <t>ARFAMEX</t>
        </is>
      </c>
      <c r="L55" s="130" t="n">
        <v>1</v>
      </c>
      <c r="M55" s="130" t="n">
        <v>2</v>
      </c>
      <c r="N55" s="130">
        <f>L55+M55</f>
        <v/>
      </c>
    </row>
    <row r="56" ht="19.95" customHeight="1" s="227">
      <c r="A56" s="128" t="n">
        <v>53</v>
      </c>
      <c r="B56" s="128" t="inlineStr">
        <is>
          <t>BM-053</t>
        </is>
      </c>
      <c r="C56" s="128" t="n">
        <v>73</v>
      </c>
      <c r="D56" s="129" t="inlineStr">
        <is>
          <t>H.M.E.O. Constituyentes</t>
        </is>
      </c>
      <c r="E56" s="128" t="inlineStr">
        <is>
          <t>CDMX</t>
        </is>
      </c>
      <c r="F56" s="129" t="inlineStr">
        <is>
          <t>Láser oftálmico, marca Quantel Medical, modelo Easyret</t>
        </is>
      </c>
      <c r="G56" s="129" t="inlineStr">
        <is>
          <t>Quantel Medical</t>
        </is>
      </c>
      <c r="H56" s="129" t="inlineStr">
        <is>
          <t>Easyret</t>
        </is>
      </c>
      <c r="I56" s="128" t="inlineStr">
        <is>
          <t>2209032</t>
        </is>
      </c>
      <c r="J56" s="128" t="inlineStr">
        <is>
          <t>OFTALMO</t>
        </is>
      </c>
      <c r="K56" s="128" t="inlineStr">
        <is>
          <t>ARFAMEX</t>
        </is>
      </c>
      <c r="L56" s="128" t="n">
        <v>1</v>
      </c>
      <c r="M56" s="128" t="n">
        <v>2</v>
      </c>
      <c r="N56" s="128">
        <f>L56+M56</f>
        <v/>
      </c>
    </row>
    <row r="57" ht="19.95" customHeight="1" s="227">
      <c r="A57" s="130" t="n">
        <v>54</v>
      </c>
      <c r="B57" s="130" t="inlineStr">
        <is>
          <t>BM-054</t>
        </is>
      </c>
      <c r="C57" s="130" t="n">
        <v>74</v>
      </c>
      <c r="D57" s="131" t="inlineStr">
        <is>
          <t>H.M.E.O. Constituyentes</t>
        </is>
      </c>
      <c r="E57" s="130" t="inlineStr">
        <is>
          <t>CDMX</t>
        </is>
      </c>
      <c r="F57" s="131" t="inlineStr">
        <is>
          <t>Equipo para crosslinking ocular, marca KXL, modelo Avedro</t>
        </is>
      </c>
      <c r="G57" s="131" t="inlineStr">
        <is>
          <t>KXL</t>
        </is>
      </c>
      <c r="H57" s="131" t="inlineStr">
        <is>
          <t>Avedro</t>
        </is>
      </c>
      <c r="I57" s="130" t="inlineStr">
        <is>
          <t>KXL221005</t>
        </is>
      </c>
      <c r="J57" s="130" t="inlineStr">
        <is>
          <t>OFTALMO</t>
        </is>
      </c>
      <c r="K57" s="130" t="inlineStr">
        <is>
          <t>ARFAMEX</t>
        </is>
      </c>
      <c r="L57" s="130" t="n">
        <v>1</v>
      </c>
      <c r="M57" s="130" t="n">
        <v>2</v>
      </c>
      <c r="N57" s="130">
        <f>L57+M57</f>
        <v/>
      </c>
    </row>
    <row r="58" ht="19.95" customHeight="1" s="227">
      <c r="A58" s="128" t="n">
        <v>55</v>
      </c>
      <c r="B58" s="128" t="inlineStr">
        <is>
          <t>BM-055</t>
        </is>
      </c>
      <c r="C58" s="128" t="n">
        <v>75</v>
      </c>
      <c r="D58" s="129" t="inlineStr">
        <is>
          <t>H.M.E.O. Constituyentes</t>
        </is>
      </c>
      <c r="E58" s="128" t="inlineStr">
        <is>
          <t>CDMX</t>
        </is>
      </c>
      <c r="F58" s="129" t="inlineStr">
        <is>
          <t>OCT con retinógrafo integrado, marca Nidek, modelo Retina Scan DUO-2 (RS-300)</t>
        </is>
      </c>
      <c r="G58" s="129" t="inlineStr">
        <is>
          <t>Nidek</t>
        </is>
      </c>
      <c r="H58" s="129" t="inlineStr">
        <is>
          <t>Retina Scan DUO-2 (RS-300)</t>
        </is>
      </c>
      <c r="I58" s="128" t="inlineStr">
        <is>
          <t>742223</t>
        </is>
      </c>
      <c r="J58" s="128" t="inlineStr">
        <is>
          <t>OFTALMO</t>
        </is>
      </c>
      <c r="K58" s="128" t="inlineStr">
        <is>
          <t>S4</t>
        </is>
      </c>
      <c r="L58" s="128" t="n">
        <v>2</v>
      </c>
      <c r="M58" s="128" t="n">
        <v>4</v>
      </c>
      <c r="N58" s="128">
        <f>L58+M58</f>
        <v/>
      </c>
    </row>
    <row r="59" ht="19.95" customHeight="1" s="227">
      <c r="A59" s="130" t="n">
        <v>56</v>
      </c>
      <c r="B59" s="130" t="inlineStr">
        <is>
          <t>BM-056</t>
        </is>
      </c>
      <c r="C59" s="130" t="n">
        <v>76</v>
      </c>
      <c r="D59" s="131" t="inlineStr">
        <is>
          <t>H.M.E.O. Constituyentes</t>
        </is>
      </c>
      <c r="E59" s="130" t="inlineStr">
        <is>
          <t>CDMX</t>
        </is>
      </c>
      <c r="F59" s="131" t="inlineStr">
        <is>
          <t>OCT con retinógrafo integrado, marca Nidek, modelo Retina Scan DUO-2 (RS-300)</t>
        </is>
      </c>
      <c r="G59" s="131" t="inlineStr">
        <is>
          <t>Nidek</t>
        </is>
      </c>
      <c r="H59" s="131" t="inlineStr">
        <is>
          <t>Retina Scan DUO-2 (RS-300)</t>
        </is>
      </c>
      <c r="I59" s="130" t="inlineStr">
        <is>
          <t>741879</t>
        </is>
      </c>
      <c r="J59" s="130" t="inlineStr">
        <is>
          <t>OFTALMO</t>
        </is>
      </c>
      <c r="K59" s="130" t="inlineStr">
        <is>
          <t>S4</t>
        </is>
      </c>
      <c r="L59" s="130" t="n">
        <v>1</v>
      </c>
      <c r="M59" s="130" t="n">
        <v>2</v>
      </c>
      <c r="N59" s="130">
        <f>L59+M59</f>
        <v/>
      </c>
    </row>
    <row r="60" ht="19.95" customHeight="1" s="227">
      <c r="A60" s="128" t="n">
        <v>57</v>
      </c>
      <c r="B60" s="128" t="inlineStr">
        <is>
          <t>BM-057</t>
        </is>
      </c>
      <c r="C60" s="128" t="n">
        <v>77</v>
      </c>
      <c r="D60" s="129" t="inlineStr">
        <is>
          <t>H.M.E.O. Constituyentes</t>
        </is>
      </c>
      <c r="E60" s="128" t="inlineStr">
        <is>
          <t>CDMX</t>
        </is>
      </c>
      <c r="F60" s="129" t="inlineStr">
        <is>
          <t>OCT con retinógrafo integrado, marca Nidek, modelo Retina Scan DUO-2 (RS-300)</t>
        </is>
      </c>
      <c r="G60" s="129" t="inlineStr">
        <is>
          <t>Nidek</t>
        </is>
      </c>
      <c r="H60" s="129" t="inlineStr">
        <is>
          <t>Retina Scan DUO-2 (RS-300)</t>
        </is>
      </c>
      <c r="I60" s="128" t="inlineStr">
        <is>
          <t>742356</t>
        </is>
      </c>
      <c r="J60" s="128" t="inlineStr">
        <is>
          <t>OFTALMO</t>
        </is>
      </c>
      <c r="K60" s="128" t="inlineStr">
        <is>
          <t>S4</t>
        </is>
      </c>
      <c r="L60" s="128" t="n">
        <v>1</v>
      </c>
      <c r="M60" s="128" t="n">
        <v>2</v>
      </c>
      <c r="N60" s="128">
        <f>L60+M60</f>
        <v/>
      </c>
    </row>
    <row r="61" ht="19.95" customHeight="1" s="227">
      <c r="A61" s="130" t="n">
        <v>58</v>
      </c>
      <c r="B61" s="130" t="inlineStr">
        <is>
          <t>BM-058</t>
        </is>
      </c>
      <c r="C61" s="130" t="n">
        <v>78</v>
      </c>
      <c r="D61" s="131" t="inlineStr">
        <is>
          <t>H.M.E.O. Constituyentes</t>
        </is>
      </c>
      <c r="E61" s="130" t="inlineStr">
        <is>
          <t>CDMX</t>
        </is>
      </c>
      <c r="F61" s="131" t="inlineStr">
        <is>
          <t>OCT con retinógrafo integrado, marca Nidek, modelo Retina Scan DUO-2 (RS-300)</t>
        </is>
      </c>
      <c r="G61" s="131" t="inlineStr">
        <is>
          <t>Nidek</t>
        </is>
      </c>
      <c r="H61" s="131" t="inlineStr">
        <is>
          <t>Retina Scan DUO-2 (RS-300)</t>
        </is>
      </c>
      <c r="I61" s="130" t="inlineStr">
        <is>
          <t>741940</t>
        </is>
      </c>
      <c r="J61" s="130" t="inlineStr">
        <is>
          <t>OFTALMO</t>
        </is>
      </c>
      <c r="K61" s="130" t="inlineStr">
        <is>
          <t>S4</t>
        </is>
      </c>
      <c r="L61" s="130" t="n">
        <v>2</v>
      </c>
      <c r="M61" s="130" t="n">
        <v>4</v>
      </c>
      <c r="N61" s="130">
        <f>L61+M61</f>
        <v/>
      </c>
    </row>
    <row r="62" ht="19.95" customHeight="1" s="227">
      <c r="A62" s="128" t="n">
        <v>59</v>
      </c>
      <c r="B62" s="128" t="inlineStr">
        <is>
          <t>BM-059</t>
        </is>
      </c>
      <c r="C62" s="128" t="n">
        <v>79</v>
      </c>
      <c r="D62" s="129" t="inlineStr">
        <is>
          <t>H.M.E.O. Constituyentes</t>
        </is>
      </c>
      <c r="E62" s="128" t="inlineStr">
        <is>
          <t>CDMX</t>
        </is>
      </c>
      <c r="F62" s="129" t="inlineStr">
        <is>
          <t>Sistema de diagnóstico oftálmico avanzado, marca Heidelberg Engineering, modelo Spectralis</t>
        </is>
      </c>
      <c r="G62" s="129" t="inlineStr">
        <is>
          <t>Heidelberg Engineering</t>
        </is>
      </c>
      <c r="H62" s="129" t="inlineStr">
        <is>
          <t>Spectralis</t>
        </is>
      </c>
      <c r="I62" s="128" t="inlineStr">
        <is>
          <t>SPEC-CAM-21931-53610</t>
        </is>
      </c>
      <c r="J62" s="128" t="inlineStr">
        <is>
          <t>OFTALMO</t>
        </is>
      </c>
      <c r="K62" s="128" t="inlineStr">
        <is>
          <t>ARFAMEX</t>
        </is>
      </c>
      <c r="L62" s="128" t="n">
        <v>2</v>
      </c>
      <c r="M62" s="128" t="n">
        <v>4</v>
      </c>
      <c r="N62" s="128">
        <f>L62+M62</f>
        <v/>
      </c>
    </row>
    <row r="63" ht="19.95" customHeight="1" s="227">
      <c r="A63" s="130" t="n">
        <v>60</v>
      </c>
      <c r="B63" s="130" t="inlineStr">
        <is>
          <t>BM-060</t>
        </is>
      </c>
      <c r="C63" s="130" t="n">
        <v>80</v>
      </c>
      <c r="D63" s="131" t="inlineStr">
        <is>
          <t>H.M.E.O. Constituyentes</t>
        </is>
      </c>
      <c r="E63" s="130" t="inlineStr">
        <is>
          <t>CDMX</t>
        </is>
      </c>
      <c r="F63" s="131" t="inlineStr">
        <is>
          <t>Sistema de diagnóstico oftálmico avanzado, marca Heidelberg Engineering, modelo Spectralis</t>
        </is>
      </c>
      <c r="G63" s="131" t="inlineStr">
        <is>
          <t>Heidelberg Engineering</t>
        </is>
      </c>
      <c r="H63" s="131" t="inlineStr">
        <is>
          <t>Spectralis</t>
        </is>
      </c>
      <c r="I63" s="130" t="inlineStr">
        <is>
          <t>SPEC-CAM-21920-53610</t>
        </is>
      </c>
      <c r="J63" s="130" t="inlineStr">
        <is>
          <t>OFTALMO</t>
        </is>
      </c>
      <c r="K63" s="130" t="inlineStr">
        <is>
          <t>ARFAMEX</t>
        </is>
      </c>
      <c r="L63" s="130" t="n">
        <v>2</v>
      </c>
      <c r="M63" s="130" t="n">
        <v>4</v>
      </c>
      <c r="N63" s="130">
        <f>L63+M63</f>
        <v/>
      </c>
    </row>
    <row r="64" ht="19.95" customHeight="1" s="227">
      <c r="A64" s="128" t="n">
        <v>61</v>
      </c>
      <c r="B64" s="128" t="inlineStr">
        <is>
          <t>BM-061</t>
        </is>
      </c>
      <c r="C64" s="128" t="n">
        <v>81</v>
      </c>
      <c r="D64" s="129" t="inlineStr">
        <is>
          <t>H.M.E.O. Constituyentes</t>
        </is>
      </c>
      <c r="E64" s="128" t="inlineStr">
        <is>
          <t>CDMX</t>
        </is>
      </c>
      <c r="F64" s="129" t="inlineStr">
        <is>
          <t>Sistema de diagnóstico oftálmico avanzado, marca Heidelberg Engineering, modelo Spectralis</t>
        </is>
      </c>
      <c r="G64" s="129" t="inlineStr">
        <is>
          <t>Heidelberg Engineering</t>
        </is>
      </c>
      <c r="H64" s="129" t="inlineStr">
        <is>
          <t>Spectralis</t>
        </is>
      </c>
      <c r="I64" s="128" t="inlineStr">
        <is>
          <t>SPEC-CAM-21928-53610</t>
        </is>
      </c>
      <c r="J64" s="128" t="inlineStr">
        <is>
          <t>OFTALMO</t>
        </is>
      </c>
      <c r="K64" s="128" t="inlineStr">
        <is>
          <t>ARFAMEX</t>
        </is>
      </c>
      <c r="L64" s="128" t="n">
        <v>2</v>
      </c>
      <c r="M64" s="128" t="n">
        <v>4</v>
      </c>
      <c r="N64" s="128">
        <f>L64+M64</f>
        <v/>
      </c>
    </row>
    <row r="65" ht="19.95" customHeight="1" s="227">
      <c r="A65" s="130" t="n">
        <v>62</v>
      </c>
      <c r="B65" s="130" t="inlineStr">
        <is>
          <t>BM-062</t>
        </is>
      </c>
      <c r="C65" s="130" t="n">
        <v>82</v>
      </c>
      <c r="D65" s="131" t="inlineStr">
        <is>
          <t>H.M.E.O. Constituyentes</t>
        </is>
      </c>
      <c r="E65" s="130" t="inlineStr">
        <is>
          <t>CDMX</t>
        </is>
      </c>
      <c r="F65" s="131" t="inlineStr">
        <is>
          <t>Retinógrafo de campo ultra amplio, marca Optos, modelo California</t>
        </is>
      </c>
      <c r="G65" s="131" t="inlineStr">
        <is>
          <t>Optos</t>
        </is>
      </c>
      <c r="H65" s="131" t="inlineStr">
        <is>
          <t>California</t>
        </is>
      </c>
      <c r="I65" s="130" t="inlineStr">
        <is>
          <t>41652</t>
        </is>
      </c>
      <c r="J65" s="130" t="inlineStr">
        <is>
          <t>OFTALMO</t>
        </is>
      </c>
      <c r="K65" s="130" t="inlineStr">
        <is>
          <t>DEWIMED</t>
        </is>
      </c>
      <c r="L65" s="130" t="n">
        <v>1</v>
      </c>
      <c r="M65" s="130" t="n">
        <v>2</v>
      </c>
      <c r="N65" s="130">
        <f>L65+M65</f>
        <v/>
      </c>
    </row>
    <row r="66" ht="19.95" customHeight="1" s="227">
      <c r="A66" s="128" t="n">
        <v>63</v>
      </c>
      <c r="B66" s="128" t="inlineStr">
        <is>
          <t>BM-063</t>
        </is>
      </c>
      <c r="C66" s="128" t="n">
        <v>83</v>
      </c>
      <c r="D66" s="129" t="inlineStr">
        <is>
          <t>H.M.E.O. Constituyentes</t>
        </is>
      </c>
      <c r="E66" s="128" t="inlineStr">
        <is>
          <t>CDMX</t>
        </is>
      </c>
      <c r="F66" s="129" t="inlineStr">
        <is>
          <t>Retinógrafo de campo ultra amplio, marca Optos, modelo California</t>
        </is>
      </c>
      <c r="G66" s="129" t="inlineStr">
        <is>
          <t>Optos</t>
        </is>
      </c>
      <c r="H66" s="129" t="inlineStr">
        <is>
          <t>California</t>
        </is>
      </c>
      <c r="I66" s="128" t="inlineStr">
        <is>
          <t>41656</t>
        </is>
      </c>
      <c r="J66" s="128" t="inlineStr">
        <is>
          <t>OFTALMO</t>
        </is>
      </c>
      <c r="K66" s="128" t="inlineStr">
        <is>
          <t>DEWIMED</t>
        </is>
      </c>
      <c r="L66" s="128" t="n">
        <v>1</v>
      </c>
      <c r="M66" s="128" t="n">
        <v>2</v>
      </c>
      <c r="N66" s="128">
        <f>L66+M66</f>
        <v/>
      </c>
    </row>
    <row r="67" ht="19.95" customHeight="1" s="227">
      <c r="A67" s="130" t="n">
        <v>64</v>
      </c>
      <c r="B67" s="130" t="inlineStr">
        <is>
          <t>BM-064</t>
        </is>
      </c>
      <c r="C67" s="130" t="n">
        <v>87</v>
      </c>
      <c r="D67" s="131" t="inlineStr">
        <is>
          <t>H.M.R. Santa Lucía</t>
        </is>
      </c>
      <c r="E67" s="130" t="inlineStr">
        <is>
          <t>EDO DE MEX</t>
        </is>
      </c>
      <c r="F67" s="131" t="inlineStr">
        <is>
          <t>Autoqueratorrefractor, marca Nidek, modelo ARK-F</t>
        </is>
      </c>
      <c r="G67" s="131" t="inlineStr">
        <is>
          <t>Nidek</t>
        </is>
      </c>
      <c r="H67" s="131" t="inlineStr">
        <is>
          <t>ARK-F</t>
        </is>
      </c>
      <c r="I67" s="130" t="inlineStr">
        <is>
          <t>270010</t>
        </is>
      </c>
      <c r="J67" s="130" t="inlineStr">
        <is>
          <t>OFTALMO</t>
        </is>
      </c>
      <c r="K67" s="130" t="inlineStr">
        <is>
          <t>S4</t>
        </is>
      </c>
      <c r="L67" s="130" t="n">
        <v>1</v>
      </c>
      <c r="M67" s="130" t="n">
        <v>2</v>
      </c>
      <c r="N67" s="130">
        <f>L67+M67</f>
        <v/>
      </c>
    </row>
    <row r="68" ht="19.95" customHeight="1" s="227">
      <c r="A68" s="128" t="n">
        <v>65</v>
      </c>
      <c r="B68" s="128" t="inlineStr">
        <is>
          <t>BM-065</t>
        </is>
      </c>
      <c r="C68" s="128" t="n">
        <v>88</v>
      </c>
      <c r="D68" s="129" t="inlineStr">
        <is>
          <t>H.M.R. Santa Lucía</t>
        </is>
      </c>
      <c r="E68" s="128" t="inlineStr">
        <is>
          <t>EDO DE MEX</t>
        </is>
      </c>
      <c r="F68" s="129" t="inlineStr">
        <is>
          <t>Tomógrafo-topógrafo corneal, marca CSO, modelo Sirius</t>
        </is>
      </c>
      <c r="G68" s="129" t="inlineStr">
        <is>
          <t>CSO</t>
        </is>
      </c>
      <c r="H68" s="129" t="inlineStr">
        <is>
          <t>Sirius</t>
        </is>
      </c>
      <c r="I68" s="128" t="inlineStr">
        <is>
          <t>21091186</t>
        </is>
      </c>
      <c r="J68" s="128" t="inlineStr">
        <is>
          <t>OFTALMO</t>
        </is>
      </c>
      <c r="K68" s="128" t="inlineStr">
        <is>
          <t>S4</t>
        </is>
      </c>
      <c r="L68" s="128" t="n">
        <v>1</v>
      </c>
      <c r="M68" s="128" t="n">
        <v>2</v>
      </c>
      <c r="N68" s="128">
        <f>L68+M68</f>
        <v/>
      </c>
    </row>
    <row r="69" ht="19.95" customHeight="1" s="227">
      <c r="A69" s="130" t="n">
        <v>66</v>
      </c>
      <c r="B69" s="130" t="inlineStr">
        <is>
          <t>BM-066</t>
        </is>
      </c>
      <c r="C69" s="130" t="n">
        <v>94</v>
      </c>
      <c r="D69" s="131" t="inlineStr">
        <is>
          <t>H.M.R. Santa Lucía</t>
        </is>
      </c>
      <c r="E69" s="130" t="inlineStr">
        <is>
          <t>EDO DE MEX</t>
        </is>
      </c>
      <c r="F69" s="131" t="inlineStr">
        <is>
          <t>Fotocoagulador láser, marca Topcon, modelo Pascal Synthesis</t>
        </is>
      </c>
      <c r="G69" s="131" t="inlineStr">
        <is>
          <t>Topcon</t>
        </is>
      </c>
      <c r="H69" s="131" t="inlineStr">
        <is>
          <t>Pascal Synthesis</t>
        </is>
      </c>
      <c r="I69" s="130" t="inlineStr">
        <is>
          <t>79140219</t>
        </is>
      </c>
      <c r="J69" s="130" t="inlineStr">
        <is>
          <t>OFTALMO</t>
        </is>
      </c>
      <c r="K69" s="130" t="inlineStr">
        <is>
          <t>TOPCON</t>
        </is>
      </c>
      <c r="L69" s="130" t="n">
        <v>1</v>
      </c>
      <c r="M69" s="130" t="n">
        <v>2</v>
      </c>
      <c r="N69" s="130">
        <f>L69+M69</f>
        <v/>
      </c>
    </row>
    <row r="70" ht="19.95" customHeight="1" s="227">
      <c r="A70" s="132" t="n">
        <v>67</v>
      </c>
      <c r="B70" s="132" t="inlineStr">
        <is>
          <t>BM-102</t>
        </is>
      </c>
      <c r="C70" s="132" t="n">
        <v>99</v>
      </c>
      <c r="D70" s="133" t="inlineStr">
        <is>
          <t>H.M.Z. Cinco de Mayo</t>
        </is>
      </c>
      <c r="E70" s="132" t="inlineStr">
        <is>
          <t>DURANGO</t>
        </is>
      </c>
      <c r="F70" s="133" t="inlineStr">
        <is>
          <t>Rayos X fijo, marca Del Medical, modelo EV 800</t>
        </is>
      </c>
      <c r="G70" s="133" t="inlineStr">
        <is>
          <t>Del Medical</t>
        </is>
      </c>
      <c r="H70" s="133" t="inlineStr">
        <is>
          <t>EV 800</t>
        </is>
      </c>
      <c r="I70" s="132" t="inlineStr">
        <is>
          <t>02776-1019-W</t>
        </is>
      </c>
      <c r="J70" s="132" t="inlineStr">
        <is>
          <t>IMAGEN</t>
        </is>
      </c>
      <c r="K70" s="132" t="n"/>
      <c r="L70" s="132" t="n">
        <v>1</v>
      </c>
      <c r="M70" s="132" t="n">
        <v>2</v>
      </c>
      <c r="N70" s="132">
        <f>L70+M70</f>
        <v/>
      </c>
    </row>
    <row r="71" ht="19.95" customHeight="1" s="227">
      <c r="A71" s="132" t="n">
        <v>68</v>
      </c>
      <c r="B71" s="132" t="inlineStr">
        <is>
          <t>BM-103</t>
        </is>
      </c>
      <c r="C71" s="132" t="n">
        <v>107</v>
      </c>
      <c r="D71" s="133" t="inlineStr">
        <is>
          <t>H.C.M. Lomas de Sotelo</t>
        </is>
      </c>
      <c r="E71" s="132" t="inlineStr">
        <is>
          <t>CDMX</t>
        </is>
      </c>
      <c r="F71" s="133" t="inlineStr">
        <is>
          <t>Rayos X móvil, marca Fujifilm, modelo DR-XD 1000</t>
        </is>
      </c>
      <c r="G71" s="133" t="inlineStr">
        <is>
          <t>Fujifilm</t>
        </is>
      </c>
      <c r="H71" s="133" t="inlineStr">
        <is>
          <t>DR-XD 1000</t>
        </is>
      </c>
      <c r="I71" s="132" t="inlineStr">
        <is>
          <t>77250288</t>
        </is>
      </c>
      <c r="J71" s="132" t="inlineStr">
        <is>
          <t>IMAGEN</t>
        </is>
      </c>
      <c r="K71" s="132" t="n"/>
      <c r="L71" s="132" t="n">
        <v>1</v>
      </c>
      <c r="M71" s="132" t="n">
        <v>2</v>
      </c>
      <c r="N71" s="132">
        <f>L71+M71</f>
        <v/>
      </c>
    </row>
    <row r="72" ht="19.95" customHeight="1" s="227">
      <c r="A72" s="132" t="n">
        <v>69</v>
      </c>
      <c r="B72" s="132" t="inlineStr">
        <is>
          <t>BM-104</t>
        </is>
      </c>
      <c r="C72" s="132" t="n">
        <v>111</v>
      </c>
      <c r="D72" s="133" t="inlineStr">
        <is>
          <t>H.M.E.M. Y N. Lomas de Sotelo</t>
        </is>
      </c>
      <c r="E72" s="132" t="inlineStr">
        <is>
          <t>CDMX</t>
        </is>
      </c>
      <c r="F72" s="133" t="inlineStr">
        <is>
          <t>Rayos X móvil, marca Fujifilm, modelo FDR Go</t>
        </is>
      </c>
      <c r="G72" s="133" t="inlineStr">
        <is>
          <t>Fujifilm</t>
        </is>
      </c>
      <c r="H72" s="133" t="inlineStr">
        <is>
          <t>FDR Go</t>
        </is>
      </c>
      <c r="I72" s="132" t="inlineStr">
        <is>
          <t>566-19888-11</t>
        </is>
      </c>
      <c r="J72" s="132" t="inlineStr">
        <is>
          <t>IMAGEN</t>
        </is>
      </c>
      <c r="K72" s="132" t="n"/>
      <c r="L72" s="132" t="n">
        <v>1</v>
      </c>
      <c r="M72" s="132" t="n">
        <v>2</v>
      </c>
      <c r="N72" s="132">
        <f>L72+M72</f>
        <v/>
      </c>
    </row>
    <row r="73" ht="19.95" customHeight="1" s="227">
      <c r="A73" s="130" t="n">
        <v>70</v>
      </c>
      <c r="B73" s="130" t="inlineStr">
        <is>
          <t>BM-067</t>
        </is>
      </c>
      <c r="C73" s="130" t="n">
        <v>112</v>
      </c>
      <c r="D73" s="131" t="inlineStr">
        <is>
          <t>H.M.E.M. Y N. Lomas de Sotelo</t>
        </is>
      </c>
      <c r="E73" s="130" t="inlineStr">
        <is>
          <t>CDMX</t>
        </is>
      </c>
      <c r="F73" s="131" t="inlineStr">
        <is>
          <t>Sistema digital de imagen de campo amplio, marca Clarity Medical Systems, modelo RetCam 3</t>
        </is>
      </c>
      <c r="G73" s="131" t="inlineStr">
        <is>
          <t>Clarity Medical Systems</t>
        </is>
      </c>
      <c r="H73" s="131" t="inlineStr">
        <is>
          <t>RetCam 3</t>
        </is>
      </c>
      <c r="I73" s="130" t="inlineStr">
        <is>
          <t>RC7406</t>
        </is>
      </c>
      <c r="J73" s="130" t="inlineStr">
        <is>
          <t>OFTALMO</t>
        </is>
      </c>
      <c r="K73" s="130" t="n"/>
      <c r="L73" s="130" t="n">
        <v>1</v>
      </c>
      <c r="M73" s="130" t="n">
        <v>2</v>
      </c>
      <c r="N73" s="130">
        <f>L73+M73</f>
        <v/>
      </c>
    </row>
    <row r="74" ht="19.95" customHeight="1" s="227">
      <c r="A74" s="132" t="n">
        <v>71</v>
      </c>
      <c r="B74" s="132" t="inlineStr">
        <is>
          <t>BM-105</t>
        </is>
      </c>
      <c r="C74" s="132" t="n">
        <v>134</v>
      </c>
      <c r="D74" s="133" t="inlineStr">
        <is>
          <t>H.M.R. Tuxpan</t>
        </is>
      </c>
      <c r="E74" s="132" t="inlineStr">
        <is>
          <t>VERACRUZ</t>
        </is>
      </c>
      <c r="F74" s="133" t="inlineStr">
        <is>
          <t>Rayos X móvil, marca Fujifilm, modelo FDR Go</t>
        </is>
      </c>
      <c r="G74" s="133" t="inlineStr">
        <is>
          <t>Fujifilm</t>
        </is>
      </c>
      <c r="H74" s="133" t="inlineStr">
        <is>
          <t>FDR Go</t>
        </is>
      </c>
      <c r="I74" s="132" t="inlineStr">
        <is>
          <t>41DBBA14A019</t>
        </is>
      </c>
      <c r="J74" s="132" t="inlineStr">
        <is>
          <t>IMAGEN</t>
        </is>
      </c>
      <c r="K74" s="132" t="n"/>
      <c r="L74" s="132" t="n">
        <v>1</v>
      </c>
      <c r="M74" s="132" t="n">
        <v>2</v>
      </c>
      <c r="N74" s="132">
        <f>L74+M74</f>
        <v/>
      </c>
    </row>
    <row r="75" ht="19.95" customHeight="1" s="227">
      <c r="A75" s="132" t="n">
        <v>72</v>
      </c>
      <c r="B75" s="132" t="inlineStr">
        <is>
          <t>BM-106</t>
        </is>
      </c>
      <c r="C75" s="132" t="n">
        <v>140</v>
      </c>
      <c r="D75" s="133" t="inlineStr">
        <is>
          <t>H.M.R. Tuxtla Gutiérrez</t>
        </is>
      </c>
      <c r="E75" s="132" t="inlineStr">
        <is>
          <t>CHIAPAS</t>
        </is>
      </c>
      <c r="F75" s="133" t="inlineStr">
        <is>
          <t>Rayos X móvil, marca Fujifilm, modelo FDR Go</t>
        </is>
      </c>
      <c r="G75" s="133" t="inlineStr">
        <is>
          <t>Fujifilm</t>
        </is>
      </c>
      <c r="H75" s="133" t="inlineStr">
        <is>
          <t>FDR Go</t>
        </is>
      </c>
      <c r="I75" s="132" t="inlineStr">
        <is>
          <t>41DBBA146046</t>
        </is>
      </c>
      <c r="J75" s="132" t="inlineStr">
        <is>
          <t>IMAGEN</t>
        </is>
      </c>
      <c r="K75" s="132" t="n"/>
      <c r="L75" s="132" t="n">
        <v>1</v>
      </c>
      <c r="M75" s="132" t="n">
        <v>2</v>
      </c>
      <c r="N75" s="132">
        <f>L75+M75</f>
        <v/>
      </c>
    </row>
    <row r="76" ht="19.95" customHeight="1" s="227">
      <c r="A76" s="132" t="n">
        <v>73</v>
      </c>
      <c r="B76" s="132" t="inlineStr">
        <is>
          <t>BM-107</t>
        </is>
      </c>
      <c r="C76" s="132" t="n">
        <v>144</v>
      </c>
      <c r="D76" s="133" t="inlineStr">
        <is>
          <t>H.M.R.E. Mérida</t>
        </is>
      </c>
      <c r="E76" s="132" t="inlineStr">
        <is>
          <t>YUCATAN</t>
        </is>
      </c>
      <c r="F76" s="133" t="inlineStr">
        <is>
          <t>Rayos X móvil, marca Villa Sistemi Medicali, modelo Visitor T30 M-DR</t>
        </is>
      </c>
      <c r="G76" s="133" t="inlineStr">
        <is>
          <t>Villa Sistemi Medicali</t>
        </is>
      </c>
      <c r="H76" s="133" t="inlineStr">
        <is>
          <t>Visitor T30 M-DR</t>
        </is>
      </c>
      <c r="I76" s="132" t="inlineStr">
        <is>
          <t>17091017</t>
        </is>
      </c>
      <c r="J76" s="132" t="inlineStr">
        <is>
          <t>IMAGEN</t>
        </is>
      </c>
      <c r="K76" s="132" t="n"/>
      <c r="L76" s="132" t="n">
        <v>1</v>
      </c>
      <c r="M76" s="132" t="n">
        <v>2</v>
      </c>
      <c r="N76" s="132">
        <f>L76+M76</f>
        <v/>
      </c>
    </row>
    <row r="77" ht="19.95" customHeight="1" s="227">
      <c r="A77" s="132" t="n">
        <v>74</v>
      </c>
      <c r="B77" s="132" t="inlineStr">
        <is>
          <t>BM-108</t>
        </is>
      </c>
      <c r="C77" s="132" t="n">
        <v>145</v>
      </c>
      <c r="D77" s="133" t="inlineStr">
        <is>
          <t>H.M.R.E. Mérida</t>
        </is>
      </c>
      <c r="E77" s="132" t="inlineStr">
        <is>
          <t>YUCATAN</t>
        </is>
      </c>
      <c r="F77" s="133" t="inlineStr">
        <is>
          <t>Equipo de rayos X móvil, marca Technix, modelo TMS 320</t>
        </is>
      </c>
      <c r="G77" s="133" t="inlineStr">
        <is>
          <t>Technix</t>
        </is>
      </c>
      <c r="H77" s="133" t="inlineStr">
        <is>
          <t>TMS 320</t>
        </is>
      </c>
      <c r="I77" s="132" t="inlineStr">
        <is>
          <t>80-16-103-174</t>
        </is>
      </c>
      <c r="J77" s="132" t="inlineStr">
        <is>
          <t>IMAGEN</t>
        </is>
      </c>
      <c r="K77" s="132" t="n"/>
      <c r="L77" s="132" t="n">
        <v>1</v>
      </c>
      <c r="M77" s="132" t="n">
        <v>2</v>
      </c>
      <c r="N77" s="132">
        <f>L77+M77</f>
        <v/>
      </c>
    </row>
    <row r="78" ht="19.95" customHeight="1" s="227">
      <c r="A78" s="132" t="n">
        <v>75</v>
      </c>
      <c r="B78" s="132" t="inlineStr">
        <is>
          <t>BM-109</t>
        </is>
      </c>
      <c r="C78" s="132" t="n">
        <v>149</v>
      </c>
      <c r="D78" s="133" t="inlineStr">
        <is>
          <t>H.M.R. San Luis Potosí</t>
        </is>
      </c>
      <c r="E78" s="132" t="inlineStr">
        <is>
          <t>SAN LUIS POTOSI</t>
        </is>
      </c>
      <c r="F78" s="133" t="inlineStr">
        <is>
          <t>Equipo de rayos X móvil, marca Technix, modelo TMS 320</t>
        </is>
      </c>
      <c r="G78" s="133" t="inlineStr">
        <is>
          <t>Technix</t>
        </is>
      </c>
      <c r="H78" s="133" t="inlineStr">
        <is>
          <t>TMS 320</t>
        </is>
      </c>
      <c r="I78" s="132" t="inlineStr">
        <is>
          <t>80-16-87-158</t>
        </is>
      </c>
      <c r="J78" s="132" t="inlineStr">
        <is>
          <t>IMAGEN</t>
        </is>
      </c>
      <c r="K78" s="132" t="n"/>
      <c r="L78" s="132" t="n">
        <v>1</v>
      </c>
      <c r="M78" s="132" t="n">
        <v>2</v>
      </c>
      <c r="N78" s="132">
        <f>L78+M78</f>
        <v/>
      </c>
    </row>
    <row r="79" ht="19.95" customHeight="1" s="227">
      <c r="A79" s="132" t="n">
        <v>76</v>
      </c>
      <c r="B79" s="132" t="inlineStr">
        <is>
          <t>BM-110</t>
        </is>
      </c>
      <c r="C79" s="132" t="n">
        <v>152</v>
      </c>
      <c r="D79" s="133" t="inlineStr">
        <is>
          <t>H.M.R.E. Mazatlán</t>
        </is>
      </c>
      <c r="E79" s="132" t="inlineStr">
        <is>
          <t>SINALOA</t>
        </is>
      </c>
      <c r="F79" s="133" t="inlineStr">
        <is>
          <t>Impresora para placas radiográficas, marca Codonics, modelo Horizon Ci</t>
        </is>
      </c>
      <c r="G79" s="133" t="inlineStr">
        <is>
          <t>Codonics</t>
        </is>
      </c>
      <c r="H79" s="133" t="inlineStr">
        <is>
          <t>Horizon Ci</t>
        </is>
      </c>
      <c r="I79" s="132" t="inlineStr">
        <is>
          <t>50C00404C</t>
        </is>
      </c>
      <c r="J79" s="132" t="inlineStr">
        <is>
          <t>IMAGEN</t>
        </is>
      </c>
      <c r="K79" s="132" t="n"/>
      <c r="L79" s="132" t="n">
        <v>1</v>
      </c>
      <c r="M79" s="132" t="n">
        <v>2</v>
      </c>
      <c r="N79" s="132">
        <f>L79+M79</f>
        <v/>
      </c>
    </row>
    <row r="80" ht="19.95" customHeight="1" s="227">
      <c r="A80" s="128" t="n">
        <v>77</v>
      </c>
      <c r="B80" s="128" t="inlineStr">
        <is>
          <t>BM-068</t>
        </is>
      </c>
      <c r="C80" s="128" t="n">
        <v>154</v>
      </c>
      <c r="D80" s="129" t="inlineStr">
        <is>
          <t>H.M.R.E. Mazatlán</t>
        </is>
      </c>
      <c r="E80" s="128" t="inlineStr">
        <is>
          <t>SINALOA</t>
        </is>
      </c>
      <c r="F80" s="129" t="inlineStr">
        <is>
          <t>Microscopio para cirugía, marca Haag-Streit Surgical, modelo Moller Wedel</t>
        </is>
      </c>
      <c r="G80" s="129" t="inlineStr">
        <is>
          <t>Haag-Streit Surgical</t>
        </is>
      </c>
      <c r="H80" s="129" t="inlineStr">
        <is>
          <t>Moller Wedel</t>
        </is>
      </c>
      <c r="I80" s="128" t="inlineStr">
        <is>
          <t>30155514</t>
        </is>
      </c>
      <c r="J80" s="128" t="inlineStr">
        <is>
          <t>OFTALMO</t>
        </is>
      </c>
      <c r="K80" s="128" t="inlineStr">
        <is>
          <t>DEWIMED</t>
        </is>
      </c>
      <c r="L80" s="128" t="n">
        <v>1</v>
      </c>
      <c r="M80" s="128" t="n">
        <v>2</v>
      </c>
      <c r="N80" s="128">
        <f>L80+M80</f>
        <v/>
      </c>
    </row>
    <row r="81" ht="19.95" customHeight="1" s="227">
      <c r="A81" s="130" t="n">
        <v>78</v>
      </c>
      <c r="B81" s="130" t="inlineStr">
        <is>
          <t>BM-069</t>
        </is>
      </c>
      <c r="C81" s="130" t="n">
        <v>156</v>
      </c>
      <c r="D81" s="131" t="inlineStr">
        <is>
          <t>H.C.M. Lomas de Sotelo</t>
        </is>
      </c>
      <c r="E81" s="130" t="inlineStr">
        <is>
          <t>CDMX</t>
        </is>
      </c>
      <c r="F81" s="131" t="inlineStr">
        <is>
          <t>Equipo de rayos X móvil, marca Technix, modelo TMS 320</t>
        </is>
      </c>
      <c r="G81" s="131" t="inlineStr">
        <is>
          <t>Technix</t>
        </is>
      </c>
      <c r="H81" s="131" t="inlineStr">
        <is>
          <t>TMS 320</t>
        </is>
      </c>
      <c r="I81" s="130" t="inlineStr">
        <is>
          <t>80-16-79-150</t>
        </is>
      </c>
      <c r="J81" s="130" t="inlineStr">
        <is>
          <t>IMAGEN</t>
        </is>
      </c>
      <c r="K81" s="130" t="n"/>
      <c r="L81" s="130" t="n">
        <v>1</v>
      </c>
      <c r="M81" s="130" t="n">
        <v>2</v>
      </c>
      <c r="N81" s="130">
        <f>L81+M81</f>
        <v/>
      </c>
    </row>
    <row r="82" ht="19.95" customHeight="1" s="227">
      <c r="A82" s="128" t="n">
        <v>79</v>
      </c>
      <c r="B82" s="128" t="inlineStr">
        <is>
          <t>BM-070</t>
        </is>
      </c>
      <c r="C82" s="128" t="n">
        <v>159</v>
      </c>
      <c r="D82" s="129" t="inlineStr">
        <is>
          <t>H.M.R.E. Monterrey</t>
        </is>
      </c>
      <c r="E82" s="128" t="inlineStr">
        <is>
          <t>NUEVO LEON</t>
        </is>
      </c>
      <c r="F82" s="129" t="inlineStr">
        <is>
          <t>Microscopio para cirugía, marca Haag-Streit Surgical, modelo HS Hi-R 700</t>
        </is>
      </c>
      <c r="G82" s="129" t="inlineStr">
        <is>
          <t>Haag-Streit Surgical</t>
        </is>
      </c>
      <c r="H82" s="129" t="inlineStr">
        <is>
          <t>HS Hi-R 700</t>
        </is>
      </c>
      <c r="I82" s="128" t="inlineStr">
        <is>
          <t>1303</t>
        </is>
      </c>
      <c r="J82" s="128" t="inlineStr">
        <is>
          <t>OFTALMO</t>
        </is>
      </c>
      <c r="K82" s="128" t="inlineStr">
        <is>
          <t>DEWIMED</t>
        </is>
      </c>
      <c r="L82" s="128" t="n">
        <v>1</v>
      </c>
      <c r="M82" s="128" t="n">
        <v>2</v>
      </c>
      <c r="N82" s="128">
        <f>L82+M82</f>
        <v/>
      </c>
    </row>
    <row r="83" ht="19.95" customHeight="1" s="227">
      <c r="A83" s="132" t="n">
        <v>80</v>
      </c>
      <c r="B83" s="132" t="inlineStr">
        <is>
          <t>BM-111</t>
        </is>
      </c>
      <c r="C83" s="132" t="n">
        <v>162</v>
      </c>
      <c r="D83" s="133" t="inlineStr">
        <is>
          <t>H.M.R. Tampico</t>
        </is>
      </c>
      <c r="E83" s="132" t="inlineStr">
        <is>
          <t>TAMAULIPAS</t>
        </is>
      </c>
      <c r="F83" s="133" t="inlineStr">
        <is>
          <t>Equipo de rayos X móvil, marca Technix, modelo TMS 320</t>
        </is>
      </c>
      <c r="G83" s="133" t="inlineStr">
        <is>
          <t>Technix</t>
        </is>
      </c>
      <c r="H83" s="133" t="inlineStr">
        <is>
          <t>TMS 320</t>
        </is>
      </c>
      <c r="I83" s="132" t="inlineStr">
        <is>
          <t>80-16-89-160</t>
        </is>
      </c>
      <c r="J83" s="132" t="inlineStr">
        <is>
          <t>IMAGEN</t>
        </is>
      </c>
      <c r="K83" s="132" t="n"/>
      <c r="L83" s="132" t="n">
        <v>1</v>
      </c>
      <c r="M83" s="132" t="n">
        <v>2</v>
      </c>
      <c r="N83" s="132">
        <f>L83+M83</f>
        <v/>
      </c>
    </row>
    <row r="84" ht="19.95" customHeight="1" s="227">
      <c r="A84" s="132" t="n">
        <v>81</v>
      </c>
      <c r="B84" s="132" t="inlineStr">
        <is>
          <t>BM-112</t>
        </is>
      </c>
      <c r="C84" s="132" t="n">
        <v>163</v>
      </c>
      <c r="D84" s="133" t="inlineStr">
        <is>
          <t>H.M.Z. El Vergel, Iztapalapa</t>
        </is>
      </c>
      <c r="E84" s="132" t="inlineStr">
        <is>
          <t>CDMX</t>
        </is>
      </c>
      <c r="F84" s="133" t="inlineStr">
        <is>
          <t>Equipo de rayos X móvil, marca Technix, modelo TMS 320</t>
        </is>
      </c>
      <c r="G84" s="133" t="inlineStr">
        <is>
          <t>Technix</t>
        </is>
      </c>
      <c r="H84" s="133" t="inlineStr">
        <is>
          <t>TMS 320</t>
        </is>
      </c>
      <c r="I84" s="132" t="inlineStr">
        <is>
          <t>80-16-90-161</t>
        </is>
      </c>
      <c r="J84" s="132" t="inlineStr">
        <is>
          <t>IMAGEN</t>
        </is>
      </c>
      <c r="K84" s="132" t="n"/>
      <c r="L84" s="132" t="n">
        <v>1</v>
      </c>
      <c r="M84" s="132" t="n">
        <v>2</v>
      </c>
      <c r="N84" s="132">
        <f>L84+M84</f>
        <v/>
      </c>
    </row>
    <row r="85" ht="19.95" customHeight="1" s="227">
      <c r="A85" s="132" t="n">
        <v>82</v>
      </c>
      <c r="B85" s="132" t="inlineStr">
        <is>
          <t>BM-113</t>
        </is>
      </c>
      <c r="C85" s="132" t="n">
        <v>164</v>
      </c>
      <c r="D85" s="133" t="inlineStr">
        <is>
          <t>H.M.Z. Zapopan</t>
        </is>
      </c>
      <c r="E85" s="132" t="inlineStr">
        <is>
          <t>JALISCO</t>
        </is>
      </c>
      <c r="F85" s="133" t="inlineStr">
        <is>
          <t>Equipo de rayos X móvil, marca Technix, modelo TMS 320</t>
        </is>
      </c>
      <c r="G85" s="133" t="inlineStr">
        <is>
          <t>Technix</t>
        </is>
      </c>
      <c r="H85" s="133" t="inlineStr">
        <is>
          <t>TMS 320</t>
        </is>
      </c>
      <c r="I85" s="132" t="inlineStr">
        <is>
          <t>80-16-95-166</t>
        </is>
      </c>
      <c r="J85" s="132" t="inlineStr">
        <is>
          <t>IMAGEN</t>
        </is>
      </c>
      <c r="K85" s="132" t="n"/>
      <c r="L85" s="132" t="n">
        <v>1</v>
      </c>
      <c r="M85" s="132" t="n">
        <v>2</v>
      </c>
      <c r="N85" s="132">
        <f>L85+M85</f>
        <v/>
      </c>
    </row>
    <row r="86" ht="19.95" customHeight="1" s="227">
      <c r="A86" s="132" t="n">
        <v>83</v>
      </c>
      <c r="B86" s="132" t="inlineStr">
        <is>
          <t>BM-114</t>
        </is>
      </c>
      <c r="C86" s="132" t="n">
        <v>165</v>
      </c>
      <c r="D86" s="133" t="inlineStr">
        <is>
          <t>H.M.Z. Temamatla</t>
        </is>
      </c>
      <c r="E86" s="132" t="inlineStr">
        <is>
          <t>EDO DE MEX</t>
        </is>
      </c>
      <c r="F86" s="133" t="inlineStr">
        <is>
          <t>Equipo de rayos X móvil, marca Technix, modelo TMS 320</t>
        </is>
      </c>
      <c r="G86" s="133" t="inlineStr">
        <is>
          <t>Technix</t>
        </is>
      </c>
      <c r="H86" s="133" t="inlineStr">
        <is>
          <t>TMS 320</t>
        </is>
      </c>
      <c r="I86" s="132" t="inlineStr">
        <is>
          <t>80-16-105-176</t>
        </is>
      </c>
      <c r="J86" s="132" t="inlineStr">
        <is>
          <t>IMAGEN</t>
        </is>
      </c>
      <c r="K86" s="132" t="n"/>
      <c r="L86" s="132" t="n">
        <v>1</v>
      </c>
      <c r="M86" s="132" t="n">
        <v>2</v>
      </c>
      <c r="N86" s="132">
        <f>L86+M86</f>
        <v/>
      </c>
    </row>
    <row r="87" ht="19.95" customHeight="1" s="227">
      <c r="A87" s="132" t="n">
        <v>84</v>
      </c>
      <c r="B87" s="132" t="inlineStr">
        <is>
          <t>BM-115</t>
        </is>
      </c>
      <c r="C87" s="132" t="n">
        <v>166</v>
      </c>
      <c r="D87" s="133" t="inlineStr">
        <is>
          <t>H.M.Z. Ixcotel</t>
        </is>
      </c>
      <c r="E87" s="132" t="inlineStr">
        <is>
          <t>OAXACA</t>
        </is>
      </c>
      <c r="F87" s="133" t="inlineStr">
        <is>
          <t>Equipo de rayos X móvil, marca Technix, modelo TMS 320</t>
        </is>
      </c>
      <c r="G87" s="133" t="inlineStr">
        <is>
          <t>Technix</t>
        </is>
      </c>
      <c r="H87" s="133" t="inlineStr">
        <is>
          <t>TMS 320</t>
        </is>
      </c>
      <c r="I87" s="132" t="inlineStr">
        <is>
          <t>80-16-104-175</t>
        </is>
      </c>
      <c r="J87" s="132" t="inlineStr">
        <is>
          <t>IMAGEN</t>
        </is>
      </c>
      <c r="K87" s="132" t="n"/>
      <c r="L87" s="132" t="n">
        <v>1</v>
      </c>
      <c r="M87" s="132" t="n">
        <v>2</v>
      </c>
      <c r="N87" s="132">
        <f>L87+M87</f>
        <v/>
      </c>
    </row>
    <row r="88" ht="19.95" customHeight="1" s="227">
      <c r="A88" s="132" t="n">
        <v>85</v>
      </c>
      <c r="B88" s="132" t="inlineStr">
        <is>
          <t>BM-116</t>
        </is>
      </c>
      <c r="C88" s="132" t="n">
        <v>167</v>
      </c>
      <c r="D88" s="133" t="inlineStr">
        <is>
          <t>H.M.R. Hermosillo</t>
        </is>
      </c>
      <c r="E88" s="132" t="inlineStr">
        <is>
          <t>SONORA</t>
        </is>
      </c>
      <c r="F88" s="133" t="inlineStr">
        <is>
          <t>Equipo de rayos X móvil, marca Technix, modelo TMS 320</t>
        </is>
      </c>
      <c r="G88" s="133" t="inlineStr">
        <is>
          <t>Technix</t>
        </is>
      </c>
      <c r="H88" s="133" t="inlineStr">
        <is>
          <t>TMS 320</t>
        </is>
      </c>
      <c r="I88" s="132" t="inlineStr">
        <is>
          <t>80-16-80-151</t>
        </is>
      </c>
      <c r="J88" s="132" t="inlineStr">
        <is>
          <t>IMAGEN</t>
        </is>
      </c>
      <c r="K88" s="132" t="n"/>
      <c r="L88" s="132" t="n">
        <v>1</v>
      </c>
      <c r="M88" s="132" t="n">
        <v>2</v>
      </c>
      <c r="N88" s="132">
        <f>L88+M88</f>
        <v/>
      </c>
    </row>
    <row r="89" ht="19.95" customHeight="1" s="227">
      <c r="A89" s="132" t="n">
        <v>86</v>
      </c>
      <c r="B89" s="132" t="inlineStr">
        <is>
          <t>BM-117</t>
        </is>
      </c>
      <c r="C89" s="132" t="n">
        <v>168</v>
      </c>
      <c r="D89" s="133" t="inlineStr">
        <is>
          <t>H.M.R. Tuxtla Gutiérrez</t>
        </is>
      </c>
      <c r="E89" s="132" t="inlineStr">
        <is>
          <t>CHIAPAS</t>
        </is>
      </c>
      <c r="F89" s="133" t="inlineStr">
        <is>
          <t>Equipo de rayos X móvil, marca Technix, modelo TMS 320</t>
        </is>
      </c>
      <c r="G89" s="133" t="inlineStr">
        <is>
          <t>Technix</t>
        </is>
      </c>
      <c r="H89" s="133" t="inlineStr">
        <is>
          <t>TMS 320</t>
        </is>
      </c>
      <c r="I89" s="132" t="inlineStr">
        <is>
          <t>80-16-102-173</t>
        </is>
      </c>
      <c r="J89" s="132" t="inlineStr">
        <is>
          <t>IMAGEN</t>
        </is>
      </c>
      <c r="K89" s="132" t="n"/>
      <c r="L89" s="132" t="n">
        <v>1</v>
      </c>
      <c r="M89" s="132" t="n">
        <v>2</v>
      </c>
      <c r="N89" s="132">
        <f>L89+M89</f>
        <v/>
      </c>
    </row>
    <row r="90" ht="19.95" customHeight="1" s="227">
      <c r="A90" s="132" t="n">
        <v>87</v>
      </c>
      <c r="B90" s="132" t="inlineStr">
        <is>
          <t>BM-118</t>
        </is>
      </c>
      <c r="C90" s="132" t="n">
        <v>171</v>
      </c>
      <c r="D90" s="133" t="inlineStr">
        <is>
          <t>H.M.Z. Cuernavaca</t>
        </is>
      </c>
      <c r="E90" s="132" t="inlineStr">
        <is>
          <t>MORELOS</t>
        </is>
      </c>
      <c r="F90" s="133" t="inlineStr">
        <is>
          <t>Equipo de rayos X móvil, marca Technix, modelo TMS 320</t>
        </is>
      </c>
      <c r="G90" s="133" t="inlineStr">
        <is>
          <t>Technix</t>
        </is>
      </c>
      <c r="H90" s="133" t="inlineStr">
        <is>
          <t>TMS 320</t>
        </is>
      </c>
      <c r="I90" s="132" t="inlineStr">
        <is>
          <t>80-16-88-159</t>
        </is>
      </c>
      <c r="J90" s="132" t="inlineStr">
        <is>
          <t>IMAGEN</t>
        </is>
      </c>
      <c r="K90" s="132" t="n"/>
      <c r="L90" s="132" t="n">
        <v>1</v>
      </c>
      <c r="M90" s="132" t="n">
        <v>2</v>
      </c>
      <c r="N90" s="132">
        <f>L90+M90</f>
        <v/>
      </c>
    </row>
    <row r="91" ht="19.95" customHeight="1" s="227">
      <c r="A91" s="132" t="n">
        <v>88</v>
      </c>
      <c r="B91" s="132" t="inlineStr">
        <is>
          <t>BM-119</t>
        </is>
      </c>
      <c r="C91" s="132" t="n">
        <v>172</v>
      </c>
      <c r="D91" s="133" t="inlineStr">
        <is>
          <t>H.M.Z. Mexicali</t>
        </is>
      </c>
      <c r="E91" s="132" t="inlineStr">
        <is>
          <t>BAJA CALIFORNIA</t>
        </is>
      </c>
      <c r="F91" s="133" t="inlineStr">
        <is>
          <t>Equipo de rayos X móvil, marca Technix, modelo TMS 320</t>
        </is>
      </c>
      <c r="G91" s="133" t="inlineStr">
        <is>
          <t>Technix</t>
        </is>
      </c>
      <c r="H91" s="133" t="inlineStr">
        <is>
          <t>TMS 320</t>
        </is>
      </c>
      <c r="I91" s="132" t="inlineStr">
        <is>
          <t>80-16-83-154</t>
        </is>
      </c>
      <c r="J91" s="132" t="inlineStr">
        <is>
          <t>IMAGEN</t>
        </is>
      </c>
      <c r="K91" s="132" t="n"/>
      <c r="L91" s="132" t="n">
        <v>1</v>
      </c>
      <c r="M91" s="132" t="n">
        <v>2</v>
      </c>
      <c r="N91" s="132">
        <f>L91+M91</f>
        <v/>
      </c>
    </row>
    <row r="92" ht="19.95" customHeight="1" s="227">
      <c r="A92" s="132" t="n">
        <v>89</v>
      </c>
      <c r="B92" s="132" t="inlineStr">
        <is>
          <t>BM-120</t>
        </is>
      </c>
      <c r="C92" s="132" t="n">
        <v>175</v>
      </c>
      <c r="D92" s="133" t="inlineStr">
        <is>
          <t>H.M.R. El Ciprés</t>
        </is>
      </c>
      <c r="E92" s="132" t="inlineStr">
        <is>
          <t>BAJA CALIFORNIA</t>
        </is>
      </c>
      <c r="F92" s="133" t="inlineStr">
        <is>
          <t>Equipo de rayos X móvil, marca Technix, modelo TMS 320</t>
        </is>
      </c>
      <c r="G92" s="133" t="inlineStr">
        <is>
          <t>Technix</t>
        </is>
      </c>
      <c r="H92" s="133" t="inlineStr">
        <is>
          <t>TMS 320</t>
        </is>
      </c>
      <c r="I92" s="132" t="inlineStr">
        <is>
          <t>80-16-81-152</t>
        </is>
      </c>
      <c r="J92" s="132" t="inlineStr">
        <is>
          <t>IMAGEN</t>
        </is>
      </c>
      <c r="K92" s="132" t="n"/>
      <c r="L92" s="132" t="n">
        <v>1</v>
      </c>
      <c r="M92" s="132" t="n">
        <v>2</v>
      </c>
      <c r="N92" s="132">
        <f>L92+M92</f>
        <v/>
      </c>
    </row>
    <row r="93" ht="19.95" customHeight="1" s="227">
      <c r="A93" s="132" t="n">
        <v>90</v>
      </c>
      <c r="B93" s="132" t="inlineStr">
        <is>
          <t>BM-121</t>
        </is>
      </c>
      <c r="C93" s="132" t="n">
        <v>179</v>
      </c>
      <c r="D93" s="133" t="inlineStr">
        <is>
          <t>H.M.R.E. Guadalajara</t>
        </is>
      </c>
      <c r="E93" s="132" t="inlineStr">
        <is>
          <t>JALISCO</t>
        </is>
      </c>
      <c r="F93" s="133" t="inlineStr">
        <is>
          <t>Equipo de rayos X móvil, marca Technix, modelo TMS 320</t>
        </is>
      </c>
      <c r="G93" s="133" t="inlineStr">
        <is>
          <t>Technix</t>
        </is>
      </c>
      <c r="H93" s="133" t="inlineStr">
        <is>
          <t>TMS 320</t>
        </is>
      </c>
      <c r="I93" s="132" t="inlineStr">
        <is>
          <t>80-16-91-162</t>
        </is>
      </c>
      <c r="J93" s="132" t="inlineStr">
        <is>
          <t>IMAGEN</t>
        </is>
      </c>
      <c r="K93" s="132" t="n"/>
      <c r="L93" s="132" t="n">
        <v>1</v>
      </c>
      <c r="M93" s="132" t="n">
        <v>2</v>
      </c>
      <c r="N93" s="132">
        <f>L93+M93</f>
        <v/>
      </c>
    </row>
    <row r="94" ht="19.95" customHeight="1" s="227">
      <c r="A94" s="132" t="n">
        <v>91</v>
      </c>
      <c r="B94" s="132" t="inlineStr">
        <is>
          <t>BM-122</t>
        </is>
      </c>
      <c r="C94" s="132" t="n">
        <v>183</v>
      </c>
      <c r="D94" s="133" t="inlineStr">
        <is>
          <t>H.M.R.E. Mazatlán</t>
        </is>
      </c>
      <c r="E94" s="132" t="inlineStr">
        <is>
          <t>SINALOA</t>
        </is>
      </c>
      <c r="F94" s="133" t="inlineStr">
        <is>
          <t>Impresora para placas radiográficas, marca Fujifilm, modelo Drypix Smart</t>
        </is>
      </c>
      <c r="G94" s="133" t="inlineStr">
        <is>
          <t>Fujifilm</t>
        </is>
      </c>
      <c r="H94" s="133" t="inlineStr">
        <is>
          <t>Drypix Smart</t>
        </is>
      </c>
      <c r="I94" s="132" t="inlineStr">
        <is>
          <t>56728475</t>
        </is>
      </c>
      <c r="J94" s="132" t="inlineStr">
        <is>
          <t>IMAGEN</t>
        </is>
      </c>
      <c r="K94" s="132" t="n"/>
      <c r="L94" s="132" t="n">
        <v>1</v>
      </c>
      <c r="M94" s="132" t="n">
        <v>2</v>
      </c>
      <c r="N94" s="132">
        <f>L94+M94</f>
        <v/>
      </c>
    </row>
    <row r="95" ht="19.95" customHeight="1" s="227">
      <c r="A95" s="132" t="n">
        <v>92</v>
      </c>
      <c r="B95" s="132" t="inlineStr">
        <is>
          <t>BM-123</t>
        </is>
      </c>
      <c r="C95" s="132" t="n">
        <v>184</v>
      </c>
      <c r="D95" s="133" t="inlineStr">
        <is>
          <t>H.M.R.E. Mazatlán</t>
        </is>
      </c>
      <c r="E95" s="132" t="inlineStr">
        <is>
          <t>SINALOA</t>
        </is>
      </c>
      <c r="F95" s="133" t="inlineStr">
        <is>
          <t>Impresora para placas radiográficas, marca Fujifilm, modelo Drypix Smart</t>
        </is>
      </c>
      <c r="G95" s="133" t="inlineStr">
        <is>
          <t>Fujifilm</t>
        </is>
      </c>
      <c r="H95" s="133" t="inlineStr">
        <is>
          <t>Drypix Smart</t>
        </is>
      </c>
      <c r="I95" s="132" t="inlineStr">
        <is>
          <t>66131122</t>
        </is>
      </c>
      <c r="J95" s="132" t="inlineStr">
        <is>
          <t>IMAGEN</t>
        </is>
      </c>
      <c r="K95" s="132" t="n"/>
      <c r="L95" s="132" t="n">
        <v>1</v>
      </c>
      <c r="M95" s="132" t="n">
        <v>2</v>
      </c>
      <c r="N95" s="132">
        <f>L95+M95</f>
        <v/>
      </c>
    </row>
    <row r="96" ht="19.95" customHeight="1" s="227">
      <c r="A96" s="128" t="n">
        <v>93</v>
      </c>
      <c r="B96" s="128" t="inlineStr">
        <is>
          <t>BM-071</t>
        </is>
      </c>
      <c r="C96" s="128" t="n">
        <v>185</v>
      </c>
      <c r="D96" s="129" t="inlineStr">
        <is>
          <t>H.C.M. Lomas de Sotelo</t>
        </is>
      </c>
      <c r="E96" s="128" t="inlineStr">
        <is>
          <t>CDMX</t>
        </is>
      </c>
      <c r="F96" s="129" t="inlineStr">
        <is>
          <t>Sistema de diagnóstico oftálmico avanzado, marca Heidelberg Engineering, modelo Spectralis</t>
        </is>
      </c>
      <c r="G96" s="129" t="inlineStr">
        <is>
          <t>Heidelberg Engineering</t>
        </is>
      </c>
      <c r="H96" s="129" t="inlineStr">
        <is>
          <t>Spectralis</t>
        </is>
      </c>
      <c r="I96" s="128" t="inlineStr">
        <is>
          <t>SPECT-KT-05789</t>
        </is>
      </c>
      <c r="J96" s="128" t="inlineStr">
        <is>
          <t>OFTALMO</t>
        </is>
      </c>
      <c r="K96" s="128" t="inlineStr">
        <is>
          <t>ARFAMEX</t>
        </is>
      </c>
      <c r="L96" s="128" t="n">
        <v>2</v>
      </c>
      <c r="M96" s="128" t="n">
        <v>4</v>
      </c>
      <c r="N96" s="128">
        <f>L96+M96</f>
        <v/>
      </c>
    </row>
    <row r="97" ht="19.95" customHeight="1" s="227">
      <c r="A97" s="130" t="n">
        <v>94</v>
      </c>
      <c r="B97" s="130" t="inlineStr">
        <is>
          <t>BM-072</t>
        </is>
      </c>
      <c r="C97" s="130" t="n">
        <v>196</v>
      </c>
      <c r="D97" s="131" t="inlineStr">
        <is>
          <t>H.M.R.E. Monterrey</t>
        </is>
      </c>
      <c r="E97" s="130" t="inlineStr">
        <is>
          <t>NUEVO LEON</t>
        </is>
      </c>
      <c r="F97" s="131" t="inlineStr">
        <is>
          <t>Sistema de digitalización de imágenes, marca SUNI, modelo SUNI</t>
        </is>
      </c>
      <c r="G97" s="131" t="inlineStr">
        <is>
          <t>SUNI</t>
        </is>
      </c>
      <c r="H97" s="131" t="inlineStr">
        <is>
          <t>SUNI</t>
        </is>
      </c>
      <c r="I97" s="130" t="inlineStr">
        <is>
          <t>DI2014106149</t>
        </is>
      </c>
      <c r="J97" s="130" t="inlineStr">
        <is>
          <t>IMAGEN</t>
        </is>
      </c>
      <c r="K97" s="130" t="n"/>
      <c r="L97" s="130" t="n">
        <v>1</v>
      </c>
      <c r="M97" s="130" t="n">
        <v>2</v>
      </c>
      <c r="N97" s="130">
        <f>L97+M97</f>
        <v/>
      </c>
    </row>
    <row r="98" ht="19.95" customHeight="1" s="227">
      <c r="A98" s="132" t="n">
        <v>95</v>
      </c>
      <c r="B98" s="132" t="inlineStr">
        <is>
          <t>BM-124</t>
        </is>
      </c>
      <c r="C98" s="132" t="n">
        <v>198</v>
      </c>
      <c r="D98" s="133" t="inlineStr">
        <is>
          <t>H.M.Z. La Boticaría</t>
        </is>
      </c>
      <c r="E98" s="132" t="inlineStr">
        <is>
          <t>VERACRUZ</t>
        </is>
      </c>
      <c r="F98" s="133" t="inlineStr">
        <is>
          <t>Arco en C, marca Ziehm Imaging, modelo Vision R</t>
        </is>
      </c>
      <c r="G98" s="133" t="inlineStr">
        <is>
          <t>Ziehm Imaging</t>
        </is>
      </c>
      <c r="H98" s="133" t="inlineStr">
        <is>
          <t>Vision R</t>
        </is>
      </c>
      <c r="I98" s="132" t="inlineStr">
        <is>
          <t>10704</t>
        </is>
      </c>
      <c r="J98" s="132" t="inlineStr">
        <is>
          <t>IMAGEN</t>
        </is>
      </c>
      <c r="K98" s="132" t="n"/>
      <c r="L98" s="132" t="n">
        <v>1</v>
      </c>
      <c r="M98" s="132" t="n">
        <v>2</v>
      </c>
      <c r="N98" s="132">
        <f>L98+M98</f>
        <v/>
      </c>
    </row>
    <row r="99" ht="19.95" customHeight="1" s="227">
      <c r="A99" s="132" t="n">
        <v>96</v>
      </c>
      <c r="B99" s="132" t="inlineStr">
        <is>
          <t>BM-125</t>
        </is>
      </c>
      <c r="C99" s="132" t="n">
        <v>200</v>
      </c>
      <c r="D99" s="133" t="inlineStr">
        <is>
          <t>H.M.R. Chihuahua</t>
        </is>
      </c>
      <c r="E99" s="132" t="inlineStr">
        <is>
          <t>CHIHUAHUA</t>
        </is>
      </c>
      <c r="F99" s="133" t="inlineStr">
        <is>
          <t>Arco en C, marca Ziehm Imaging, modelo Vision R</t>
        </is>
      </c>
      <c r="G99" s="133" t="inlineStr">
        <is>
          <t>Ziehm Imaging</t>
        </is>
      </c>
      <c r="H99" s="133" t="inlineStr">
        <is>
          <t>Vision R</t>
        </is>
      </c>
      <c r="I99" s="132" t="inlineStr">
        <is>
          <t>10703</t>
        </is>
      </c>
      <c r="J99" s="132" t="inlineStr">
        <is>
          <t>IMAGEN</t>
        </is>
      </c>
      <c r="K99" s="132" t="n"/>
      <c r="L99" s="132" t="n">
        <v>1</v>
      </c>
      <c r="M99" s="132" t="n">
        <v>2</v>
      </c>
      <c r="N99" s="132">
        <f>L99+M99</f>
        <v/>
      </c>
    </row>
    <row r="100" ht="19.95" customHeight="1" s="227">
      <c r="A100" s="132" t="n">
        <v>97</v>
      </c>
      <c r="B100" s="132" t="inlineStr">
        <is>
          <t>BM-126</t>
        </is>
      </c>
      <c r="C100" s="132" t="n">
        <v>203</v>
      </c>
      <c r="D100" s="133" t="inlineStr">
        <is>
          <t>H.M.R. Tuxtla Gutiérrez</t>
        </is>
      </c>
      <c r="E100" s="132" t="inlineStr">
        <is>
          <t>CHIAPAS</t>
        </is>
      </c>
      <c r="F100" s="133" t="inlineStr">
        <is>
          <t>Topógrafo corneal , marca Bausch &amp; Lomb, modelo ORBSCAN lll</t>
        </is>
      </c>
      <c r="G100" s="133" t="inlineStr">
        <is>
          <t>Bausch &amp; Lomb</t>
        </is>
      </c>
      <c r="H100" s="133" t="inlineStr">
        <is>
          <t>ORBSCAN lll</t>
        </is>
      </c>
      <c r="I100" s="132" t="inlineStr">
        <is>
          <t>50004019-0093</t>
        </is>
      </c>
      <c r="J100" s="132" t="inlineStr">
        <is>
          <t>OFTALMO</t>
        </is>
      </c>
      <c r="K100" s="132" t="inlineStr">
        <is>
          <t>BAUSH</t>
        </is>
      </c>
      <c r="L100" s="132" t="n">
        <v>1</v>
      </c>
      <c r="M100" s="132" t="n">
        <v>2</v>
      </c>
      <c r="N100" s="132">
        <f>L100+M100</f>
        <v/>
      </c>
    </row>
    <row r="101" ht="19.95" customHeight="1" s="227">
      <c r="A101" s="130" t="n">
        <v>98</v>
      </c>
      <c r="B101" s="130" t="inlineStr">
        <is>
          <t>BM-073</t>
        </is>
      </c>
      <c r="C101" s="130" t="n">
        <v>208</v>
      </c>
      <c r="D101" s="131" t="inlineStr">
        <is>
          <t>H.M.R.E. Mérida</t>
        </is>
      </c>
      <c r="E101" s="130" t="inlineStr">
        <is>
          <t>YUCATAN</t>
        </is>
      </c>
      <c r="F101" s="131" t="inlineStr">
        <is>
          <t>Microscopio para cirugía, marca Leica, modelo M844F40</t>
        </is>
      </c>
      <c r="G101" s="131" t="inlineStr">
        <is>
          <t>Leica</t>
        </is>
      </c>
      <c r="H101" s="131" t="inlineStr">
        <is>
          <t>M844F40</t>
        </is>
      </c>
      <c r="I101" s="130" t="inlineStr">
        <is>
          <t>160516003</t>
        </is>
      </c>
      <c r="J101" s="130" t="inlineStr">
        <is>
          <t>OFTALMO</t>
        </is>
      </c>
      <c r="K101" s="130" t="inlineStr">
        <is>
          <t>COINDISA</t>
        </is>
      </c>
      <c r="L101" s="130" t="n">
        <v>1</v>
      </c>
      <c r="M101" s="130" t="n">
        <v>2</v>
      </c>
      <c r="N101" s="130">
        <f>L101+M101</f>
        <v/>
      </c>
    </row>
    <row r="102" ht="19.95" customHeight="1" s="227">
      <c r="A102" s="132" t="n">
        <v>99</v>
      </c>
      <c r="B102" s="132" t="inlineStr">
        <is>
          <t>BM-127</t>
        </is>
      </c>
      <c r="C102" s="132" t="n">
        <v>213</v>
      </c>
      <c r="D102" s="133" t="inlineStr">
        <is>
          <t>H.M.E.O. Constituyentes</t>
        </is>
      </c>
      <c r="E102" s="132" t="inlineStr">
        <is>
          <t>CDMX</t>
        </is>
      </c>
      <c r="F102" s="133" t="inlineStr">
        <is>
          <t>Ultrasonido modo A-B y UBM, marca Quantel Medical, modelo Compact Touch</t>
        </is>
      </c>
      <c r="G102" s="133" t="inlineStr">
        <is>
          <t>Quantel Medical</t>
        </is>
      </c>
      <c r="H102" s="133" t="inlineStr">
        <is>
          <t>Compact Touch</t>
        </is>
      </c>
      <c r="I102" s="132" t="inlineStr">
        <is>
          <t>2746</t>
        </is>
      </c>
      <c r="J102" s="132" t="inlineStr">
        <is>
          <t>OFTALMO</t>
        </is>
      </c>
      <c r="K102" s="132" t="inlineStr">
        <is>
          <t>ARFAMEX</t>
        </is>
      </c>
      <c r="L102" s="132" t="n">
        <v>1</v>
      </c>
      <c r="M102" s="132" t="n">
        <v>2</v>
      </c>
      <c r="N102" s="132">
        <f>L102+M102</f>
        <v/>
      </c>
    </row>
    <row r="103" ht="19.95" customHeight="1" s="227">
      <c r="A103" s="130" t="n">
        <v>100</v>
      </c>
      <c r="B103" s="130" t="inlineStr">
        <is>
          <t>BM-074</t>
        </is>
      </c>
      <c r="C103" s="130" t="n">
        <v>214</v>
      </c>
      <c r="D103" s="131" t="inlineStr">
        <is>
          <t>H.M.E.O. Constituyentes</t>
        </is>
      </c>
      <c r="E103" s="130" t="inlineStr">
        <is>
          <t>CDMX</t>
        </is>
      </c>
      <c r="F103" s="131" t="inlineStr">
        <is>
          <t>Cámara de Scheimpflug, marca Oculus, modelo Pentacam HR</t>
        </is>
      </c>
      <c r="G103" s="131" t="inlineStr">
        <is>
          <t>Oculus</t>
        </is>
      </c>
      <c r="H103" s="131" t="inlineStr">
        <is>
          <t>Pentacam HR</t>
        </is>
      </c>
      <c r="I103" s="130" t="inlineStr">
        <is>
          <t>64835160</t>
        </is>
      </c>
      <c r="J103" s="130" t="inlineStr">
        <is>
          <t>OFTALMO</t>
        </is>
      </c>
      <c r="K103" s="130" t="inlineStr">
        <is>
          <t>CYAN</t>
        </is>
      </c>
      <c r="L103" s="130" t="n">
        <v>1</v>
      </c>
      <c r="M103" s="130" t="n">
        <v>2</v>
      </c>
      <c r="N103" s="130">
        <f>L103+M103</f>
        <v/>
      </c>
    </row>
    <row r="104" ht="19.95" customHeight="1" s="227">
      <c r="A104" s="128" t="n">
        <v>101</v>
      </c>
      <c r="B104" s="128" t="inlineStr">
        <is>
          <t>BM-075</t>
        </is>
      </c>
      <c r="C104" s="128" t="n">
        <v>215</v>
      </c>
      <c r="D104" s="129" t="inlineStr">
        <is>
          <t>H.M.E.O. Constituyentes</t>
        </is>
      </c>
      <c r="E104" s="128" t="inlineStr">
        <is>
          <t>CDMX</t>
        </is>
      </c>
      <c r="F104" s="129" t="inlineStr">
        <is>
          <t>Unidad de banco de ojos, marca Varios, modelo Varios</t>
        </is>
      </c>
      <c r="G104" s="129" t="inlineStr">
        <is>
          <t>Varios</t>
        </is>
      </c>
      <c r="H104" s="129" t="inlineStr">
        <is>
          <t>Varios</t>
        </is>
      </c>
      <c r="I104" s="128" t="inlineStr">
        <is>
          <t>Varios</t>
        </is>
      </c>
      <c r="J104" s="128" t="inlineStr">
        <is>
          <t>OFTALMO</t>
        </is>
      </c>
      <c r="K104" s="128" t="inlineStr">
        <is>
          <t>MD</t>
        </is>
      </c>
      <c r="L104" s="128" t="n">
        <v>1</v>
      </c>
      <c r="M104" s="128" t="n">
        <v>2</v>
      </c>
      <c r="N104" s="128">
        <f>L104+M104</f>
        <v/>
      </c>
    </row>
    <row r="105" ht="19.95" customHeight="1" s="227">
      <c r="A105" s="130" t="n">
        <v>102</v>
      </c>
      <c r="B105" s="130" t="inlineStr">
        <is>
          <t>BM-076</t>
        </is>
      </c>
      <c r="C105" s="130" t="n">
        <v>218</v>
      </c>
      <c r="D105" s="131" t="inlineStr">
        <is>
          <t>H.M.E.M. Y N. Lomas de Sotelo</t>
        </is>
      </c>
      <c r="E105" s="130" t="inlineStr">
        <is>
          <t>CDMX</t>
        </is>
      </c>
      <c r="F105" s="131" t="inlineStr">
        <is>
          <t>Impresora para placas radiográficas, marca Codonics, modelo Horizon Ci</t>
        </is>
      </c>
      <c r="G105" s="131" t="inlineStr">
        <is>
          <t>Codonics</t>
        </is>
      </c>
      <c r="H105" s="131" t="inlineStr">
        <is>
          <t>Horizon Ci</t>
        </is>
      </c>
      <c r="I105" s="130" t="inlineStr">
        <is>
          <t>50C00394C</t>
        </is>
      </c>
      <c r="J105" s="130" t="inlineStr">
        <is>
          <t>IMAGEN</t>
        </is>
      </c>
      <c r="K105" s="130" t="n"/>
      <c r="L105" s="130" t="n">
        <v>1</v>
      </c>
      <c r="M105" s="130" t="n">
        <v>2</v>
      </c>
      <c r="N105" s="130">
        <f>L105+M105</f>
        <v/>
      </c>
    </row>
    <row r="106" ht="19.95" customHeight="1" s="227">
      <c r="A106" s="128" t="n">
        <v>103</v>
      </c>
      <c r="B106" s="128" t="inlineStr">
        <is>
          <t>BM-077</t>
        </is>
      </c>
      <c r="C106" s="128" t="n">
        <v>221</v>
      </c>
      <c r="D106" s="129" t="inlineStr">
        <is>
          <t>H.M.Z. La Boticaría</t>
        </is>
      </c>
      <c r="E106" s="128" t="inlineStr">
        <is>
          <t>VERACRUZ</t>
        </is>
      </c>
      <c r="F106" s="129" t="inlineStr">
        <is>
          <t>Sistema de digitalización de imágenes, marca Fujifilm, modelo Digitalizador: FCR Capsula XLII (CR-IR 359) Impresora: Drypix Plus</t>
        </is>
      </c>
      <c r="G106" s="129" t="inlineStr">
        <is>
          <t>Fujifilm</t>
        </is>
      </c>
      <c r="H106" s="129" t="inlineStr">
        <is>
          <t>Digitalizador: FCR Capsula XLII (CR-IR 359) Impresora: Drypix Plus</t>
        </is>
      </c>
      <c r="I106" s="128" t="inlineStr">
        <is>
          <t>Digitalizador: 46770610 Impresora: 36753809</t>
        </is>
      </c>
      <c r="J106" s="128" t="inlineStr">
        <is>
          <t>IMAGEN</t>
        </is>
      </c>
      <c r="K106" s="128" t="n"/>
      <c r="L106" s="128" t="n">
        <v>1</v>
      </c>
      <c r="M106" s="128" t="n">
        <v>2</v>
      </c>
      <c r="N106" s="128">
        <f>L106+M106</f>
        <v/>
      </c>
    </row>
    <row r="107" ht="19.95" customHeight="1" s="227">
      <c r="A107" s="130" t="n">
        <v>104</v>
      </c>
      <c r="B107" s="130" t="inlineStr">
        <is>
          <t>BM-078</t>
        </is>
      </c>
      <c r="C107" s="130" t="n">
        <v>222</v>
      </c>
      <c r="D107" s="131" t="inlineStr">
        <is>
          <t>H.M.Z. La Boticaría</t>
        </is>
      </c>
      <c r="E107" s="130" t="inlineStr">
        <is>
          <t>VERACRUZ</t>
        </is>
      </c>
      <c r="F107" s="131" t="inlineStr">
        <is>
          <t>Ultrasonido oftálmico, marca OPTIKON, modelo HiScan</t>
        </is>
      </c>
      <c r="G107" s="131" t="inlineStr">
        <is>
          <t>OPTIKON</t>
        </is>
      </c>
      <c r="H107" s="131" t="inlineStr">
        <is>
          <t>HiScan</t>
        </is>
      </c>
      <c r="I107" s="130" t="inlineStr">
        <is>
          <t>387BC</t>
        </is>
      </c>
      <c r="J107" s="130" t="inlineStr">
        <is>
          <t>OFTALMO</t>
        </is>
      </c>
      <c r="K107" s="130" t="inlineStr">
        <is>
          <t>OPTIKON</t>
        </is>
      </c>
      <c r="L107" s="130" t="n">
        <v>1</v>
      </c>
      <c r="M107" s="130" t="n">
        <v>2</v>
      </c>
      <c r="N107" s="130">
        <f>L107+M107</f>
        <v/>
      </c>
    </row>
    <row r="108" ht="19.95" customHeight="1" s="227">
      <c r="A108" s="132" t="n">
        <v>105</v>
      </c>
      <c r="B108" s="132" t="inlineStr">
        <is>
          <t>BM-128</t>
        </is>
      </c>
      <c r="C108" s="132" t="n">
        <v>223</v>
      </c>
      <c r="D108" s="133" t="inlineStr">
        <is>
          <t>H.M.R. Chilpancingo</t>
        </is>
      </c>
      <c r="E108" s="132" t="inlineStr">
        <is>
          <t>GUERRERO</t>
        </is>
      </c>
      <c r="F108" s="133" t="inlineStr">
        <is>
          <t>Rayos X móvil, marca Shimadzu, modelo MobileArt Evolution</t>
        </is>
      </c>
      <c r="G108" s="133" t="inlineStr">
        <is>
          <t>Shimadzu</t>
        </is>
      </c>
      <c r="H108" s="133" t="inlineStr">
        <is>
          <t>MobileArt Evolution</t>
        </is>
      </c>
      <c r="I108" s="132" t="inlineStr">
        <is>
          <t>41000333B017</t>
        </is>
      </c>
      <c r="J108" s="132" t="inlineStr">
        <is>
          <t>IMAGEN</t>
        </is>
      </c>
      <c r="K108" s="132" t="n"/>
      <c r="L108" s="132" t="n">
        <v>1</v>
      </c>
      <c r="M108" s="132" t="n">
        <v>2</v>
      </c>
      <c r="N108" s="132">
        <f>L108+M108</f>
        <v/>
      </c>
    </row>
    <row r="109" ht="19.95" customHeight="1" s="227">
      <c r="A109" s="132" t="n">
        <v>106</v>
      </c>
      <c r="B109" s="132" t="inlineStr">
        <is>
          <t>BM-129</t>
        </is>
      </c>
      <c r="C109" s="132" t="n">
        <v>225</v>
      </c>
      <c r="D109" s="133" t="inlineStr">
        <is>
          <t>H.M.Z. Guadalupe</t>
        </is>
      </c>
      <c r="E109" s="132" t="inlineStr">
        <is>
          <t>ZACATECAS</t>
        </is>
      </c>
      <c r="F109" s="133" t="inlineStr">
        <is>
          <t>Equipo de rayos X móvil, marca Technix, modelo TMS 320</t>
        </is>
      </c>
      <c r="G109" s="133" t="inlineStr">
        <is>
          <t>Technix</t>
        </is>
      </c>
      <c r="H109" s="133" t="inlineStr">
        <is>
          <t>TMS 320</t>
        </is>
      </c>
      <c r="I109" s="132" t="inlineStr">
        <is>
          <t>80-16-86-157</t>
        </is>
      </c>
      <c r="J109" s="132" t="inlineStr">
        <is>
          <t>IMAGEN</t>
        </is>
      </c>
      <c r="K109" s="132" t="n"/>
      <c r="L109" s="132" t="n">
        <v>1</v>
      </c>
      <c r="M109" s="132" t="n">
        <v>2</v>
      </c>
      <c r="N109" s="132">
        <f>L109+M109</f>
        <v/>
      </c>
    </row>
    <row r="110" ht="19.95" customHeight="1" s="227">
      <c r="A110" s="132" t="n">
        <v>107</v>
      </c>
      <c r="B110" s="132" t="inlineStr">
        <is>
          <t>BM-130</t>
        </is>
      </c>
      <c r="C110" s="132" t="n">
        <v>226</v>
      </c>
      <c r="D110" s="133" t="inlineStr">
        <is>
          <t>H.M.R. Chihuahua</t>
        </is>
      </c>
      <c r="E110" s="132" t="inlineStr">
        <is>
          <t>CHIHUAHUA</t>
        </is>
      </c>
      <c r="F110" s="133" t="inlineStr">
        <is>
          <t>Sistema de digitalización de imágenes, marca Fujifilm, modelo Digitalizador: FCR Capsula XLII (CR-IR 359) Impresora: Drypix 4000</t>
        </is>
      </c>
      <c r="G110" s="133" t="inlineStr">
        <is>
          <t>Fujifilm</t>
        </is>
      </c>
      <c r="H110" s="133" t="inlineStr">
        <is>
          <t>Digitalizador: FCR Capsula XLII (CR-IR 359) Impresora: Drypix 4000</t>
        </is>
      </c>
      <c r="I110" s="132" t="inlineStr">
        <is>
          <t>Digitalizador: 37240106 Impresora: 36653761</t>
        </is>
      </c>
      <c r="J110" s="132" t="inlineStr">
        <is>
          <t>IMAGEN</t>
        </is>
      </c>
      <c r="K110" s="132" t="n"/>
      <c r="L110" s="132" t="n">
        <v>1</v>
      </c>
      <c r="M110" s="132" t="n">
        <v>2</v>
      </c>
      <c r="N110" s="132">
        <f>L110+M110</f>
        <v/>
      </c>
    </row>
    <row r="111" ht="19.95" customHeight="1" s="227">
      <c r="A111" s="130" t="n">
        <v>108</v>
      </c>
      <c r="B111" s="130" t="inlineStr">
        <is>
          <t>BM-079</t>
        </is>
      </c>
      <c r="C111" s="130" t="n">
        <v>227</v>
      </c>
      <c r="D111" s="131" t="inlineStr">
        <is>
          <t>H.M.Z. Temamatla</t>
        </is>
      </c>
      <c r="E111" s="130" t="inlineStr">
        <is>
          <t>EDO DE MEX</t>
        </is>
      </c>
      <c r="F111" s="131" t="inlineStr">
        <is>
          <t>Sistema de digitalización de imágenes, marca Fujifilm, modelo Digitalizador: FCR Capsula XLII (CR-IR 359) Impresora: Drypix 4000</t>
        </is>
      </c>
      <c r="G111" s="131" t="inlineStr">
        <is>
          <t>Fujifilm</t>
        </is>
      </c>
      <c r="H111" s="131" t="inlineStr">
        <is>
          <t>Digitalizador: FCR Capsula XLII (CR-IR 359) Impresora: Drypix 4000</t>
        </is>
      </c>
      <c r="I111" s="130" t="inlineStr">
        <is>
          <t>Digitalizador: 46370281 Impresora: 36753805</t>
        </is>
      </c>
      <c r="J111" s="130" t="inlineStr">
        <is>
          <t>IMAGEN</t>
        </is>
      </c>
      <c r="K111" s="130" t="n"/>
      <c r="L111" s="130" t="n">
        <v>1</v>
      </c>
      <c r="M111" s="130" t="n">
        <v>2</v>
      </c>
      <c r="N111" s="130">
        <f>L111+M111</f>
        <v/>
      </c>
    </row>
    <row r="112" ht="19.95" customHeight="1" s="227">
      <c r="A112" s="128" t="n">
        <v>109</v>
      </c>
      <c r="B112" s="128" t="inlineStr">
        <is>
          <t>BM-080</t>
        </is>
      </c>
      <c r="C112" s="128" t="n">
        <v>228</v>
      </c>
      <c r="D112" s="129" t="inlineStr">
        <is>
          <t>H.M.Z. Temamatla</t>
        </is>
      </c>
      <c r="E112" s="128" t="inlineStr">
        <is>
          <t>EDO DE MEX</t>
        </is>
      </c>
      <c r="F112" s="129" t="inlineStr">
        <is>
          <t>Impresora para placas radiográficas, marca Konica Minolta, modelo DryPro 873</t>
        </is>
      </c>
      <c r="G112" s="129" t="inlineStr">
        <is>
          <t>Konica Minolta</t>
        </is>
      </c>
      <c r="H112" s="129" t="inlineStr">
        <is>
          <t>DryPro 873</t>
        </is>
      </c>
      <c r="I112" s="128" t="inlineStr">
        <is>
          <t>0992-50128</t>
        </is>
      </c>
      <c r="J112" s="128" t="inlineStr">
        <is>
          <t>IMAGEN</t>
        </is>
      </c>
      <c r="K112" s="128" t="n"/>
      <c r="L112" s="128" t="n">
        <v>1</v>
      </c>
      <c r="M112" s="128" t="n">
        <v>2</v>
      </c>
      <c r="N112" s="128">
        <f>L112+M112</f>
        <v/>
      </c>
    </row>
    <row r="113" ht="19.95" customHeight="1" s="227">
      <c r="A113" s="132" t="n">
        <v>110</v>
      </c>
      <c r="B113" s="132" t="inlineStr">
        <is>
          <t>BM-131</t>
        </is>
      </c>
      <c r="C113" s="132" t="n">
        <v>230</v>
      </c>
      <c r="D113" s="133" t="inlineStr">
        <is>
          <t>H.M.R., Irapuato</t>
        </is>
      </c>
      <c r="E113" s="132" t="inlineStr">
        <is>
          <t>GUANAJUATO</t>
        </is>
      </c>
      <c r="F113" s="133" t="inlineStr">
        <is>
          <t>Equipo de rayos X móvil, marca Technix, modelo TMS 320</t>
        </is>
      </c>
      <c r="G113" s="133" t="inlineStr">
        <is>
          <t>Technix</t>
        </is>
      </c>
      <c r="H113" s="133" t="inlineStr">
        <is>
          <t>TMS 320</t>
        </is>
      </c>
      <c r="I113" s="132" t="inlineStr">
        <is>
          <t>80-16-85-156</t>
        </is>
      </c>
      <c r="J113" s="132" t="inlineStr">
        <is>
          <t>IMAGEN</t>
        </is>
      </c>
      <c r="K113" s="132" t="n"/>
      <c r="L113" s="132" t="n">
        <v>1</v>
      </c>
      <c r="M113" s="132" t="n">
        <v>2</v>
      </c>
      <c r="N113" s="132">
        <f>L113+M113</f>
        <v/>
      </c>
    </row>
    <row r="114" ht="19.95" customHeight="1" s="227">
      <c r="A114" s="128" t="n">
        <v>111</v>
      </c>
      <c r="B114" s="128" t="inlineStr">
        <is>
          <t>BM-081</t>
        </is>
      </c>
      <c r="C114" s="128" t="n">
        <v>231</v>
      </c>
      <c r="D114" s="129" t="inlineStr">
        <is>
          <t>H.M.Z. Cuernavaca</t>
        </is>
      </c>
      <c r="E114" s="128" t="inlineStr">
        <is>
          <t>MORELOS</t>
        </is>
      </c>
      <c r="F114" s="129" t="inlineStr">
        <is>
          <t>Sistema de digitalización de imágenes, marca Fujifilm, modelo Digitalizador: FCR Capsula XLII (CR-IR 359) Impresora: Drypix 4000</t>
        </is>
      </c>
      <c r="G114" s="129" t="inlineStr">
        <is>
          <t>Fujifilm</t>
        </is>
      </c>
      <c r="H114" s="129" t="inlineStr">
        <is>
          <t>Digitalizador: FCR Capsula XLII (CR-IR 359) Impresora: Drypix 4000</t>
        </is>
      </c>
      <c r="I114" s="128" t="inlineStr">
        <is>
          <t>Digitalizador: 46770614 Impresora: 36653758</t>
        </is>
      </c>
      <c r="J114" s="128" t="inlineStr">
        <is>
          <t>IMAGEN</t>
        </is>
      </c>
      <c r="K114" s="128" t="n"/>
      <c r="L114" s="128" t="n">
        <v>1</v>
      </c>
      <c r="M114" s="128" t="n">
        <v>2</v>
      </c>
      <c r="N114" s="128">
        <f>L114+M114</f>
        <v/>
      </c>
    </row>
    <row r="115" ht="19.95" customHeight="1" s="227">
      <c r="A115" s="130" t="n">
        <v>112</v>
      </c>
      <c r="B115" s="130" t="inlineStr">
        <is>
          <t>BM-082</t>
        </is>
      </c>
      <c r="C115" s="130" t="n">
        <v>232</v>
      </c>
      <c r="D115" s="131" t="inlineStr">
        <is>
          <t>H.M.R. Acapulco</t>
        </is>
      </c>
      <c r="E115" s="130" t="inlineStr">
        <is>
          <t>GUERRERO</t>
        </is>
      </c>
      <c r="F115" s="131" t="inlineStr">
        <is>
          <t>Digitalizador de placas radiográficas, marca Fujifilm, modelo CR-IR359</t>
        </is>
      </c>
      <c r="G115" s="131" t="inlineStr">
        <is>
          <t>Fujifilm</t>
        </is>
      </c>
      <c r="H115" s="131" t="inlineStr">
        <is>
          <t>CR-IR359</t>
        </is>
      </c>
      <c r="I115" s="130" t="inlineStr">
        <is>
          <t>46270262</t>
        </is>
      </c>
      <c r="J115" s="130" t="inlineStr">
        <is>
          <t>IMAGEN</t>
        </is>
      </c>
      <c r="K115" s="130" t="n"/>
      <c r="L115" s="130" t="n">
        <v>1</v>
      </c>
      <c r="M115" s="130" t="n">
        <v>2</v>
      </c>
      <c r="N115" s="130">
        <f>L115+M115</f>
        <v/>
      </c>
    </row>
    <row r="116" ht="19.95" customHeight="1" s="227">
      <c r="A116" s="132" t="n">
        <v>113</v>
      </c>
      <c r="B116" s="132" t="inlineStr">
        <is>
          <t>BM-132</t>
        </is>
      </c>
      <c r="C116" s="132" t="n">
        <v>265</v>
      </c>
      <c r="D116" s="133" t="inlineStr">
        <is>
          <t>H.M.Z. Santa María Rayón</t>
        </is>
      </c>
      <c r="E116" s="132" t="inlineStr">
        <is>
          <t>EDO DE MEX</t>
        </is>
      </c>
      <c r="F116" s="133" t="inlineStr">
        <is>
          <t>Rayos X móvil, marca Listem, modelo MOBIX-1000</t>
        </is>
      </c>
      <c r="G116" s="133" t="inlineStr">
        <is>
          <t>Listem</t>
        </is>
      </c>
      <c r="H116" s="133" t="inlineStr">
        <is>
          <t>MOBIX-1000</t>
        </is>
      </c>
      <c r="I116" s="132" t="inlineStr">
        <is>
          <t>10 0155</t>
        </is>
      </c>
      <c r="J116" s="132" t="inlineStr">
        <is>
          <t>IMAGEN</t>
        </is>
      </c>
      <c r="K116" s="132" t="n"/>
      <c r="L116" s="132" t="n">
        <v>1</v>
      </c>
      <c r="M116" s="132" t="n">
        <v>2</v>
      </c>
      <c r="N116" s="132">
        <f>L116+M116</f>
        <v/>
      </c>
    </row>
    <row r="117" ht="19.95" customHeight="1" s="227">
      <c r="A117" s="130" t="n">
        <v>114</v>
      </c>
      <c r="B117" s="130" t="inlineStr">
        <is>
          <t>BM-083</t>
        </is>
      </c>
      <c r="C117" s="130" t="n">
        <v>268</v>
      </c>
      <c r="D117" s="131" t="inlineStr">
        <is>
          <t>H.M.Z. Ixcotel</t>
        </is>
      </c>
      <c r="E117" s="130" t="inlineStr">
        <is>
          <t>OAXACA</t>
        </is>
      </c>
      <c r="F117" s="131" t="inlineStr">
        <is>
          <t>Fotocoagulador láser , marca Meridian AG, modelo SLA-UNI</t>
        </is>
      </c>
      <c r="G117" s="131" t="inlineStr">
        <is>
          <t>Meridian AG</t>
        </is>
      </c>
      <c r="H117" s="131" t="inlineStr">
        <is>
          <t>SLA-UNI</t>
        </is>
      </c>
      <c r="I117" s="130" t="inlineStr">
        <is>
          <t>0069</t>
        </is>
      </c>
      <c r="J117" s="130" t="inlineStr">
        <is>
          <t>OFTALMO</t>
        </is>
      </c>
      <c r="K117" s="130" t="inlineStr">
        <is>
          <t>DEWIMED</t>
        </is>
      </c>
      <c r="L117" s="130" t="n">
        <v>1</v>
      </c>
      <c r="M117" s="130" t="n">
        <v>2</v>
      </c>
      <c r="N117" s="130">
        <f>L117+M117</f>
        <v/>
      </c>
    </row>
    <row r="118" ht="19.95" customHeight="1" s="227">
      <c r="A118" s="128" t="n">
        <v>115</v>
      </c>
      <c r="B118" s="128" t="inlineStr">
        <is>
          <t>BM-084</t>
        </is>
      </c>
      <c r="C118" s="128" t="n">
        <v>273</v>
      </c>
      <c r="D118" s="129" t="inlineStr">
        <is>
          <t>H.M.Z. Ixcotel</t>
        </is>
      </c>
      <c r="E118" s="128" t="inlineStr">
        <is>
          <t>OAXACA</t>
        </is>
      </c>
      <c r="F118" s="129" t="inlineStr">
        <is>
          <t>Láser oftálmico, marca Alcon, modelo 3000LE</t>
        </is>
      </c>
      <c r="G118" s="129" t="inlineStr">
        <is>
          <t>Alcon</t>
        </is>
      </c>
      <c r="H118" s="129" t="inlineStr">
        <is>
          <t>3000LE</t>
        </is>
      </c>
      <c r="I118" s="128" t="inlineStr">
        <is>
          <t>5342LX</t>
        </is>
      </c>
      <c r="J118" s="128" t="inlineStr">
        <is>
          <t>OFTALMO</t>
        </is>
      </c>
      <c r="K118" s="128" t="inlineStr">
        <is>
          <t>ALCON</t>
        </is>
      </c>
      <c r="L118" s="128" t="n">
        <v>1</v>
      </c>
      <c r="M118" s="128" t="n">
        <v>2</v>
      </c>
      <c r="N118" s="128">
        <f>L118+M118</f>
        <v/>
      </c>
    </row>
    <row r="119" ht="19.95" customHeight="1" s="227">
      <c r="A119" s="130" t="n">
        <v>116</v>
      </c>
      <c r="B119" s="130" t="inlineStr">
        <is>
          <t>BM-085</t>
        </is>
      </c>
      <c r="C119" s="130" t="n">
        <v>283</v>
      </c>
      <c r="D119" s="131" t="inlineStr">
        <is>
          <t>H.M.E.O. Constituyentes</t>
        </is>
      </c>
      <c r="E119" s="130" t="inlineStr">
        <is>
          <t>CDMX</t>
        </is>
      </c>
      <c r="F119" s="131" t="inlineStr">
        <is>
          <t>Láser excimer, marca Bausch &amp; Lomb, modelo Zyoptix XP</t>
        </is>
      </c>
      <c r="G119" s="131" t="inlineStr">
        <is>
          <t>Bausch &amp; Lomb</t>
        </is>
      </c>
      <c r="H119" s="131" t="inlineStr">
        <is>
          <t>Zyoptix XP</t>
        </is>
      </c>
      <c r="I119" s="130" t="inlineStr">
        <is>
          <t>2805</t>
        </is>
      </c>
      <c r="J119" s="130" t="inlineStr">
        <is>
          <t>OFTALMO</t>
        </is>
      </c>
      <c r="K119" s="130" t="inlineStr">
        <is>
          <t>BAUSH</t>
        </is>
      </c>
      <c r="L119" s="130" t="n">
        <v>1</v>
      </c>
      <c r="M119" s="130" t="n">
        <v>2</v>
      </c>
      <c r="N119" s="130">
        <f>L119+M119</f>
        <v/>
      </c>
    </row>
    <row r="120" ht="19.95" customHeight="1" s="227">
      <c r="A120" s="128" t="n">
        <v>117</v>
      </c>
      <c r="B120" s="128" t="inlineStr">
        <is>
          <t>BM-086</t>
        </is>
      </c>
      <c r="C120" s="128" t="n">
        <v>291</v>
      </c>
      <c r="D120" s="129" t="inlineStr">
        <is>
          <t>H.M.E.O. Constituyentes</t>
        </is>
      </c>
      <c r="E120" s="128" t="inlineStr">
        <is>
          <t>CDMX</t>
        </is>
      </c>
      <c r="F120" s="129" t="inlineStr">
        <is>
          <t>Láser excimer, marca Bausch &amp; Lomb, modelo Zyoptix XP</t>
        </is>
      </c>
      <c r="G120" s="129" t="inlineStr">
        <is>
          <t>Bausch &amp; Lomb</t>
        </is>
      </c>
      <c r="H120" s="129" t="inlineStr">
        <is>
          <t>Zyoptix XP</t>
        </is>
      </c>
      <c r="I120" s="128" t="inlineStr">
        <is>
          <t>XL500322</t>
        </is>
      </c>
      <c r="J120" s="128" t="inlineStr">
        <is>
          <t>OFTALMO</t>
        </is>
      </c>
      <c r="K120" s="128" t="inlineStr">
        <is>
          <t>BAUSH</t>
        </is>
      </c>
      <c r="L120" s="128" t="n">
        <v>1</v>
      </c>
      <c r="M120" s="128" t="n">
        <v>2</v>
      </c>
      <c r="N120" s="128">
        <f>L120+M120</f>
        <v/>
      </c>
    </row>
    <row r="121" ht="19.95" customHeight="1" s="227">
      <c r="A121" s="130" t="n">
        <v>118</v>
      </c>
      <c r="B121" s="130" t="inlineStr">
        <is>
          <t>BM-087</t>
        </is>
      </c>
      <c r="C121" s="130" t="n">
        <v>292</v>
      </c>
      <c r="D121" s="131" t="inlineStr">
        <is>
          <t>H.M.E.O. Constituyentes</t>
        </is>
      </c>
      <c r="E121" s="130" t="inlineStr">
        <is>
          <t>CDMX</t>
        </is>
      </c>
      <c r="F121" s="131" t="inlineStr">
        <is>
          <t>Microscopio especular, marca Konan, modelo CellChek XL NSP9900</t>
        </is>
      </c>
      <c r="G121" s="131" t="inlineStr">
        <is>
          <t>Konan</t>
        </is>
      </c>
      <c r="H121" s="131" t="inlineStr">
        <is>
          <t>CellChek XL NSP9900</t>
        </is>
      </c>
      <c r="I121" s="130" t="inlineStr">
        <is>
          <t>NPA-3-1816</t>
        </is>
      </c>
      <c r="J121" s="130" t="inlineStr">
        <is>
          <t>OFTALMO</t>
        </is>
      </c>
      <c r="K121" s="130" t="inlineStr">
        <is>
          <t>TECHNOMIX</t>
        </is>
      </c>
      <c r="L121" s="130" t="n">
        <v>1</v>
      </c>
      <c r="M121" s="130" t="n">
        <v>2</v>
      </c>
      <c r="N121" s="130">
        <f>L121+M121</f>
        <v/>
      </c>
    </row>
    <row r="122" ht="19.95" customHeight="1" s="227">
      <c r="A122" s="128" t="n">
        <v>119</v>
      </c>
      <c r="B122" s="128" t="inlineStr">
        <is>
          <t>BM-088</t>
        </is>
      </c>
      <c r="C122" s="128" t="n">
        <v>298</v>
      </c>
      <c r="D122" s="129" t="inlineStr">
        <is>
          <t>H.M.Z. Chetumal</t>
        </is>
      </c>
      <c r="E122" s="128" t="inlineStr">
        <is>
          <t>QUINTANA ROO</t>
        </is>
      </c>
      <c r="F122" s="129" t="inlineStr">
        <is>
          <t>Sistema de digitalización de imágenes, marca Fujifilm, modelo Digitalizador: FCR Capsula XLII (CR-IR 359)</t>
        </is>
      </c>
      <c r="G122" s="129" t="inlineStr">
        <is>
          <t>Fujifilm</t>
        </is>
      </c>
      <c r="H122" s="129" t="inlineStr">
        <is>
          <t>Digitalizador: FCR Capsula XLII (CR-IR 359)</t>
        </is>
      </c>
      <c r="I122" s="128" t="inlineStr">
        <is>
          <t>46770608</t>
        </is>
      </c>
      <c r="J122" s="128" t="inlineStr">
        <is>
          <t>IMAGEN</t>
        </is>
      </c>
      <c r="K122" s="128" t="n"/>
      <c r="L122" s="128" t="n">
        <v>1</v>
      </c>
      <c r="M122" s="128" t="n">
        <v>2</v>
      </c>
      <c r="N122" s="128">
        <f>L122+M122</f>
        <v/>
      </c>
    </row>
    <row r="123" ht="19.95" customHeight="1" s="227">
      <c r="A123" s="132" t="n">
        <v>120</v>
      </c>
      <c r="B123" s="132" t="inlineStr">
        <is>
          <t>BM-133</t>
        </is>
      </c>
      <c r="C123" s="132" t="n">
        <v>301</v>
      </c>
      <c r="D123" s="133" t="inlineStr">
        <is>
          <t>Subcentro de Evaluación Médica, Campo Militar 1-A</t>
        </is>
      </c>
      <c r="E123" s="132" t="inlineStr">
        <is>
          <t>CDMX</t>
        </is>
      </c>
      <c r="F123" s="133" t="inlineStr">
        <is>
          <t>Rayos X fijo, marca Osko, modelo XR5</t>
        </is>
      </c>
      <c r="G123" s="133" t="inlineStr">
        <is>
          <t>Osko</t>
        </is>
      </c>
      <c r="H123" s="133" t="inlineStr">
        <is>
          <t>XR5</t>
        </is>
      </c>
      <c r="I123" s="132" t="inlineStr">
        <is>
          <t>XRC1094990MX</t>
        </is>
      </c>
      <c r="J123" s="132" t="inlineStr">
        <is>
          <t>IMAGEN</t>
        </is>
      </c>
      <c r="K123" s="132" t="n"/>
      <c r="L123" s="132" t="n">
        <v>1</v>
      </c>
      <c r="M123" s="132" t="n">
        <v>2</v>
      </c>
      <c r="N123" s="132">
        <f>L123+M123</f>
        <v/>
      </c>
    </row>
    <row r="124" ht="19.95" customHeight="1" s="227">
      <c r="A124" s="132" t="n">
        <v>121</v>
      </c>
      <c r="B124" s="132" t="inlineStr">
        <is>
          <t>BM-134</t>
        </is>
      </c>
      <c r="C124" s="132" t="n">
        <v>302</v>
      </c>
      <c r="D124" s="133" t="inlineStr">
        <is>
          <t>Subcentro de Evaluación Médica, Campo Militar 1-A</t>
        </is>
      </c>
      <c r="E124" s="132" t="inlineStr">
        <is>
          <t>CDMX</t>
        </is>
      </c>
      <c r="F124" s="133" t="inlineStr">
        <is>
          <t>Rayos X fijo, marca Osko, modelo XR5</t>
        </is>
      </c>
      <c r="G124" s="133" t="inlineStr">
        <is>
          <t>Osko</t>
        </is>
      </c>
      <c r="H124" s="133" t="inlineStr">
        <is>
          <t>XR5</t>
        </is>
      </c>
      <c r="I124" s="132" t="inlineStr">
        <is>
          <t>XRC1095095MX</t>
        </is>
      </c>
      <c r="J124" s="132" t="inlineStr">
        <is>
          <t>IMAGEN</t>
        </is>
      </c>
      <c r="K124" s="132" t="n"/>
      <c r="L124" s="132" t="n">
        <v>1</v>
      </c>
      <c r="M124" s="132" t="n">
        <v>2</v>
      </c>
      <c r="N124" s="132">
        <f>L124+M124</f>
        <v/>
      </c>
    </row>
    <row r="125" ht="19.95" customHeight="1" s="227">
      <c r="A125" s="132" t="n">
        <v>122</v>
      </c>
      <c r="B125" s="132" t="inlineStr">
        <is>
          <t>BM-135</t>
        </is>
      </c>
      <c r="C125" s="132" t="n">
        <v>303</v>
      </c>
      <c r="D125" s="133" t="inlineStr">
        <is>
          <t>Subcentro de Evaluación Médica, Campo Militar 1-A</t>
        </is>
      </c>
      <c r="E125" s="132" t="inlineStr">
        <is>
          <t>CDMX</t>
        </is>
      </c>
      <c r="F125" s="133" t="inlineStr">
        <is>
          <t>Rayos X fijo, marca Osko, modelo XR5</t>
        </is>
      </c>
      <c r="G125" s="133" t="inlineStr">
        <is>
          <t>Osko</t>
        </is>
      </c>
      <c r="H125" s="133" t="inlineStr">
        <is>
          <t>XR5</t>
        </is>
      </c>
      <c r="I125" s="132" t="inlineStr">
        <is>
          <t>XRC1094988MX</t>
        </is>
      </c>
      <c r="J125" s="132" t="inlineStr">
        <is>
          <t>IMAGEN</t>
        </is>
      </c>
      <c r="K125" s="132" t="n"/>
      <c r="L125" s="132" t="n">
        <v>1</v>
      </c>
      <c r="M125" s="132" t="n">
        <v>2</v>
      </c>
      <c r="N125" s="132">
        <f>L125+M125</f>
        <v/>
      </c>
    </row>
    <row r="126" ht="19.95" customHeight="1" s="227">
      <c r="A126" s="128" t="n">
        <v>123</v>
      </c>
      <c r="B126" s="128" t="inlineStr">
        <is>
          <t>BM-089</t>
        </is>
      </c>
      <c r="C126" s="128" t="n">
        <v>304</v>
      </c>
      <c r="D126" s="129" t="inlineStr">
        <is>
          <t>Subcentro de Evaluación Médica, Campo Militar 1-A</t>
        </is>
      </c>
      <c r="E126" s="128" t="inlineStr">
        <is>
          <t>CDMX</t>
        </is>
      </c>
      <c r="F126" s="129" t="inlineStr">
        <is>
          <t>Impresora para placas radiográficas, marca Fujifilm, modelo Drypix 8000</t>
        </is>
      </c>
      <c r="G126" s="129" t="inlineStr">
        <is>
          <t>Fujifilm</t>
        </is>
      </c>
      <c r="H126" s="129" t="inlineStr">
        <is>
          <t>Drypix 8000</t>
        </is>
      </c>
      <c r="I126" s="128" t="inlineStr">
        <is>
          <t>17130510</t>
        </is>
      </c>
      <c r="J126" s="128" t="inlineStr">
        <is>
          <t>IMAGEN</t>
        </is>
      </c>
      <c r="K126" s="128" t="n"/>
      <c r="L126" s="128" t="n">
        <v>1</v>
      </c>
      <c r="M126" s="128" t="n">
        <v>2</v>
      </c>
      <c r="N126" s="128">
        <f>L126+M126</f>
        <v/>
      </c>
    </row>
    <row r="127" ht="19.95" customHeight="1" s="227">
      <c r="A127" s="130" t="n">
        <v>124</v>
      </c>
      <c r="B127" s="130" t="inlineStr">
        <is>
          <t>BM-090</t>
        </is>
      </c>
      <c r="C127" s="130" t="n">
        <v>305</v>
      </c>
      <c r="D127" s="131" t="inlineStr">
        <is>
          <t>Subcentro de Evaluación Médica, Campo Militar 1-A</t>
        </is>
      </c>
      <c r="E127" s="130" t="inlineStr">
        <is>
          <t>CDMX</t>
        </is>
      </c>
      <c r="F127" s="131" t="inlineStr">
        <is>
          <t>Impresora para placas radiográficas, marca Fujifilm, modelo Drypix 8000</t>
        </is>
      </c>
      <c r="G127" s="131" t="inlineStr">
        <is>
          <t>Fujifilm</t>
        </is>
      </c>
      <c r="H127" s="131" t="inlineStr">
        <is>
          <t>Drypix 8000</t>
        </is>
      </c>
      <c r="I127" s="130" t="inlineStr">
        <is>
          <t>17130513</t>
        </is>
      </c>
      <c r="J127" s="130" t="inlineStr">
        <is>
          <t>IMAGEN</t>
        </is>
      </c>
      <c r="K127" s="130" t="n"/>
      <c r="L127" s="130" t="n">
        <v>1</v>
      </c>
      <c r="M127" s="130" t="n">
        <v>2</v>
      </c>
      <c r="N127" s="130">
        <f>L127+M127</f>
        <v/>
      </c>
    </row>
    <row r="128" ht="19.95" customHeight="1" s="227">
      <c r="A128" s="128" t="n">
        <v>125</v>
      </c>
      <c r="B128" s="128" t="inlineStr">
        <is>
          <t>BM-091</t>
        </is>
      </c>
      <c r="C128" s="128" t="n">
        <v>306</v>
      </c>
      <c r="D128" s="129" t="inlineStr">
        <is>
          <t>Subcentro de Evaluación Médica, Campo Militar 1-A</t>
        </is>
      </c>
      <c r="E128" s="128" t="inlineStr">
        <is>
          <t>CDMX</t>
        </is>
      </c>
      <c r="F128" s="129" t="inlineStr">
        <is>
          <t>Impresora para placas radiográficas, marca Fujifilm, modelo Drypix 8000</t>
        </is>
      </c>
      <c r="G128" s="129" t="inlineStr">
        <is>
          <t>Fujifilm</t>
        </is>
      </c>
      <c r="H128" s="129" t="inlineStr">
        <is>
          <t>Drypix 8000</t>
        </is>
      </c>
      <c r="I128" s="128" t="inlineStr">
        <is>
          <t>17130554</t>
        </is>
      </c>
      <c r="J128" s="128" t="inlineStr">
        <is>
          <t>IMAGEN</t>
        </is>
      </c>
      <c r="K128" s="128" t="n"/>
      <c r="L128" s="128" t="n">
        <v>1</v>
      </c>
      <c r="M128" s="128" t="n">
        <v>2</v>
      </c>
      <c r="N128" s="128">
        <f>L128+M128</f>
        <v/>
      </c>
    </row>
    <row r="129" ht="19.95" customHeight="1" s="227">
      <c r="A129" s="130" t="n">
        <v>126</v>
      </c>
      <c r="B129" s="130" t="inlineStr">
        <is>
          <t>BM-092</t>
        </is>
      </c>
      <c r="C129" s="130" t="n">
        <v>307</v>
      </c>
      <c r="D129" s="131" t="inlineStr">
        <is>
          <t>Subcentro de Evaluación Médica, Campo Militar 1-A</t>
        </is>
      </c>
      <c r="E129" s="130" t="inlineStr">
        <is>
          <t>CDMX</t>
        </is>
      </c>
      <c r="F129" s="131" t="inlineStr">
        <is>
          <t>Cámara de Scheimpflug, marca Oculus, modelo Pentacam HR</t>
        </is>
      </c>
      <c r="G129" s="131" t="inlineStr">
        <is>
          <t>Oculus</t>
        </is>
      </c>
      <c r="H129" s="131" t="inlineStr">
        <is>
          <t>Pentacam HR</t>
        </is>
      </c>
      <c r="I129" s="130" t="inlineStr">
        <is>
          <t>70900 2455 1210</t>
        </is>
      </c>
      <c r="J129" s="130" t="inlineStr">
        <is>
          <t>OFTALMO</t>
        </is>
      </c>
      <c r="K129" s="130" t="inlineStr">
        <is>
          <t>CYAN</t>
        </is>
      </c>
      <c r="L129" s="130" t="n">
        <v>1</v>
      </c>
      <c r="M129" s="130" t="n">
        <v>2</v>
      </c>
      <c r="N129" s="130">
        <f>L129+M129</f>
        <v/>
      </c>
    </row>
    <row r="130" ht="19.95" customHeight="1" s="227">
      <c r="A130" s="132" t="n">
        <v>127</v>
      </c>
      <c r="B130" s="132" t="inlineStr">
        <is>
          <t>BM-136</t>
        </is>
      </c>
      <c r="C130" s="132" t="n">
        <v>309</v>
      </c>
      <c r="D130" s="133" t="inlineStr">
        <is>
          <t>H.M.R. La Paz</t>
        </is>
      </c>
      <c r="E130" s="132" t="inlineStr">
        <is>
          <t>BAJA CALIFORNIA</t>
        </is>
      </c>
      <c r="F130" s="133" t="inlineStr">
        <is>
          <t>Equipo de rayos X móvil, marca Technix, modelo TMS 320</t>
        </is>
      </c>
      <c r="G130" s="133" t="inlineStr">
        <is>
          <t>Technix</t>
        </is>
      </c>
      <c r="H130" s="133" t="inlineStr">
        <is>
          <t>TMS 320</t>
        </is>
      </c>
      <c r="I130" s="132" t="inlineStr">
        <is>
          <t>80-16-82-153</t>
        </is>
      </c>
      <c r="J130" s="132" t="inlineStr">
        <is>
          <t>IMAGEN</t>
        </is>
      </c>
      <c r="K130" s="132" t="n"/>
      <c r="L130" s="132" t="n">
        <v>1</v>
      </c>
      <c r="M130" s="132" t="n">
        <v>2</v>
      </c>
      <c r="N130" s="132">
        <f>L130+M130</f>
        <v/>
      </c>
    </row>
    <row r="131" ht="19.95" customHeight="1" s="227">
      <c r="A131" s="130" t="n">
        <v>128</v>
      </c>
      <c r="B131" s="130" t="inlineStr">
        <is>
          <t>BM-093</t>
        </is>
      </c>
      <c r="C131" s="130" t="n">
        <v>310</v>
      </c>
      <c r="D131" s="131" t="inlineStr">
        <is>
          <t>H.M.R. La Paz</t>
        </is>
      </c>
      <c r="E131" s="130" t="inlineStr">
        <is>
          <t>BAJA CALIFORNIA</t>
        </is>
      </c>
      <c r="F131" s="131" t="inlineStr">
        <is>
          <t>Fotocoagulador láser , marca Quantel Medical, modelo Supra Scan</t>
        </is>
      </c>
      <c r="G131" s="131" t="inlineStr">
        <is>
          <t>Quantel Medical</t>
        </is>
      </c>
      <c r="H131" s="131" t="inlineStr">
        <is>
          <t>Supra Scan</t>
        </is>
      </c>
      <c r="I131" s="130" t="inlineStr">
        <is>
          <t>454</t>
        </is>
      </c>
      <c r="J131" s="130" t="inlineStr">
        <is>
          <t>OFTALMO</t>
        </is>
      </c>
      <c r="K131" s="130" t="inlineStr">
        <is>
          <t>ARFAMEX</t>
        </is>
      </c>
      <c r="L131" s="130" t="n">
        <v>1</v>
      </c>
      <c r="M131" s="130" t="n">
        <v>2</v>
      </c>
      <c r="N131" s="130">
        <f>L131+M131</f>
        <v/>
      </c>
    </row>
    <row r="132" ht="19.95" customHeight="1" s="227">
      <c r="A132" s="132" t="n">
        <v>129</v>
      </c>
      <c r="B132" s="132" t="inlineStr">
        <is>
          <t>BM-137</t>
        </is>
      </c>
      <c r="C132" s="132" t="n">
        <v>313</v>
      </c>
      <c r="D132" s="133" t="inlineStr">
        <is>
          <t>H.M.R.E. Mazatlán</t>
        </is>
      </c>
      <c r="E132" s="132" t="inlineStr">
        <is>
          <t>SINALOA</t>
        </is>
      </c>
      <c r="F132" s="133" t="inlineStr">
        <is>
          <t>Rayos X móvil, marca Villa Sistemi Medicali, modelo Visitor T30 M-DR</t>
        </is>
      </c>
      <c r="G132" s="133" t="inlineStr">
        <is>
          <t>Villa Sistemi Medicali</t>
        </is>
      </c>
      <c r="H132" s="133" t="inlineStr">
        <is>
          <t>Visitor T30 M-DR</t>
        </is>
      </c>
      <c r="I132" s="132" t="inlineStr">
        <is>
          <t>14-11-1038</t>
        </is>
      </c>
      <c r="J132" s="132" t="inlineStr">
        <is>
          <t>IMAGEN</t>
        </is>
      </c>
      <c r="K132" s="132" t="n"/>
      <c r="L132" s="132" t="n">
        <v>1</v>
      </c>
      <c r="M132" s="132" t="n">
        <v>2</v>
      </c>
      <c r="N132" s="132">
        <f>L132+M132</f>
        <v/>
      </c>
    </row>
    <row r="133" ht="19.95" customHeight="1" s="227">
      <c r="A133" s="132" t="n">
        <v>130</v>
      </c>
      <c r="B133" s="132" t="inlineStr">
        <is>
          <t>BM-138</t>
        </is>
      </c>
      <c r="C133" s="132" t="n">
        <v>314</v>
      </c>
      <c r="D133" s="133" t="inlineStr">
        <is>
          <t>H.M.R. Puebla</t>
        </is>
      </c>
      <c r="E133" s="132" t="inlineStr">
        <is>
          <t>PUEBLA</t>
        </is>
      </c>
      <c r="F133" s="133" t="inlineStr">
        <is>
          <t>Equipo de rayos X móvil, marca Technix, modelo TMS 320</t>
        </is>
      </c>
      <c r="G133" s="133" t="inlineStr">
        <is>
          <t>Technix</t>
        </is>
      </c>
      <c r="H133" s="133" t="inlineStr">
        <is>
          <t>TMS 320</t>
        </is>
      </c>
      <c r="I133" s="132" t="inlineStr">
        <is>
          <t>80-16-101-172</t>
        </is>
      </c>
      <c r="J133" s="132" t="inlineStr">
        <is>
          <t>IMAGEN</t>
        </is>
      </c>
      <c r="K133" s="132" t="n"/>
      <c r="L133" s="132" t="n">
        <v>1</v>
      </c>
      <c r="M133" s="132" t="n">
        <v>2</v>
      </c>
      <c r="N133" s="132">
        <f>L133+M133</f>
        <v/>
      </c>
    </row>
    <row r="134" ht="19.95" customHeight="1" s="227">
      <c r="A134" s="132" t="n">
        <v>131</v>
      </c>
      <c r="B134" s="132" t="inlineStr">
        <is>
          <t>BM-139</t>
        </is>
      </c>
      <c r="C134" s="132" t="n">
        <v>316</v>
      </c>
      <c r="D134" s="133" t="inlineStr">
        <is>
          <t>H.M.R. Puebla</t>
        </is>
      </c>
      <c r="E134" s="132" t="inlineStr">
        <is>
          <t>PUEBLA</t>
        </is>
      </c>
      <c r="F134" s="133" t="inlineStr">
        <is>
          <t>Equipo de rayos X móvil, marca Mindray, modelo MobiEye 700</t>
        </is>
      </c>
      <c r="G134" s="133" t="inlineStr">
        <is>
          <t>Mindray</t>
        </is>
      </c>
      <c r="H134" s="133" t="inlineStr">
        <is>
          <t>MobiEye 700</t>
        </is>
      </c>
      <c r="I134" s="132" t="inlineStr">
        <is>
          <t>C8-05002378T</t>
        </is>
      </c>
      <c r="J134" s="132" t="inlineStr">
        <is>
          <t>IMAGEN</t>
        </is>
      </c>
      <c r="K134" s="132" t="n"/>
      <c r="L134" s="132" t="n">
        <v>1</v>
      </c>
      <c r="M134" s="132" t="n">
        <v>2</v>
      </c>
      <c r="N134" s="132">
        <f>L134+M134</f>
        <v/>
      </c>
    </row>
    <row r="135" ht="19.95" customHeight="1" s="227">
      <c r="A135" s="130" t="n">
        <v>132</v>
      </c>
      <c r="B135" s="130" t="inlineStr">
        <is>
          <t>BM-094</t>
        </is>
      </c>
      <c r="C135" s="130" t="n">
        <v>319</v>
      </c>
      <c r="D135" s="131" t="inlineStr">
        <is>
          <t>H.M.Z. Campo Militar No. 1-A</t>
        </is>
      </c>
      <c r="E135" s="130" t="inlineStr">
        <is>
          <t>CDMX</t>
        </is>
      </c>
      <c r="F135" s="131" t="inlineStr">
        <is>
          <t>Arco en C, marca Ziehm Imaging, modelo Vision R</t>
        </is>
      </c>
      <c r="G135" s="131" t="inlineStr">
        <is>
          <t>Ziehm Imaging</t>
        </is>
      </c>
      <c r="H135" s="131" t="inlineStr">
        <is>
          <t>Vision R</t>
        </is>
      </c>
      <c r="I135" s="130" t="inlineStr">
        <is>
          <t>10705</t>
        </is>
      </c>
      <c r="J135" s="130" t="inlineStr">
        <is>
          <t>IMAGEN</t>
        </is>
      </c>
      <c r="K135" s="130" t="n"/>
      <c r="L135" s="130" t="n">
        <v>1</v>
      </c>
      <c r="M135" s="130" t="n">
        <v>2</v>
      </c>
      <c r="N135" s="130">
        <f>L135+M135</f>
        <v/>
      </c>
    </row>
    <row r="136" ht="19.95" customHeight="1" s="227">
      <c r="A136" s="128" t="n">
        <v>133</v>
      </c>
      <c r="B136" s="128" t="inlineStr">
        <is>
          <t>BM-095</t>
        </is>
      </c>
      <c r="C136" s="128" t="n">
        <v>321</v>
      </c>
      <c r="D136" s="129" t="inlineStr">
        <is>
          <t>H.M.Z. Zapopan</t>
        </is>
      </c>
      <c r="E136" s="128" t="inlineStr">
        <is>
          <t>JALISCO</t>
        </is>
      </c>
      <c r="F136" s="129" t="inlineStr">
        <is>
          <t>Microscopio quirúrgico oftalmológico, marca Leica, modelo M822 F40</t>
        </is>
      </c>
      <c r="G136" s="129" t="inlineStr">
        <is>
          <t>Leica</t>
        </is>
      </c>
      <c r="H136" s="129" t="inlineStr">
        <is>
          <t>M822 F40</t>
        </is>
      </c>
      <c r="I136" s="128" t="inlineStr">
        <is>
          <t>160219002</t>
        </is>
      </c>
      <c r="J136" s="128" t="inlineStr">
        <is>
          <t>OFTALMO</t>
        </is>
      </c>
      <c r="K136" s="128" t="inlineStr">
        <is>
          <t>COINDISA</t>
        </is>
      </c>
      <c r="L136" s="128" t="n">
        <v>1</v>
      </c>
      <c r="M136" s="128" t="n">
        <v>2</v>
      </c>
      <c r="N136" s="128">
        <f>L136+M136</f>
        <v/>
      </c>
    </row>
    <row r="137" ht="19.95" customHeight="1" s="227">
      <c r="A137" s="132" t="n">
        <v>134</v>
      </c>
      <c r="B137" s="132" t="inlineStr">
        <is>
          <t>BM-140</t>
        </is>
      </c>
      <c r="C137" s="132" t="n">
        <v>335</v>
      </c>
      <c r="D137" s="133" t="inlineStr">
        <is>
          <t>H.M.E.M. Y N. Lomas de Sotelo</t>
        </is>
      </c>
      <c r="E137" s="132" t="inlineStr">
        <is>
          <t>CDMX</t>
        </is>
      </c>
      <c r="F137" s="133" t="inlineStr">
        <is>
          <t>Rayos X móvil, marca Philips, modelo MobileDiagnost wDR Release 2</t>
        </is>
      </c>
      <c r="G137" s="133" t="inlineStr">
        <is>
          <t>Philips</t>
        </is>
      </c>
      <c r="H137" s="133" t="inlineStr">
        <is>
          <t>MobileDiagnost wDR Release 2</t>
        </is>
      </c>
      <c r="I137" s="132" t="inlineStr">
        <is>
          <t>15100252</t>
        </is>
      </c>
      <c r="J137" s="132" t="inlineStr">
        <is>
          <t>IMAGEN</t>
        </is>
      </c>
      <c r="K137" s="132" t="n"/>
      <c r="L137" s="132" t="n">
        <v>1</v>
      </c>
      <c r="M137" s="132" t="n">
        <v>2</v>
      </c>
      <c r="N137" s="132">
        <f>L137+M137</f>
        <v/>
      </c>
    </row>
    <row r="138" ht="19.95" customHeight="1" s="227">
      <c r="A138" s="132" t="n">
        <v>135</v>
      </c>
      <c r="B138" s="132" t="inlineStr">
        <is>
          <t>BM-141</t>
        </is>
      </c>
      <c r="C138" s="132" t="n">
        <v>336</v>
      </c>
      <c r="D138" s="133" t="inlineStr">
        <is>
          <t>H.M.R.E. Monterrey</t>
        </is>
      </c>
      <c r="E138" s="132" t="inlineStr">
        <is>
          <t>NUEVO LEON</t>
        </is>
      </c>
      <c r="F138" s="133" t="inlineStr">
        <is>
          <t>Rayos X móvil, marca Philips, modelo MobileDiagnost wDR Release 2</t>
        </is>
      </c>
      <c r="G138" s="133" t="inlineStr">
        <is>
          <t>Philips</t>
        </is>
      </c>
      <c r="H138" s="133" t="inlineStr">
        <is>
          <t>MobileDiagnost wDR Release 2</t>
        </is>
      </c>
      <c r="I138" s="132" t="inlineStr">
        <is>
          <t>16200158</t>
        </is>
      </c>
      <c r="J138" s="132" t="inlineStr">
        <is>
          <t>IMAGEN</t>
        </is>
      </c>
      <c r="K138" s="132" t="n"/>
      <c r="L138" s="132" t="n">
        <v>1</v>
      </c>
      <c r="M138" s="132" t="n">
        <v>2</v>
      </c>
      <c r="N138" s="132">
        <f>L138+M138</f>
        <v/>
      </c>
    </row>
    <row r="139" ht="19.95" customHeight="1" s="227">
      <c r="A139" s="130" t="n">
        <v>136</v>
      </c>
      <c r="B139" s="130" t="inlineStr">
        <is>
          <t>BM-096</t>
        </is>
      </c>
      <c r="C139" s="130" t="n">
        <v>338</v>
      </c>
      <c r="D139" s="131" t="inlineStr">
        <is>
          <t>H.M.E.O. Constituyentes</t>
        </is>
      </c>
      <c r="E139" s="130" t="inlineStr">
        <is>
          <t>CDMX</t>
        </is>
      </c>
      <c r="F139" s="131" t="inlineStr">
        <is>
          <t>Láser de femtosegundo, marca Alcon, modelo LenSx</t>
        </is>
      </c>
      <c r="G139" s="131" t="inlineStr">
        <is>
          <t>Alcon</t>
        </is>
      </c>
      <c r="H139" s="131" t="inlineStr">
        <is>
          <t>LenSx</t>
        </is>
      </c>
      <c r="I139" s="130" t="inlineStr">
        <is>
          <t>2102004501X</t>
        </is>
      </c>
      <c r="J139" s="130" t="inlineStr">
        <is>
          <t>OFTALMO</t>
        </is>
      </c>
      <c r="K139" s="130" t="inlineStr">
        <is>
          <t>ALCON</t>
        </is>
      </c>
      <c r="L139" s="130" t="n">
        <v>1</v>
      </c>
      <c r="M139" s="130" t="n">
        <v>2</v>
      </c>
      <c r="N139" s="130">
        <f>L139+M139</f>
        <v/>
      </c>
    </row>
    <row r="140" ht="19.95" customHeight="1" s="227">
      <c r="A140" s="128" t="n">
        <v>137</v>
      </c>
      <c r="B140" s="128" t="inlineStr">
        <is>
          <t>BM-097</t>
        </is>
      </c>
      <c r="C140" s="128" t="n">
        <v>351</v>
      </c>
      <c r="D140" s="129" t="inlineStr">
        <is>
          <t>H.M.E.O. Constituyentes</t>
        </is>
      </c>
      <c r="E140" s="128" t="inlineStr">
        <is>
          <t>CDMX</t>
        </is>
      </c>
      <c r="F140" s="129" t="inlineStr">
        <is>
          <t>Sistema de diagnóstico oftálmico avanzado, marca Nidek, modelo OPD-Scan III</t>
        </is>
      </c>
      <c r="G140" s="129" t="inlineStr">
        <is>
          <t>Nidek</t>
        </is>
      </c>
      <c r="H140" s="129" t="inlineStr">
        <is>
          <t>OPD-Scan III</t>
        </is>
      </c>
      <c r="I140" s="128" t="inlineStr">
        <is>
          <t>470023</t>
        </is>
      </c>
      <c r="J140" s="128" t="inlineStr">
        <is>
          <t>OFTALMO</t>
        </is>
      </c>
      <c r="K140" s="128" t="inlineStr">
        <is>
          <t>S4</t>
        </is>
      </c>
      <c r="L140" s="128" t="n">
        <v>1</v>
      </c>
      <c r="M140" s="128" t="n">
        <v>2</v>
      </c>
      <c r="N140" s="128">
        <f>L140+M140</f>
        <v/>
      </c>
    </row>
    <row r="141" ht="19.95" customHeight="1" s="227">
      <c r="A141" s="132" t="n">
        <v>138</v>
      </c>
      <c r="B141" s="132" t="inlineStr">
        <is>
          <t>BM-142</t>
        </is>
      </c>
      <c r="C141" s="132" t="n">
        <v>353</v>
      </c>
      <c r="D141" s="133" t="inlineStr">
        <is>
          <t>U.M.C.E. Tlalpan</t>
        </is>
      </c>
      <c r="E141" s="132" t="inlineStr">
        <is>
          <t>CDMX</t>
        </is>
      </c>
      <c r="F141" s="133" t="inlineStr">
        <is>
          <t>Rayos X portátil, marca Carestream, modelo DRX Revolution</t>
        </is>
      </c>
      <c r="G141" s="133" t="inlineStr">
        <is>
          <t>Carestream</t>
        </is>
      </c>
      <c r="H141" s="133" t="inlineStr">
        <is>
          <t>DRX Revolution</t>
        </is>
      </c>
      <c r="I141" s="132" t="inlineStr">
        <is>
          <t>21F0363</t>
        </is>
      </c>
      <c r="J141" s="132" t="inlineStr">
        <is>
          <t>IMAGEN</t>
        </is>
      </c>
      <c r="K141" s="132" t="n"/>
      <c r="L141" s="132" t="n">
        <v>1</v>
      </c>
      <c r="M141" s="132" t="n">
        <v>2</v>
      </c>
      <c r="N141" s="132">
        <f>L141+M141</f>
        <v/>
      </c>
    </row>
    <row r="142" ht="19.95" customHeight="1" s="227">
      <c r="A142" s="128" t="n">
        <v>139</v>
      </c>
      <c r="B142" s="128" t="inlineStr">
        <is>
          <t>BM-098</t>
        </is>
      </c>
      <c r="C142" s="128" t="n">
        <v>357</v>
      </c>
      <c r="D142" s="129" t="inlineStr">
        <is>
          <t>H.M.R.E. Monterrey</t>
        </is>
      </c>
      <c r="E142" s="128" t="inlineStr">
        <is>
          <t>NUEVO LEON</t>
        </is>
      </c>
      <c r="F142" s="129" t="inlineStr">
        <is>
          <t>Topógrafo corneal, marca Zeiss, modelo Atlas 9000</t>
        </is>
      </c>
      <c r="G142" s="129" t="inlineStr">
        <is>
          <t>Zeiss</t>
        </is>
      </c>
      <c r="H142" s="129" t="inlineStr">
        <is>
          <t>Atlas 9000</t>
        </is>
      </c>
      <c r="I142" s="128" t="inlineStr">
        <is>
          <t>9000-2972</t>
        </is>
      </c>
      <c r="J142" s="128" t="inlineStr">
        <is>
          <t>OFTALMO</t>
        </is>
      </c>
      <c r="K142" s="128" t="inlineStr">
        <is>
          <t>ZEISS</t>
        </is>
      </c>
      <c r="L142" s="128" t="n">
        <v>1</v>
      </c>
      <c r="M142" s="128" t="n">
        <v>2</v>
      </c>
      <c r="N142" s="128">
        <f>L142+M142</f>
        <v/>
      </c>
    </row>
    <row r="143" ht="19.95" customHeight="1" s="227">
      <c r="A143" s="130" t="n">
        <v>140</v>
      </c>
      <c r="B143" s="130" t="inlineStr">
        <is>
          <t>BM-099</t>
        </is>
      </c>
      <c r="C143" s="130" t="n">
        <v>358</v>
      </c>
      <c r="D143" s="131" t="inlineStr">
        <is>
          <t>H.M.R.E. Guadalajara</t>
        </is>
      </c>
      <c r="E143" s="130" t="inlineStr">
        <is>
          <t>JALISCO</t>
        </is>
      </c>
      <c r="F143" s="131" t="inlineStr">
        <is>
          <t>Microscopio, marca Carl Zeiss, modelo OPMI Visu 160</t>
        </is>
      </c>
      <c r="G143" s="131" t="inlineStr">
        <is>
          <t>Carl Zeiss</t>
        </is>
      </c>
      <c r="H143" s="131" t="inlineStr">
        <is>
          <t>OPMI Visu 160</t>
        </is>
      </c>
      <c r="I143" s="130" t="inlineStr">
        <is>
          <t>6213404030</t>
        </is>
      </c>
      <c r="J143" s="130" t="inlineStr">
        <is>
          <t>OFTALMO</t>
        </is>
      </c>
      <c r="K143" s="130" t="inlineStr">
        <is>
          <t>ZEISS</t>
        </is>
      </c>
      <c r="L143" s="130" t="n">
        <v>1</v>
      </c>
      <c r="M143" s="130" t="n">
        <v>2</v>
      </c>
      <c r="N143" s="130">
        <f>L143+M143</f>
        <v/>
      </c>
    </row>
    <row r="144" ht="19.95" customHeight="1" s="227">
      <c r="A144" s="128" t="n">
        <v>141</v>
      </c>
      <c r="B144" s="128" t="inlineStr">
        <is>
          <t>BM-100</t>
        </is>
      </c>
      <c r="C144" s="128" t="n">
        <v>363</v>
      </c>
      <c r="D144" s="129" t="inlineStr">
        <is>
          <t>H.M.Z. Villahermosa</t>
        </is>
      </c>
      <c r="E144" s="128" t="inlineStr">
        <is>
          <t>TABASCO</t>
        </is>
      </c>
      <c r="F144" s="129" t="inlineStr">
        <is>
          <t>Campímetro, marca Carl Zeiss Meditec, modelo Humphrey 740I</t>
        </is>
      </c>
      <c r="G144" s="129" t="inlineStr">
        <is>
          <t>Carl Zeiss Meditec</t>
        </is>
      </c>
      <c r="H144" s="129" t="inlineStr">
        <is>
          <t>Humphrey 740I</t>
        </is>
      </c>
      <c r="I144" s="128" t="inlineStr">
        <is>
          <t>740I-14200</t>
        </is>
      </c>
      <c r="J144" s="128" t="inlineStr">
        <is>
          <t>OFTALMO</t>
        </is>
      </c>
      <c r="K144" s="128" t="inlineStr">
        <is>
          <t>ZEISS</t>
        </is>
      </c>
      <c r="L144" s="128" t="n">
        <v>1</v>
      </c>
      <c r="M144" s="128" t="n">
        <v>2</v>
      </c>
      <c r="N144" s="128">
        <f>L144+M144</f>
        <v/>
      </c>
    </row>
    <row r="145" ht="19.95" customHeight="1" s="227">
      <c r="A145" s="130" t="n">
        <v>142</v>
      </c>
      <c r="B145" s="130" t="inlineStr">
        <is>
          <t>BM-101</t>
        </is>
      </c>
      <c r="C145" s="130" t="n">
        <v>367</v>
      </c>
      <c r="D145" s="131" t="inlineStr">
        <is>
          <t>H.M.Z. Santa Gertrudis</t>
        </is>
      </c>
      <c r="E145" s="130" t="inlineStr">
        <is>
          <t>CHIHUAHUA</t>
        </is>
      </c>
      <c r="F145" s="131" t="inlineStr">
        <is>
          <t>Equipo de rayos X móvil, marca Primax, modelo Raybow dR</t>
        </is>
      </c>
      <c r="G145" s="131" t="inlineStr">
        <is>
          <t>Primax</t>
        </is>
      </c>
      <c r="H145" s="131" t="inlineStr">
        <is>
          <t>Raybow dR</t>
        </is>
      </c>
      <c r="I145" s="130" t="inlineStr">
        <is>
          <t>10076715</t>
        </is>
      </c>
      <c r="J145" s="130" t="inlineStr">
        <is>
          <t>IMAGEN</t>
        </is>
      </c>
      <c r="K145" s="130" t="n"/>
      <c r="L145" s="130" t="n">
        <v>1</v>
      </c>
      <c r="M145" s="130" t="n">
        <v>2</v>
      </c>
      <c r="N145" s="130">
        <f>L145+M145</f>
        <v/>
      </c>
    </row>
    <row r="146" ht="19.95" customHeight="1" s="227">
      <c r="A146" s="132" t="n">
        <v>143</v>
      </c>
      <c r="B146" s="132" t="inlineStr">
        <is>
          <t>BM-143</t>
        </is>
      </c>
      <c r="C146" s="132" t="n">
        <v>369</v>
      </c>
      <c r="D146" s="133" t="inlineStr">
        <is>
          <t>U.M.C.E. Reynosa</t>
        </is>
      </c>
      <c r="E146" s="132" t="inlineStr">
        <is>
          <t>TAMAULIPAS</t>
        </is>
      </c>
      <c r="F146" s="133" t="inlineStr">
        <is>
          <t>Equipo de rayos X móvil, marca Primax, modelo Raybow dR</t>
        </is>
      </c>
      <c r="G146" s="133" t="inlineStr">
        <is>
          <t>Primax</t>
        </is>
      </c>
      <c r="H146" s="133" t="inlineStr">
        <is>
          <t>Raybow dR</t>
        </is>
      </c>
      <c r="I146" s="132" t="inlineStr">
        <is>
          <t>10116715</t>
        </is>
      </c>
      <c r="J146" s="132" t="inlineStr">
        <is>
          <t>IMAGEN</t>
        </is>
      </c>
      <c r="K146" s="132" t="n"/>
      <c r="L146" s="132" t="n">
        <v>1</v>
      </c>
      <c r="M146" s="132" t="n">
        <v>2</v>
      </c>
      <c r="N146" s="132">
        <f>L146+M146</f>
        <v/>
      </c>
    </row>
    <row r="147" ht="24" customHeight="1" s="227" thickBot="1">
      <c r="A147" s="229" t="inlineStr">
        <is>
          <t>TOTAL UNIVERSO DE EQUIPOS EN INVENTARIO (143 PARTIDAS ADJUDICADAS)</t>
        </is>
      </c>
      <c r="B147" s="230" t="n"/>
      <c r="C147" s="230" t="n"/>
      <c r="D147" s="230" t="n"/>
      <c r="E147" s="230" t="n"/>
      <c r="F147" s="230" t="n"/>
      <c r="G147" s="230" t="n"/>
      <c r="H147" s="230" t="n"/>
      <c r="I147" s="230" t="n"/>
      <c r="J147" s="230" t="n"/>
      <c r="K147" s="231" t="n"/>
      <c r="L147" s="127">
        <f>SUM(L4:L146)</f>
        <v/>
      </c>
      <c r="M147" s="127">
        <f>SUM(M4:M146)</f>
        <v/>
      </c>
      <c r="N147" s="127">
        <f>SUM(N4:N146)</f>
        <v/>
      </c>
    </row>
    <row r="148" ht="15" customHeight="1" s="227" thickTop="1"/>
  </sheetData>
  <autoFilter ref="A3:N147"/>
  <mergeCells count="3">
    <mergeCell ref="A147:K147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B365D"/>
    <outlinePr summaryBelow="1" summaryRight="1"/>
    <pageSetUpPr/>
  </sheetPr>
  <dimension ref="A1:H41"/>
  <sheetViews>
    <sheetView zoomScale="111" zoomScaleNormal="100" workbookViewId="0">
      <selection activeCell="D7" sqref="D7"/>
    </sheetView>
  </sheetViews>
  <sheetFormatPr baseColWidth="10" defaultColWidth="8.88671875" defaultRowHeight="14.4"/>
  <cols>
    <col width="6" customWidth="1" style="227" min="1" max="1"/>
    <col width="34" customWidth="1" style="227" min="2" max="2"/>
    <col width="16" customWidth="1" style="227" min="3" max="3"/>
    <col width="44" customWidth="1" style="227" min="4" max="4"/>
    <col width="14" customWidth="1" style="227" min="5" max="5"/>
    <col width="32" customWidth="1" style="227" min="6" max="6"/>
    <col width="24" customWidth="1" style="227" min="7" max="7"/>
    <col width="15" customWidth="1" style="227" min="8" max="8"/>
  </cols>
  <sheetData>
    <row r="1" ht="30" customHeight="1" s="227">
      <c r="A1" s="236" t="inlineStr">
        <is>
          <t>DIRECTORIO OFICIAL - SEDENA 2026-2027</t>
        </is>
      </c>
    </row>
    <row r="2" ht="22.05" customHeight="1" s="227">
      <c r="A2" s="235" t="inlineStr">
        <is>
          <t xml:space="preserve">Directorio General de Unidades Militares | Enlaces Biomédicos </t>
        </is>
      </c>
    </row>
    <row r="3" ht="28.05" customHeight="1" s="227">
      <c r="A3" s="112" t="inlineStr">
        <is>
          <t>No.</t>
        </is>
      </c>
      <c r="B3" s="112" t="inlineStr">
        <is>
          <t>Hospital Militar / Unidad Médica</t>
        </is>
      </c>
      <c r="C3" s="112" t="inlineStr">
        <is>
          <t>Entidad Federativa</t>
        </is>
      </c>
      <c r="D3" s="112" t="inlineStr">
        <is>
          <t>Dirección Oficial Completa</t>
        </is>
      </c>
      <c r="E3" s="112" t="inlineStr">
        <is>
          <t>Código Postal</t>
        </is>
      </c>
      <c r="F3" s="112" t="inlineStr">
        <is>
          <t>Contacto Biomédico / Enlace SEDENA</t>
        </is>
      </c>
      <c r="G3" s="112" t="inlineStr">
        <is>
          <t>Teléfono / Conmutador Oficial</t>
        </is>
      </c>
      <c r="H3" s="112" t="inlineStr">
        <is>
          <t>Cantidad Equipos</t>
        </is>
      </c>
    </row>
    <row r="4" ht="22.05" customHeight="1" s="227">
      <c r="A4" s="113" t="n">
        <v>1</v>
      </c>
      <c r="B4" s="114" t="inlineStr">
        <is>
          <t>H.M.E.O. Constituyentes</t>
        </is>
      </c>
      <c r="C4" s="216" t="inlineStr">
        <is>
          <t>CDMX</t>
        </is>
      </c>
      <c r="D4" s="116" t="inlineStr">
        <is>
          <t>Av. Constituyentes 240, Ampliación Daniel Garza, Daniel Garza al Poniente, Alcaldía Miguel Hidalgo, CDMX, C.P. 11840</t>
        </is>
      </c>
      <c r="E4" s="115" t="inlineStr">
        <is>
          <t>C.P. 11840</t>
        </is>
      </c>
      <c r="F4" s="116" t="inlineStr">
        <is>
          <t>Jefatura de Ingeniería Biomédica / Subdirección Médica Odontológica</t>
        </is>
      </c>
      <c r="G4" s="115" t="inlineStr">
        <is>
          <t>(55) 2155-7110</t>
        </is>
      </c>
      <c r="H4" s="113" t="n">
        <v>68</v>
      </c>
    </row>
    <row r="5" ht="22.05" customHeight="1" s="227">
      <c r="A5" s="117" t="n">
        <v>2</v>
      </c>
      <c r="B5" s="118" t="inlineStr">
        <is>
          <t>Subcentro de Evaluación Médica, Campo Militar 1-A</t>
        </is>
      </c>
      <c r="C5" s="216" t="inlineStr">
        <is>
          <t>CDMX</t>
        </is>
      </c>
      <c r="D5" s="120" t="inlineStr">
        <is>
          <t>Entre Av. Anillo Periférico Norte y Calz. de Conscripto, Campo Militar 1-A, Alcaldía Miguel Hidalgo, CDMX, C.P. 11200</t>
        </is>
      </c>
      <c r="E5" s="119" t="inlineStr">
        <is>
          <t>C.P. 11200</t>
        </is>
      </c>
      <c r="F5" s="120" t="inlineStr">
        <is>
          <t>Jefatura del Subcentro Médico / Gabinetes Radiológicos</t>
        </is>
      </c>
      <c r="G5" s="119" t="inlineStr">
        <is>
          <t>(55) 9131-2481</t>
        </is>
      </c>
      <c r="H5" s="117" t="n">
        <v>7</v>
      </c>
    </row>
    <row r="6" ht="22.05" customHeight="1" s="227">
      <c r="A6" s="113" t="n">
        <v>3</v>
      </c>
      <c r="B6" s="114" t="inlineStr">
        <is>
          <t>H.M.Z. Ixcotel</t>
        </is>
      </c>
      <c r="C6" s="216" t="inlineStr">
        <is>
          <t>OAXACA</t>
        </is>
      </c>
      <c r="D6" s="116" t="inlineStr">
        <is>
          <t>Francisco Márquez 203, Niños Héroes, Santa Lucía del Camino, Oaxaca, C.P. 71228</t>
        </is>
      </c>
      <c r="E6" s="115" t="inlineStr">
        <is>
          <t>C.P. 71228</t>
        </is>
      </c>
      <c r="F6" s="116" t="inlineStr">
        <is>
          <t>Jefatura de Biomédica Militar / Quirófanos Oftalmológicos</t>
        </is>
      </c>
      <c r="G6" s="115" t="inlineStr">
        <is>
          <t>(951) 513-4413</t>
        </is>
      </c>
      <c r="H6" s="113" t="n">
        <v>5</v>
      </c>
    </row>
    <row r="7" ht="22.05" customHeight="1" s="227">
      <c r="A7" s="117" t="n">
        <v>4</v>
      </c>
      <c r="B7" s="118" t="inlineStr">
        <is>
          <t>H.M.R.E. Mazatlán</t>
        </is>
      </c>
      <c r="C7" s="216" t="inlineStr">
        <is>
          <t>SINALOA</t>
        </is>
      </c>
      <c r="D7" s="120" t="inlineStr">
        <is>
          <t>Proyecto S/N, Rincón de Urías, Mazatlán, Sinaloa, C.P. 82060</t>
        </is>
      </c>
      <c r="E7" s="119" t="inlineStr">
        <is>
          <t>C.P. 82060</t>
        </is>
      </c>
      <c r="F7" s="120" t="inlineStr">
        <is>
          <t>Jefatura de Ingeniería Biomédica / Quirófano General</t>
        </is>
      </c>
      <c r="G7" s="119" t="inlineStr">
        <is>
          <t>(669) 981-6033</t>
        </is>
      </c>
      <c r="H7" s="117" t="n">
        <v>5</v>
      </c>
    </row>
    <row r="8" ht="22.05" customHeight="1" s="227">
      <c r="A8" s="113" t="n">
        <v>5</v>
      </c>
      <c r="B8" s="114" t="inlineStr">
        <is>
          <t>H.C.M. Lomas de Sotelo</t>
        </is>
      </c>
      <c r="C8" s="216" t="inlineStr">
        <is>
          <t>CDMX</t>
        </is>
      </c>
      <c r="D8" s="116" t="inlineStr">
        <is>
          <t>Periférico Blvd. Manuel Ávila Camacho s/n, Lomas de Sotelo, Alcaldía Miguel Hidalgo, CDMX, C.P. 11200</t>
        </is>
      </c>
      <c r="E8" s="115" t="inlineStr">
        <is>
          <t>C.P. 11200</t>
        </is>
      </c>
      <c r="F8" s="116" t="inlineStr">
        <is>
          <t>Depto. de Ingeniería Biomédica / Jefatura de Mantenimiento</t>
        </is>
      </c>
      <c r="G8" s="115" t="inlineStr">
        <is>
          <t>(55) 5557-3100</t>
        </is>
      </c>
      <c r="H8" s="113" t="n">
        <v>4</v>
      </c>
    </row>
    <row r="9" ht="22.05" customHeight="1" s="227">
      <c r="A9" s="117" t="n">
        <v>6</v>
      </c>
      <c r="B9" s="118" t="inlineStr">
        <is>
          <t>H.M.R.E. Monterrey</t>
        </is>
      </c>
      <c r="C9" s="216" t="inlineStr">
        <is>
          <t>NUEVO LEON</t>
        </is>
      </c>
      <c r="D9" s="120" t="inlineStr">
        <is>
          <t>Av. Manuel L. Barragán No. 5000, Col. Regina, Monterrey, Nuevo León, C.P. 64290</t>
        </is>
      </c>
      <c r="E9" s="119" t="inlineStr">
        <is>
          <t>C.P. 64290</t>
        </is>
      </c>
      <c r="F9" s="120" t="inlineStr">
        <is>
          <t>Depto. de Ingeniería Biomédica / Subdirección Médica Quirúrgica</t>
        </is>
      </c>
      <c r="G9" s="119" t="inlineStr">
        <is>
          <t>(81) 8351-3304</t>
        </is>
      </c>
      <c r="H9" s="117" t="n">
        <v>4</v>
      </c>
    </row>
    <row r="10" ht="22.05" customHeight="1" s="227">
      <c r="A10" s="113" t="n">
        <v>7</v>
      </c>
      <c r="B10" s="114" t="inlineStr">
        <is>
          <t>H.M.E.M. Y N. Lomas de Sotelo</t>
        </is>
      </c>
      <c r="C10" s="216" t="inlineStr">
        <is>
          <t>CDMX</t>
        </is>
      </c>
      <c r="D10" s="116" t="inlineStr">
        <is>
          <t>Lomas de Sotelo, Hipódromo de las Américas, Alcaldía Miguel Hidalgo, CDMX, C.P. 11610</t>
        </is>
      </c>
      <c r="E10" s="115" t="inlineStr">
        <is>
          <t>C.P. 11610</t>
        </is>
      </c>
      <c r="F10" s="116" t="inlineStr">
        <is>
          <t>Jefatura de Biomédica Militar / Quirófanos Neonatales</t>
        </is>
      </c>
      <c r="G10" s="115" t="inlineStr">
        <is>
          <t>(55) 5387-0600</t>
        </is>
      </c>
      <c r="H10" s="113" t="n">
        <v>4</v>
      </c>
    </row>
    <row r="11" ht="22.05" customHeight="1" s="227">
      <c r="A11" s="117" t="n">
        <v>8</v>
      </c>
      <c r="B11" s="118" t="inlineStr">
        <is>
          <t>H.M.R. Santa Lucía</t>
        </is>
      </c>
      <c r="C11" s="216" t="inlineStr">
        <is>
          <t>EDO DE MEX</t>
        </is>
      </c>
      <c r="D11" s="120" t="inlineStr">
        <is>
          <t>Carretera Federal México-Pachuca Km. 42.5, Santa Lucía, Zumpango, Edo. Méx., C.P. 55640</t>
        </is>
      </c>
      <c r="E11" s="119" t="inlineStr">
        <is>
          <t>C.P. 55640</t>
        </is>
      </c>
      <c r="F11" s="120" t="inlineStr">
        <is>
          <t>Jefatura de Biomédica Militar / Comandancia de Base</t>
        </is>
      </c>
      <c r="G11" s="119" t="inlineStr">
        <is>
          <t>(596) 924-4615</t>
        </is>
      </c>
      <c r="H11" s="117" t="n">
        <v>3</v>
      </c>
    </row>
    <row r="12" ht="22.05" customHeight="1" s="227">
      <c r="A12" s="113" t="n">
        <v>9</v>
      </c>
      <c r="B12" s="114" t="inlineStr">
        <is>
          <t>H.M.Z. La Boticaría</t>
        </is>
      </c>
      <c r="C12" s="216" t="inlineStr">
        <is>
          <t>VERACRUZ</t>
        </is>
      </c>
      <c r="D12" s="116" t="inlineStr">
        <is>
          <t>José González Herrera, Boticaria, Boca del Río, Veracruz, C.P. 92497</t>
        </is>
      </c>
      <c r="E12" s="115" t="inlineStr">
        <is>
          <t>C.P. 92497</t>
        </is>
      </c>
      <c r="F12" s="116" t="inlineStr">
        <is>
          <t>Jefatura Médica Militar / Encargado de Biomédica</t>
        </is>
      </c>
      <c r="G12" s="115" t="inlineStr">
        <is>
          <t>(229) 927-0269</t>
        </is>
      </c>
      <c r="H12" s="113" t="n">
        <v>3</v>
      </c>
    </row>
    <row r="13" ht="22.05" customHeight="1" s="227">
      <c r="A13" s="117" t="n">
        <v>10</v>
      </c>
      <c r="B13" s="118" t="inlineStr">
        <is>
          <t>H.M.Z. Temamatla</t>
        </is>
      </c>
      <c r="C13" s="216" t="inlineStr">
        <is>
          <t>EDO DE MEX</t>
        </is>
      </c>
      <c r="D13" s="120" t="inlineStr">
        <is>
          <t>Campo Militar No. 37-B, Carretera Federal a Chalco-Juchitepec, Temamatla, Edo. Méx., C.P. 56650</t>
        </is>
      </c>
      <c r="E13" s="119" t="inlineStr">
        <is>
          <t>C.P. 56650</t>
        </is>
      </c>
      <c r="F13" s="120" t="inlineStr">
        <is>
          <t>Dirección del Hospital de Zona / Oficial del Día</t>
        </is>
      </c>
      <c r="G13" s="119" t="inlineStr">
        <is>
          <t>(55) 2592-9392</t>
        </is>
      </c>
      <c r="H13" s="117" t="n">
        <v>3</v>
      </c>
    </row>
    <row r="14" ht="22.05" customHeight="1" s="227">
      <c r="A14" s="113" t="n">
        <v>11</v>
      </c>
      <c r="B14" s="114" t="inlineStr">
        <is>
          <t>H.M.R.E. Mérida</t>
        </is>
      </c>
      <c r="C14" s="216" t="inlineStr">
        <is>
          <t>YUCATAN</t>
        </is>
      </c>
      <c r="D14" s="116" t="inlineStr">
        <is>
          <t>Calle 61A esq. Calle 90, Col. Centro, Mérida, Yucatán, C.P. 97000</t>
        </is>
      </c>
      <c r="E14" s="115" t="inlineStr">
        <is>
          <t>C.P. 97000</t>
        </is>
      </c>
      <c r="F14" s="116" t="inlineStr">
        <is>
          <t>Jefatura de Biomédica Militar / Subdirección Médica</t>
        </is>
      </c>
      <c r="G14" s="115" t="inlineStr">
        <is>
          <t>(999) 923-6465 / (999) 923-6011</t>
        </is>
      </c>
      <c r="H14" s="113" t="n">
        <v>3</v>
      </c>
    </row>
    <row r="15" ht="22.05" customHeight="1" s="227">
      <c r="A15" s="117" t="n">
        <v>12</v>
      </c>
      <c r="B15" s="118" t="inlineStr">
        <is>
          <t>H.M.Z. Cuernavaca</t>
        </is>
      </c>
      <c r="C15" s="216" t="inlineStr">
        <is>
          <t>MORELOS</t>
        </is>
      </c>
      <c r="D15" s="120" t="inlineStr">
        <is>
          <t>Av. Domingo Diez s/n, Col. El Empleado, Cuernavaca, Morelos, C.P. 62250</t>
        </is>
      </c>
      <c r="E15" s="119" t="inlineStr">
        <is>
          <t>C.P. 62250</t>
        </is>
      </c>
      <c r="F15" s="120" t="inlineStr">
        <is>
          <t>Jefatura de Sanidad / Encargado de Mantenimiento</t>
        </is>
      </c>
      <c r="G15" s="119" t="inlineStr">
        <is>
          <t>(777) 372-2532</t>
        </is>
      </c>
      <c r="H15" s="117" t="n">
        <v>2</v>
      </c>
    </row>
    <row r="16" ht="22.05" customHeight="1" s="227">
      <c r="A16" s="113" t="n">
        <v>13</v>
      </c>
      <c r="B16" s="114" t="inlineStr">
        <is>
          <t>H.M.R. La Paz</t>
        </is>
      </c>
      <c r="C16" s="216" t="inlineStr">
        <is>
          <t>BAJA CALIFORNIA SUR</t>
        </is>
      </c>
      <c r="D16" s="116" t="inlineStr">
        <is>
          <t>Av. Revolución 1910, No. 870 Norte entre Calle Manuel Torres Iglesias y Salvatierra, La Paz, B.C.S., C.P. 23080</t>
        </is>
      </c>
      <c r="E16" s="115" t="inlineStr">
        <is>
          <t>C.P. 23080</t>
        </is>
      </c>
      <c r="F16" s="116" t="inlineStr">
        <is>
          <t>Dirección del Hospital Regional / Encargado de Sanidad</t>
        </is>
      </c>
      <c r="G16" s="115" t="inlineStr">
        <is>
          <t>(612) 121-3441</t>
        </is>
      </c>
      <c r="H16" s="113" t="n">
        <v>2</v>
      </c>
    </row>
    <row r="17" ht="22.05" customHeight="1" s="227">
      <c r="A17" s="117" t="n">
        <v>14</v>
      </c>
      <c r="B17" s="118" t="inlineStr">
        <is>
          <t>H.M.Z. Zapopan</t>
        </is>
      </c>
      <c r="C17" s="216" t="inlineStr">
        <is>
          <t>JALISCO</t>
        </is>
      </c>
      <c r="D17" s="120" t="inlineStr">
        <is>
          <t>Av. Aviación No. 5851, Col. La Estrada (Base Aérea Militar No. 5), Zapopan, Jalisco, C.P. 45100</t>
        </is>
      </c>
      <c r="E17" s="119" t="inlineStr">
        <is>
          <t>C.P. 45100</t>
        </is>
      </c>
      <c r="F17" s="120" t="inlineStr">
        <is>
          <t>Jefatura de Sanidad de la Base Aérea / Hospital de Zona</t>
        </is>
      </c>
      <c r="G17" s="119" t="inlineStr">
        <is>
          <t>(33) 3832-1037</t>
        </is>
      </c>
      <c r="H17" s="117" t="n">
        <v>2</v>
      </c>
    </row>
    <row r="18" ht="22.05" customHeight="1" s="227">
      <c r="A18" s="113" t="n">
        <v>15</v>
      </c>
      <c r="B18" s="114" t="inlineStr">
        <is>
          <t>H.M.R.E. Guadalajara</t>
        </is>
      </c>
      <c r="C18" s="216" t="inlineStr">
        <is>
          <t>JALISCO</t>
        </is>
      </c>
      <c r="D18" s="116" t="inlineStr">
        <is>
          <t>Calle Medrano No. 701, Col. Analco, Guadalajara, Jalisco, C.P. 44450</t>
        </is>
      </c>
      <c r="E18" s="115" t="inlineStr">
        <is>
          <t>C.P. 44450</t>
        </is>
      </c>
      <c r="F18" s="116" t="inlineStr">
        <is>
          <t>Depto. de Ingeniería Biomédica / Subdirección Médica</t>
        </is>
      </c>
      <c r="G18" s="115" t="inlineStr">
        <is>
          <t>(33) 3617-5887</t>
        </is>
      </c>
      <c r="H18" s="113" t="n">
        <v>2</v>
      </c>
    </row>
    <row r="19" ht="22.05" customHeight="1" s="227">
      <c r="A19" s="117" t="n">
        <v>16</v>
      </c>
      <c r="B19" s="118" t="inlineStr">
        <is>
          <t>H.M.R. Acapulco</t>
        </is>
      </c>
      <c r="C19" s="216" t="inlineStr">
        <is>
          <t>GUERRERO</t>
        </is>
      </c>
      <c r="D19" s="120" t="inlineStr">
        <is>
          <t>Av. Adolfo Ruiz Cortines s/n, Col. Alta Progreso, Acapulco de Juárez, Guerrero, C.P. 39610</t>
        </is>
      </c>
      <c r="E19" s="119" t="inlineStr">
        <is>
          <t>C.P. 39610</t>
        </is>
      </c>
      <c r="F19" s="120" t="inlineStr">
        <is>
          <t>Jefatura de Biomédica Militar / Subdirección Hospitalaria</t>
        </is>
      </c>
      <c r="G19" s="119" t="inlineStr">
        <is>
          <t>(744) 445-6586</t>
        </is>
      </c>
      <c r="H19" s="117" t="n">
        <v>1</v>
      </c>
    </row>
    <row r="20" ht="22.05" customHeight="1" s="227">
      <c r="A20" s="113" t="n">
        <v>17</v>
      </c>
      <c r="B20" s="114" t="inlineStr">
        <is>
          <t>H.M.Z. Chetumal</t>
        </is>
      </c>
      <c r="C20" s="216" t="inlineStr">
        <is>
          <t>QUINTANA ROO</t>
        </is>
      </c>
      <c r="D20" s="116" t="inlineStr">
        <is>
          <t>Av. Boulevard Bahía No. 418, Zona De Granjas, Chetumal, Quintana Roo, C.P. 77079</t>
        </is>
      </c>
      <c r="E20" s="115" t="inlineStr">
        <is>
          <t>C.P. 77079</t>
        </is>
      </c>
      <c r="F20" s="116" t="inlineStr">
        <is>
          <t>Dirección del Hospital de Zona / Jefatura de Sanidad</t>
        </is>
      </c>
      <c r="G20" s="115" t="inlineStr">
        <is>
          <t>(983) 833-0427</t>
        </is>
      </c>
      <c r="H20" s="113" t="n">
        <v>1</v>
      </c>
    </row>
    <row r="21" ht="22.05" customHeight="1" s="227">
      <c r="A21" s="117" t="n">
        <v>18</v>
      </c>
      <c r="B21" s="118" t="inlineStr">
        <is>
          <t>H.M.Z. Campo Militar No. 1-A</t>
        </is>
      </c>
      <c r="C21" s="216" t="inlineStr">
        <is>
          <t>CDMX</t>
        </is>
      </c>
      <c r="D21" s="120" t="inlineStr">
        <is>
          <t>Calz. San Esteban No. 60, Campo Militar No. 1-A, Naucalpan de Juárez, Edo. Méx., C.P. 53533</t>
        </is>
      </c>
      <c r="E21" s="119" t="inlineStr">
        <is>
          <t>C.P. 53533</t>
        </is>
      </c>
      <c r="F21" s="120" t="inlineStr">
        <is>
          <t>Subdirección del Hospital de Zona / Jefatura de Imagenología</t>
        </is>
      </c>
      <c r="G21" s="119" t="inlineStr">
        <is>
          <t>(55) 5395-1451</t>
        </is>
      </c>
      <c r="H21" s="117" t="n">
        <v>1</v>
      </c>
    </row>
    <row r="22" ht="22.05" customHeight="1" s="227">
      <c r="A22" s="113" t="n">
        <v>19</v>
      </c>
      <c r="B22" s="114" t="inlineStr">
        <is>
          <t>H.M.Z. Villahermosa</t>
        </is>
      </c>
      <c r="C22" s="216" t="inlineStr">
        <is>
          <t>TABASCO</t>
        </is>
      </c>
      <c r="D22" s="116" t="inlineStr">
        <is>
          <t>Av. Paseo Usumacinta s/n, Col. Atasta de Serra, Villahermosa, Tabasco, C.P. 86100</t>
        </is>
      </c>
      <c r="E22" s="115" t="inlineStr">
        <is>
          <t>C.P. 86100</t>
        </is>
      </c>
      <c r="F22" s="116" t="inlineStr">
        <is>
          <t>Subdirección del Hospital Militar / Oficial de Guardia</t>
        </is>
      </c>
      <c r="G22" s="115" t="inlineStr">
        <is>
          <t>(993) 315-0244 / (993) 315-0255</t>
        </is>
      </c>
      <c r="H22" s="113" t="n">
        <v>1</v>
      </c>
    </row>
    <row r="23" ht="22.05" customHeight="1" s="227">
      <c r="A23" s="117" t="n">
        <v>20</v>
      </c>
      <c r="B23" s="118" t="inlineStr">
        <is>
          <t>H.M.Z. Santa Gertrudis</t>
        </is>
      </c>
      <c r="C23" s="216" t="inlineStr">
        <is>
          <t>CHIHUAHUA</t>
        </is>
      </c>
      <c r="D23" s="120" t="inlineStr">
        <is>
          <t>Campo Militar No. 42-A, Base Aérea Militar No. 11, Saucillo / Camargo, Chihuahua, C.P. 33620</t>
        </is>
      </c>
      <c r="E23" s="119" t="inlineStr">
        <is>
          <t>C.P. 33620</t>
        </is>
      </c>
      <c r="F23" s="120" t="inlineStr">
        <is>
          <t>Comandancia del Campo Militar 42-A / Jefatura de Sanidad</t>
        </is>
      </c>
      <c r="G23" s="119" t="inlineStr">
        <is>
          <t>(648) 462-0044 / (648) 462-0055</t>
        </is>
      </c>
      <c r="H23" s="117" t="n">
        <v>1</v>
      </c>
    </row>
    <row r="24" ht="22.05" customHeight="1" s="227">
      <c r="A24" s="121" t="n">
        <v>21</v>
      </c>
      <c r="B24" s="122" t="inlineStr">
        <is>
          <t>H.M.R. Tuxtla Gutiérrez</t>
        </is>
      </c>
      <c r="C24" s="216" t="inlineStr">
        <is>
          <t>CHIAPAS</t>
        </is>
      </c>
      <c r="D24" s="124" t="inlineStr">
        <is>
          <t>Campo Militar No. 31-B, Blvd. Gral. Ángel Albino Corzo s/n, Col. Bienestar Social, Tuxtla Gutiérrez, Chiapas, C.P. 29076</t>
        </is>
      </c>
      <c r="E24" s="123" t="inlineStr">
        <is>
          <t>C.P. 29076</t>
        </is>
      </c>
      <c r="F24" s="124" t="inlineStr">
        <is>
          <t>Jefatura de Ingeniería Biomédica / Subdirección Médica</t>
        </is>
      </c>
      <c r="G24" s="123" t="inlineStr">
        <is>
          <t>(961) 614-2829 / (961) 614-2930</t>
        </is>
      </c>
      <c r="H24" s="121" t="n">
        <v>3</v>
      </c>
    </row>
    <row r="25" ht="22.05" customHeight="1" s="227">
      <c r="A25" s="121" t="n">
        <v>22</v>
      </c>
      <c r="B25" s="122" t="inlineStr">
        <is>
          <t>H.M.R. Chihuahua</t>
        </is>
      </c>
      <c r="C25" s="216" t="inlineStr">
        <is>
          <t>CHIHUAHUA</t>
        </is>
      </c>
      <c r="D25" s="124" t="inlineStr">
        <is>
          <t>Calle Marcelo Caraveo No. 4200 y Jiménez, Col. Cuarteles, Chihuahua, Chihuahua, C.P. 31021</t>
        </is>
      </c>
      <c r="E25" s="123" t="inlineStr">
        <is>
          <t>C.P. 31021</t>
        </is>
      </c>
      <c r="F25" s="124" t="inlineStr">
        <is>
          <t>Jefatura de Sanidad Militar / Depto. Biomédica</t>
        </is>
      </c>
      <c r="G25" s="123" t="inlineStr">
        <is>
          <t>(614) 418-6511</t>
        </is>
      </c>
      <c r="H25" s="121" t="n">
        <v>2</v>
      </c>
    </row>
    <row r="26" ht="22.05" customHeight="1" s="227">
      <c r="A26" s="121" t="n">
        <v>23</v>
      </c>
      <c r="B26" s="122" t="inlineStr">
        <is>
          <t>H.M.R. Puebla</t>
        </is>
      </c>
      <c r="C26" s="216" t="inlineStr">
        <is>
          <t>PUEBLA</t>
        </is>
      </c>
      <c r="D26" s="124" t="inlineStr">
        <is>
          <t>Av. La Calera No. 49, Col. Héroes de Puebla, Puebla, Puebla, C.P. 72380</t>
        </is>
      </c>
      <c r="E26" s="123" t="inlineStr">
        <is>
          <t>C.P. 72380</t>
        </is>
      </c>
      <c r="F26" s="124" t="inlineStr">
        <is>
          <t>Subdirección Médica Militar / Enlace Biomédico</t>
        </is>
      </c>
      <c r="G26" s="123" t="inlineStr">
        <is>
          <t>(222) 236-2100 / (222) 236-4606</t>
        </is>
      </c>
      <c r="H26" s="121" t="n">
        <v>2</v>
      </c>
    </row>
    <row r="27" ht="22.05" customHeight="1" s="227">
      <c r="A27" s="121" t="n">
        <v>24</v>
      </c>
      <c r="B27" s="122" t="inlineStr">
        <is>
          <t>H.M.Z. Cinco de Mayo</t>
        </is>
      </c>
      <c r="C27" s="216" t="inlineStr">
        <is>
          <t>DURANGO</t>
        </is>
      </c>
      <c r="D27" s="124" t="inlineStr">
        <is>
          <t>Campo Militar No. 10-A, Col. Cinco de Mayo, Cinco de Mayo, Durango, C.P. 34490</t>
        </is>
      </c>
      <c r="E27" s="123" t="inlineStr">
        <is>
          <t>C.P. 34490</t>
        </is>
      </c>
      <c r="F27" s="124" t="inlineStr">
        <is>
          <t>Dirección del Hospital de Zona / Jefatura de Sanidad</t>
        </is>
      </c>
      <c r="G27" s="123" t="inlineStr">
        <is>
          <t>(618) 814-2215</t>
        </is>
      </c>
      <c r="H27" s="121" t="n">
        <v>1</v>
      </c>
    </row>
    <row r="28" ht="22.05" customHeight="1" s="227">
      <c r="A28" s="121" t="n">
        <v>25</v>
      </c>
      <c r="B28" s="122" t="inlineStr">
        <is>
          <t>H.M.R. Tuxpan</t>
        </is>
      </c>
      <c r="C28" s="216" t="inlineStr">
        <is>
          <t>VERACRUZ</t>
        </is>
      </c>
      <c r="D28" s="124" t="inlineStr">
        <is>
          <t>Pino Suárez No. 41, Col. Centro, Tuxpan de Rodríguez Cano, Veracruz, C.P. 92800</t>
        </is>
      </c>
      <c r="E28" s="123" t="inlineStr">
        <is>
          <t>C.P. 92800</t>
        </is>
      </c>
      <c r="F28" s="124" t="inlineStr">
        <is>
          <t>Jefatura Médica Militar / Encargado de Mantenimiento</t>
        </is>
      </c>
      <c r="G28" s="123" t="inlineStr">
        <is>
          <t>(783) 834-1903</t>
        </is>
      </c>
      <c r="H28" s="121" t="n">
        <v>1</v>
      </c>
    </row>
    <row r="29" ht="22.05" customHeight="1" s="227">
      <c r="A29" s="121" t="n">
        <v>26</v>
      </c>
      <c r="B29" s="122" t="inlineStr">
        <is>
          <t>H.M.R. San Luis Potosí</t>
        </is>
      </c>
      <c r="C29" s="216" t="inlineStr">
        <is>
          <t>SAN LUIS POTOSI</t>
        </is>
      </c>
      <c r="D29" s="124" t="inlineStr">
        <is>
          <t>Campo Militar No. 12-A, Calle Coronel Ontañón s/n esq. Morelos, Barrio de San Sebastián, San Luis Potosí, S.L.P., C.P. 78340</t>
        </is>
      </c>
      <c r="E29" s="123" t="inlineStr">
        <is>
          <t>C.P. 78340</t>
        </is>
      </c>
      <c r="F29" s="124" t="inlineStr">
        <is>
          <t>Jefatura de Biomédica Militar / Subdirección Hospitalaria</t>
        </is>
      </c>
      <c r="G29" s="123" t="inlineStr">
        <is>
          <t>(444) 812-9811</t>
        </is>
      </c>
      <c r="H29" s="121" t="n">
        <v>1</v>
      </c>
    </row>
    <row r="30" ht="22.05" customHeight="1" s="227">
      <c r="A30" s="121" t="n">
        <v>27</v>
      </c>
      <c r="B30" s="122" t="inlineStr">
        <is>
          <t>H.M.R. Tampico</t>
        </is>
      </c>
      <c r="C30" s="216" t="inlineStr">
        <is>
          <t>TAMAULIPAS</t>
        </is>
      </c>
      <c r="D30" s="124" t="inlineStr">
        <is>
          <t>Calle Venustiano Carranza No. 701 Pte., Col. Zona Centro, Tampico, Tamaulipas, C.P. 89600</t>
        </is>
      </c>
      <c r="E30" s="123" t="inlineStr">
        <is>
          <t>C.P. 89600</t>
        </is>
      </c>
      <c r="F30" s="124" t="inlineStr">
        <is>
          <t>Dirección Hospitalaria / Enlace de Sanidad Militar</t>
        </is>
      </c>
      <c r="G30" s="123" t="inlineStr">
        <is>
          <t>(836) 261-6646</t>
        </is>
      </c>
      <c r="H30" s="121" t="n">
        <v>1</v>
      </c>
    </row>
    <row r="31" ht="22.05" customHeight="1" s="227">
      <c r="A31" s="121" t="n">
        <v>28</v>
      </c>
      <c r="B31" s="122" t="inlineStr">
        <is>
          <t>H.M.Z. El Vergel, Iztapalapa</t>
        </is>
      </c>
      <c r="C31" s="216" t="inlineStr">
        <is>
          <t>CDMX</t>
        </is>
      </c>
      <c r="D31" s="124" t="inlineStr">
        <is>
          <t>Área Federal F.A.V.E. S.E.D.E.N.A., Alcaldía Iztapalapa, CDMX, C.P. 09880</t>
        </is>
      </c>
      <c r="E31" s="123" t="inlineStr">
        <is>
          <t>C.P. 09880</t>
        </is>
      </c>
      <c r="F31" s="124" t="inlineStr">
        <is>
          <t>Jefatura de Sanidad / Depto. Biomédica Campo 1-E</t>
        </is>
      </c>
      <c r="G31" s="123" t="inlineStr">
        <is>
          <t>(55) 5426-5053</t>
        </is>
      </c>
      <c r="H31" s="121" t="n">
        <v>1</v>
      </c>
    </row>
    <row r="32" ht="22.05" customHeight="1" s="227">
      <c r="A32" s="121" t="n">
        <v>29</v>
      </c>
      <c r="B32" s="122" t="inlineStr">
        <is>
          <t>H.M.R. Hermosillo</t>
        </is>
      </c>
      <c r="C32" s="216" t="inlineStr">
        <is>
          <t>SONORA</t>
        </is>
      </c>
      <c r="D32" s="124" t="inlineStr">
        <is>
          <t>Blvd. Valentín Gómez Farías s/n, Zona Militar, Hermosillo, Sonora, C.P. 83150</t>
        </is>
      </c>
      <c r="E32" s="123" t="inlineStr">
        <is>
          <t>C.P. 83150</t>
        </is>
      </c>
      <c r="F32" s="124" t="inlineStr">
        <is>
          <t>Jefatura de Ingeniería Biomédica / Subdirección Médica</t>
        </is>
      </c>
      <c r="G32" s="123" t="inlineStr">
        <is>
          <t>(662) 211-0588</t>
        </is>
      </c>
      <c r="H32" s="121" t="n">
        <v>1</v>
      </c>
    </row>
    <row r="33" ht="22.05" customHeight="1" s="227">
      <c r="A33" s="121" t="n">
        <v>30</v>
      </c>
      <c r="B33" s="122" t="inlineStr">
        <is>
          <t>H.M.Z. Mexicali</t>
        </is>
      </c>
      <c r="C33" s="216" t="inlineStr">
        <is>
          <t>BAJA CALIFORNIA</t>
        </is>
      </c>
      <c r="D33" s="124" t="inlineStr">
        <is>
          <t>Campo Militar No. 2-B, Av. Heroico Colegio Militar s/n, Col. Orizaba, Mexicali, B.C., C.P. 21180</t>
        </is>
      </c>
      <c r="E33" s="123" t="inlineStr">
        <is>
          <t>C.P. 21180</t>
        </is>
      </c>
      <c r="F33" s="124" t="inlineStr">
        <is>
          <t>Dirección Hospital Militar de Zona / Oficial de Guardia</t>
        </is>
      </c>
      <c r="G33" s="123" t="inlineStr">
        <is>
          <t>(686) 556-6264</t>
        </is>
      </c>
      <c r="H33" s="121" t="n">
        <v>1</v>
      </c>
    </row>
    <row r="34" ht="22.05" customHeight="1" s="227">
      <c r="A34" s="121" t="n">
        <v>31</v>
      </c>
      <c r="B34" s="122" t="inlineStr">
        <is>
          <t>H.M.R. El Ciprés</t>
        </is>
      </c>
      <c r="C34" s="216" t="inlineStr">
        <is>
          <t>BAJA CALIFORNIA</t>
        </is>
      </c>
      <c r="D34" s="124" t="inlineStr">
        <is>
          <t>Campo Militar No. 2-A, Carretera Transpeninsular No. 114, El Ciprés, Ensenada, B.C., C.P. 22185</t>
        </is>
      </c>
      <c r="E34" s="123" t="inlineStr">
        <is>
          <t>C.P. 22185</t>
        </is>
      </c>
      <c r="F34" s="124" t="inlineStr">
        <is>
          <t>Jefatura de Sanidad Base El Ciprés / Biomédica</t>
        </is>
      </c>
      <c r="G34" s="123" t="inlineStr">
        <is>
          <t>(646) 176-6205</t>
        </is>
      </c>
      <c r="H34" s="121" t="n">
        <v>1</v>
      </c>
    </row>
    <row r="35" ht="22.05" customHeight="1" s="227">
      <c r="A35" s="121" t="n">
        <v>32</v>
      </c>
      <c r="B35" s="122" t="inlineStr">
        <is>
          <t>H.M.R. Chilpancingo</t>
        </is>
      </c>
      <c r="C35" s="216" t="inlineStr">
        <is>
          <t>GUERRERO</t>
        </is>
      </c>
      <c r="D35" s="124" t="inlineStr">
        <is>
          <t>Calle Campo Militar 35-A, Col. Progreso, Chilpancingo de los Bravo, Guerrero, C.P. 39060</t>
        </is>
      </c>
      <c r="E35" s="123" t="inlineStr">
        <is>
          <t>C.P. 39060</t>
        </is>
      </c>
      <c r="F35" s="124" t="inlineStr">
        <is>
          <t>Subdirección del Hospital Regional / Jefatura de Sanidad</t>
        </is>
      </c>
      <c r="G35" s="123" t="inlineStr">
        <is>
          <t>(747) 472-7536</t>
        </is>
      </c>
      <c r="H35" s="121" t="n">
        <v>1</v>
      </c>
    </row>
    <row r="36" ht="22.05" customHeight="1" s="227">
      <c r="A36" s="121" t="n">
        <v>33</v>
      </c>
      <c r="B36" s="122" t="inlineStr">
        <is>
          <t>H.M.Z. Guadalupe</t>
        </is>
      </c>
      <c r="C36" s="216" t="inlineStr">
        <is>
          <t>ZACATECAS</t>
        </is>
      </c>
      <c r="D36" s="124" t="inlineStr">
        <is>
          <t>Av. SEDENA s/n, Col. Ejidal, Guadalupe, Zacatecas, C.P. 98658</t>
        </is>
      </c>
      <c r="E36" s="123" t="inlineStr">
        <is>
          <t>C.P. 98658</t>
        </is>
      </c>
      <c r="F36" s="124" t="inlineStr">
        <is>
          <t>Dirección Médica Militar / Sanidad de Zona</t>
        </is>
      </c>
      <c r="G36" s="123" t="inlineStr">
        <is>
          <t>(492) 899-0638</t>
        </is>
      </c>
      <c r="H36" s="121" t="n">
        <v>1</v>
      </c>
    </row>
    <row r="37" ht="22.05" customHeight="1" s="227">
      <c r="A37" s="121" t="n">
        <v>34</v>
      </c>
      <c r="B37" s="122" t="inlineStr">
        <is>
          <t>H.M.R., Irapuato</t>
        </is>
      </c>
      <c r="C37" s="216" t="inlineStr">
        <is>
          <t>GUANAJUATO</t>
        </is>
      </c>
      <c r="D37" s="124" t="inlineStr">
        <is>
          <t>Blvd. Paseo Solidaridad No. 5675 s/n, Irapuato, Guanajuato, C.P. 36545</t>
        </is>
      </c>
      <c r="E37" s="123" t="inlineStr">
        <is>
          <t>C.P. 36545</t>
        </is>
      </c>
      <c r="F37" s="124" t="inlineStr">
        <is>
          <t>Jefatura de Sanidad XII Región / Biomédica</t>
        </is>
      </c>
      <c r="G37" s="123" t="inlineStr">
        <is>
          <t>(462) 626-1235</t>
        </is>
      </c>
      <c r="H37" s="121" t="n">
        <v>1</v>
      </c>
    </row>
    <row r="38" ht="22.05" customHeight="1" s="227">
      <c r="A38" s="121" t="n">
        <v>35</v>
      </c>
      <c r="B38" s="122" t="inlineStr">
        <is>
          <t>H.M.Z. Santa María Rayón</t>
        </is>
      </c>
      <c r="C38" s="216" t="inlineStr">
        <is>
          <t>EDO DE MEX</t>
        </is>
      </c>
      <c r="D38" s="124" t="inlineStr">
        <is>
          <t>Carretera Toluca-Tenango Km. 19.5, Rancho Sanabria, Santa María Rayón, Tenango del Valle, Edo. Méx., C.P. 52367</t>
        </is>
      </c>
      <c r="E38" s="123" t="inlineStr">
        <is>
          <t>C.P. 52367</t>
        </is>
      </c>
      <c r="F38" s="124" t="inlineStr">
        <is>
          <t>Dirección Hospitalaria Militar / Enlace de Sanidad 22 Zona</t>
        </is>
      </c>
      <c r="G38" s="123" t="inlineStr">
        <is>
          <t>(717) 132-6022</t>
        </is>
      </c>
      <c r="H38" s="121" t="n">
        <v>1</v>
      </c>
    </row>
    <row r="39" ht="22.05" customHeight="1" s="227">
      <c r="A39" s="121" t="n">
        <v>36</v>
      </c>
      <c r="B39" s="122" t="inlineStr">
        <is>
          <t>U.M.C.E. Tlalpan</t>
        </is>
      </c>
      <c r="C39" s="216" t="inlineStr">
        <is>
          <t>CDMX</t>
        </is>
      </c>
      <c r="D39" s="124" t="inlineStr">
        <is>
          <t>Autopista México-Cuernavaca Km. 22.5, Tlalpan, CDMX, C.P. 14650</t>
        </is>
      </c>
      <c r="E39" s="123" t="inlineStr">
        <is>
          <t>C.P. 14650</t>
        </is>
      </c>
      <c r="F39" s="124" t="inlineStr">
        <is>
          <t>Jefatura de Sanidad Heroico Colegio Militar</t>
        </is>
      </c>
      <c r="G39" s="123" t="inlineStr">
        <is>
          <t>(55) 5676-5044</t>
        </is>
      </c>
      <c r="H39" s="121" t="n">
        <v>1</v>
      </c>
    </row>
    <row r="40" ht="22.05" customHeight="1" s="227">
      <c r="A40" s="121" t="n">
        <v>37</v>
      </c>
      <c r="B40" s="122" t="inlineStr">
        <is>
          <t>U.M.C.E. Reynosa</t>
        </is>
      </c>
      <c r="C40" s="216" t="inlineStr">
        <is>
          <t>TAMAULIPAS</t>
        </is>
      </c>
      <c r="D40" s="124" t="inlineStr">
        <is>
          <t>Carretera Reynosa-Matamoros Km 85-C, Col. Almaguer (Cuartel 8/a. Zona Militar), Reynosa, Tamps., C.P. 88785</t>
        </is>
      </c>
      <c r="E40" s="123" t="inlineStr">
        <is>
          <t>C.P. 88785</t>
        </is>
      </c>
      <c r="F40" s="124" t="inlineStr">
        <is>
          <t>Jefatura de Sanidad 8/a. Zona Militar</t>
        </is>
      </c>
      <c r="G40" s="123" t="inlineStr">
        <is>
          <t>(899) 926-7092</t>
        </is>
      </c>
      <c r="H40" s="121" t="n">
        <v>1</v>
      </c>
    </row>
    <row r="41" ht="24" customHeight="1" s="227" thickBot="1">
      <c r="A41" s="234" t="inlineStr">
        <is>
          <t>TOTAL UNIDADES MILITARES Y EQUIPOS ADJUDICADOS (37 UNIDADES):</t>
        </is>
      </c>
      <c r="B41" s="224" t="n"/>
      <c r="C41" s="224" t="n"/>
      <c r="D41" s="224" t="n"/>
      <c r="E41" s="224" t="n"/>
      <c r="F41" s="224" t="n"/>
      <c r="G41" s="225" t="n"/>
      <c r="H41" s="125">
        <f>SUM(H4:H40)</f>
        <v/>
      </c>
    </row>
    <row r="42" ht="13.95" customHeight="1" s="227" thickTop="1"/>
  </sheetData>
  <autoFilter ref="A3:H40"/>
  <mergeCells count="3">
    <mergeCell ref="A41:G4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B365D"/>
    <outlinePr summaryBelow="1" summaryRight="1"/>
    <pageSetUpPr/>
  </sheetPr>
  <dimension ref="A1:P160"/>
  <sheetViews>
    <sheetView topLeftCell="H156" workbookViewId="0">
      <selection activeCell="F172" sqref="F172"/>
    </sheetView>
  </sheetViews>
  <sheetFormatPr baseColWidth="10" defaultColWidth="8.88671875" defaultRowHeight="14.4"/>
  <cols>
    <col width="6" customWidth="1" style="227" min="1" max="1"/>
    <col width="15" customWidth="1" style="227" min="2" max="2"/>
    <col width="11" customWidth="1" style="227" min="3" max="3"/>
    <col width="28" customWidth="1" style="227" min="4" max="4"/>
    <col width="16" customWidth="1" style="227" min="5" max="5"/>
    <col width="34" customWidth="1" style="227" min="6" max="6"/>
    <col width="18" customWidth="1" style="227" min="7" max="7"/>
    <col width="42" customWidth="1" style="227" min="8" max="8"/>
    <col width="16" customWidth="1" style="227" min="9" max="9"/>
    <col width="22" customWidth="1" style="227" min="10" max="10"/>
    <col width="18" customWidth="1" style="227" min="11" max="11"/>
    <col width="16" customWidth="1" style="227" min="12" max="12"/>
    <col width="22" customWidth="1" style="227" min="13" max="13"/>
    <col width="14" customWidth="1" style="227" min="14" max="15"/>
    <col width="15" customWidth="1" style="227" min="16" max="16"/>
  </cols>
  <sheetData>
    <row r="1" ht="30" customHeight="1" s="227">
      <c r="A1" s="237" t="inlineStr">
        <is>
          <t>RELACIÓN DE EQUIPOS ASIGNADOS POR INGENIERO - SEDENA 2026-2027</t>
        </is>
      </c>
    </row>
    <row r="2" ht="22.05" customHeight="1" s="227">
      <c r="A2" s="238" t="inlineStr">
        <is>
          <t>Medical Dimegar, S.A. de C.V. | Control Operativo de Asignación | 143 Equipos Adjudicados en 37 Unidades Militares</t>
        </is>
      </c>
    </row>
    <row r="3" ht="12" customHeight="1" s="227"/>
    <row r="4" ht="24" customHeight="1" s="227">
      <c r="A4" s="240" t="inlineStr">
        <is>
          <t>SECCIÓN 1:  ASIGNACIÓN Y CARGA DE TRABAJO POR INGENIERO (7 INGENIEROS ACTIVOS)</t>
        </is>
      </c>
    </row>
    <row r="5" ht="28.05" customHeight="1" s="227">
      <c r="A5" s="136" t="inlineStr">
        <is>
          <t>No.</t>
        </is>
      </c>
      <c r="B5" s="136" t="inlineStr">
        <is>
          <t>Color / Código Visual</t>
        </is>
      </c>
      <c r="C5" s="136" t="inlineStr">
        <is>
          <t>Ingeniero Responsable</t>
        </is>
      </c>
      <c r="D5" s="136" t="inlineStr">
        <is>
          <t>Sedes Asignadas</t>
        </is>
      </c>
      <c r="E5" s="136" t="inlineStr">
        <is>
          <t>Cantidad de Equipos</t>
        </is>
      </c>
      <c r="F5" s="136" t="inlineStr">
        <is>
          <t>% Carga de Trabajo</t>
        </is>
      </c>
      <c r="G5" s="136" t="inlineStr">
        <is>
          <t>Servicios 2026</t>
        </is>
      </c>
      <c r="H5" s="136" t="inlineStr">
        <is>
          <t>Servicios 2027</t>
        </is>
      </c>
      <c r="I5" s="136" t="inlineStr">
        <is>
          <t>Total Servicios</t>
        </is>
      </c>
    </row>
    <row r="6" ht="22.05" customHeight="1" s="227">
      <c r="A6" s="137" t="n">
        <v>1</v>
      </c>
      <c r="B6" s="305" t="inlineStr">
        <is>
          <t>● ROSA</t>
        </is>
      </c>
      <c r="C6" s="139" t="inlineStr">
        <is>
          <t>Ing. Sophia López Ramírez</t>
        </is>
      </c>
      <c r="D6" s="137" t="n">
        <v>1</v>
      </c>
      <c r="E6" s="140" t="n">
        <v>68</v>
      </c>
      <c r="F6" s="278" t="n">
        <v>0.4755244755244755</v>
      </c>
      <c r="G6" s="137" t="n">
        <v>73</v>
      </c>
      <c r="H6" s="137" t="n">
        <v>146</v>
      </c>
      <c r="I6" s="140" t="n">
        <v>219</v>
      </c>
    </row>
    <row r="7" ht="22.05" customHeight="1" s="227">
      <c r="A7" s="142" t="n">
        <v>2</v>
      </c>
      <c r="B7" s="306" t="inlineStr">
        <is>
          <t>● ROJO</t>
        </is>
      </c>
      <c r="C7" s="144" t="inlineStr">
        <is>
          <t>Ing. Axel Evangelista Salinas</t>
        </is>
      </c>
      <c r="D7" s="142" t="n">
        <v>9</v>
      </c>
      <c r="E7" s="145" t="n">
        <v>26</v>
      </c>
      <c r="F7" s="279" t="n">
        <v>0.1818181818181818</v>
      </c>
      <c r="G7" s="142" t="n">
        <v>27</v>
      </c>
      <c r="H7" s="142" t="n">
        <v>54</v>
      </c>
      <c r="I7" s="145" t="n">
        <v>81</v>
      </c>
    </row>
    <row r="8" ht="22.05" customHeight="1" s="227">
      <c r="A8" s="137" t="n">
        <v>3</v>
      </c>
      <c r="B8" s="307" t="inlineStr">
        <is>
          <t>● DORADO</t>
        </is>
      </c>
      <c r="C8" s="139" t="inlineStr">
        <is>
          <t>Ing. Rogelio Ramos Centeno</t>
        </is>
      </c>
      <c r="D8" s="137" t="n">
        <v>7</v>
      </c>
      <c r="E8" s="140" t="n">
        <v>14</v>
      </c>
      <c r="F8" s="278" t="n">
        <v>0.0979020979020979</v>
      </c>
      <c r="G8" s="137" t="n">
        <v>14</v>
      </c>
      <c r="H8" s="137" t="n">
        <v>28</v>
      </c>
      <c r="I8" s="140" t="n">
        <v>42</v>
      </c>
    </row>
    <row r="9" ht="22.05" customHeight="1" s="227">
      <c r="A9" s="142" t="n">
        <v>4</v>
      </c>
      <c r="B9" s="308" t="inlineStr">
        <is>
          <t>● AZUL</t>
        </is>
      </c>
      <c r="C9" s="144" t="inlineStr">
        <is>
          <t>Ing. Jose Jorge Olivares Velazquez</t>
        </is>
      </c>
      <c r="D9" s="142" t="n">
        <v>7</v>
      </c>
      <c r="E9" s="145" t="n">
        <v>13</v>
      </c>
      <c r="F9" s="279" t="n">
        <v>0.09090909090909091</v>
      </c>
      <c r="G9" s="142" t="n">
        <v>13</v>
      </c>
      <c r="H9" s="142" t="n">
        <v>26</v>
      </c>
      <c r="I9" s="145" t="n">
        <v>39</v>
      </c>
    </row>
    <row r="10" ht="22.05" customHeight="1" s="227">
      <c r="A10" s="137" t="n">
        <v>5</v>
      </c>
      <c r="B10" s="309" t="inlineStr">
        <is>
          <t>● VINO</t>
        </is>
      </c>
      <c r="C10" s="139" t="inlineStr">
        <is>
          <t>Ing. Jose Paris Mendoza Cortes</t>
        </is>
      </c>
      <c r="D10" s="137" t="n">
        <v>8</v>
      </c>
      <c r="E10" s="140" t="n">
        <v>9</v>
      </c>
      <c r="F10" s="278" t="n">
        <v>0.06293706293706294</v>
      </c>
      <c r="G10" s="137" t="n">
        <v>9</v>
      </c>
      <c r="H10" s="137" t="n">
        <v>18</v>
      </c>
      <c r="I10" s="140" t="n">
        <v>27</v>
      </c>
    </row>
    <row r="11" ht="22.05" customHeight="1" s="227">
      <c r="A11" s="142" t="n">
        <v>6</v>
      </c>
      <c r="B11" s="310" t="inlineStr">
        <is>
          <t>● MORADO</t>
        </is>
      </c>
      <c r="C11" s="144" t="inlineStr">
        <is>
          <t>Ing. Jose Romero Najera</t>
        </is>
      </c>
      <c r="D11" s="142" t="n">
        <v>2</v>
      </c>
      <c r="E11" s="145" t="n">
        <v>8</v>
      </c>
      <c r="F11" s="279" t="n">
        <v>0.05594405594405594</v>
      </c>
      <c r="G11" s="142" t="n">
        <v>8</v>
      </c>
      <c r="H11" s="142" t="n">
        <v>16</v>
      </c>
      <c r="I11" s="145" t="n">
        <v>24</v>
      </c>
    </row>
    <row r="12" ht="22.05" customHeight="1" s="227">
      <c r="A12" s="137" t="n">
        <v>7</v>
      </c>
      <c r="B12" s="311" t="inlineStr">
        <is>
          <t>● VERDE</t>
        </is>
      </c>
      <c r="C12" s="139" t="inlineStr">
        <is>
          <t>Ing. Fernando Javier Michel Euan</t>
        </is>
      </c>
      <c r="D12" s="137" t="n">
        <v>3</v>
      </c>
      <c r="E12" s="140" t="n">
        <v>5</v>
      </c>
      <c r="F12" s="278" t="n">
        <v>0.03496503496503497</v>
      </c>
      <c r="G12" s="137" t="n">
        <v>5</v>
      </c>
      <c r="H12" s="137" t="n">
        <v>10</v>
      </c>
      <c r="I12" s="140" t="n">
        <v>15</v>
      </c>
    </row>
    <row r="13" ht="24" customHeight="1" s="227">
      <c r="A13" s="327" t="inlineStr">
        <is>
          <t>TOTAL GENERAL (7 INGENIEROS / 37 SEDES):</t>
        </is>
      </c>
      <c r="B13" s="224" t="n"/>
      <c r="C13" s="225" t="n"/>
      <c r="D13" s="215">
        <f>SUM(D6:D12)</f>
        <v/>
      </c>
      <c r="E13" s="215">
        <f>SUM(E6:E12)</f>
        <v/>
      </c>
      <c r="F13" s="215" t="inlineStr">
        <is>
          <t>100.0%</t>
        </is>
      </c>
      <c r="G13" s="215">
        <f>SUM(G6:G12)</f>
        <v/>
      </c>
      <c r="H13" s="215">
        <f>SUM(H6:H12)</f>
        <v/>
      </c>
      <c r="I13" s="215">
        <f>SUM(I6:I12)</f>
        <v/>
      </c>
      <c r="J13" s="328" t="n"/>
      <c r="K13" s="328" t="n"/>
      <c r="L13" s="328" t="n"/>
      <c r="M13" s="328" t="n"/>
      <c r="N13" s="328" t="n"/>
      <c r="O13" s="328" t="n"/>
      <c r="P13" s="328" t="n"/>
    </row>
    <row r="14" ht="13.95" customHeight="1" s="227">
      <c r="A14" s="328" t="n"/>
      <c r="B14" s="328" t="n"/>
      <c r="C14" s="328" t="n"/>
      <c r="D14" s="328" t="n"/>
      <c r="E14" s="328" t="n"/>
      <c r="F14" s="328" t="n"/>
      <c r="G14" s="328" t="n"/>
      <c r="H14" s="328" t="n"/>
      <c r="I14" s="328" t="n"/>
      <c r="J14" s="328" t="n"/>
      <c r="K14" s="328" t="n"/>
      <c r="L14" s="328" t="n"/>
      <c r="M14" s="328" t="n"/>
      <c r="N14" s="328" t="n"/>
      <c r="O14" s="328" t="n"/>
      <c r="P14" s="328" t="n"/>
    </row>
    <row r="15" ht="24" customHeight="1" s="227">
      <c r="A15" s="329" t="inlineStr">
        <is>
          <t>SECCIÓN 2: EQUIPOS ASIGNADOS POR INGENIERO (143 EQUIPOS ADJUDICADOS)</t>
        </is>
      </c>
    </row>
    <row r="16" ht="28.05" customHeight="1" s="227">
      <c r="A16" s="330" t="inlineStr">
        <is>
          <t>No.</t>
        </is>
      </c>
      <c r="B16" s="330" t="inlineStr">
        <is>
          <t>Folio Control</t>
        </is>
      </c>
      <c r="C16" s="330" t="inlineStr">
        <is>
          <t>Partida</t>
        </is>
      </c>
      <c r="D16" s="330" t="inlineStr">
        <is>
          <t>Ingeniero Responsable</t>
        </is>
      </c>
      <c r="E16" s="330" t="inlineStr">
        <is>
          <t>Color Asignado</t>
        </is>
      </c>
      <c r="F16" s="330" t="inlineStr">
        <is>
          <t>Hospital Militar / Sede Asignada</t>
        </is>
      </c>
      <c r="G16" s="330" t="inlineStr">
        <is>
          <t>Entidad Federativa</t>
        </is>
      </c>
      <c r="H16" s="330" t="inlineStr">
        <is>
          <t>Equipo Médico / Denominación Oficial</t>
        </is>
      </c>
      <c r="I16" s="330" t="inlineStr">
        <is>
          <t>Marca</t>
        </is>
      </c>
      <c r="J16" s="330" t="inlineStr">
        <is>
          <t>Modelo</t>
        </is>
      </c>
      <c r="K16" s="330" t="inlineStr">
        <is>
          <t>No. de Serie (N/S)</t>
        </is>
      </c>
      <c r="L16" s="330" t="inlineStr">
        <is>
          <t>Especialidad Médica</t>
        </is>
      </c>
      <c r="M16" s="330" t="inlineStr">
        <is>
          <t>Proveedor Soporte / Especialista</t>
        </is>
      </c>
      <c r="N16" s="330" t="inlineStr">
        <is>
          <t>Servicios 2026</t>
        </is>
      </c>
      <c r="O16" s="330" t="inlineStr">
        <is>
          <t>Servicios 2027</t>
        </is>
      </c>
      <c r="P16" s="330" t="inlineStr">
        <is>
          <t>Total Servicios</t>
        </is>
      </c>
    </row>
    <row r="17" ht="19.95" customHeight="1" s="227">
      <c r="A17" s="331" t="n">
        <v>1</v>
      </c>
      <c r="B17" s="332" t="inlineStr">
        <is>
          <t>BM-004</t>
        </is>
      </c>
      <c r="C17" s="332" t="n">
        <v>19</v>
      </c>
      <c r="D17" s="333" t="inlineStr">
        <is>
          <t>Ing. Sophia López Ramírez</t>
        </is>
      </c>
      <c r="E17" s="334" t="inlineStr">
        <is>
          <t>● ROSA</t>
        </is>
      </c>
      <c r="F17" s="335" t="inlineStr">
        <is>
          <t>H.M.E.O. Constituyentes</t>
        </is>
      </c>
      <c r="G17" s="334" t="inlineStr">
        <is>
          <t>CDMX</t>
        </is>
      </c>
      <c r="H17" s="335" t="inlineStr">
        <is>
          <t>Sistema de facoemulsificación, marca Alcon, modelo Centurion</t>
        </is>
      </c>
      <c r="I17" s="335" t="inlineStr">
        <is>
          <t>Alcon</t>
        </is>
      </c>
      <c r="J17" s="335" t="inlineStr">
        <is>
          <t>Centurion</t>
        </is>
      </c>
      <c r="K17" s="331" t="inlineStr">
        <is>
          <t>2201601801X</t>
        </is>
      </c>
      <c r="L17" s="331" t="inlineStr">
        <is>
          <t>OFTALMO</t>
        </is>
      </c>
      <c r="M17" s="335" t="inlineStr">
        <is>
          <t>ALCON</t>
        </is>
      </c>
      <c r="N17" s="331" t="n">
        <v>1</v>
      </c>
      <c r="O17" s="331" t="n">
        <v>2</v>
      </c>
      <c r="P17" s="332">
        <f>N17+O17</f>
        <v/>
      </c>
    </row>
    <row r="18" ht="19.95" customHeight="1" s="227">
      <c r="A18" s="336" t="n">
        <v>2</v>
      </c>
      <c r="B18" s="337" t="inlineStr">
        <is>
          <t>BM-005</t>
        </is>
      </c>
      <c r="C18" s="337" t="n">
        <v>20</v>
      </c>
      <c r="D18" s="338" t="inlineStr">
        <is>
          <t>Ing. Sophia López Ramírez</t>
        </is>
      </c>
      <c r="E18" s="334" t="inlineStr">
        <is>
          <t>● ROSA</t>
        </is>
      </c>
      <c r="F18" s="339" t="inlineStr">
        <is>
          <t>H.M.E.O. Constituyentes</t>
        </is>
      </c>
      <c r="G18" s="334" t="inlineStr">
        <is>
          <t>CDMX</t>
        </is>
      </c>
      <c r="H18" s="339" t="inlineStr">
        <is>
          <t>Sistema de facoemulsificación, marca Alcon, modelo Centurion</t>
        </is>
      </c>
      <c r="I18" s="339" t="inlineStr">
        <is>
          <t>Alcon</t>
        </is>
      </c>
      <c r="J18" s="339" t="inlineStr">
        <is>
          <t>Centurion</t>
        </is>
      </c>
      <c r="K18" s="336" t="inlineStr">
        <is>
          <t>2201483301X</t>
        </is>
      </c>
      <c r="L18" s="336" t="inlineStr">
        <is>
          <t>OFTALMO</t>
        </is>
      </c>
      <c r="M18" s="339" t="inlineStr">
        <is>
          <t>ALCON</t>
        </is>
      </c>
      <c r="N18" s="336" t="n">
        <v>1</v>
      </c>
      <c r="O18" s="336" t="n">
        <v>2</v>
      </c>
      <c r="P18" s="337">
        <f>N18+O18</f>
        <v/>
      </c>
    </row>
    <row r="19" ht="19.95" customHeight="1" s="227">
      <c r="A19" s="331" t="n">
        <v>3</v>
      </c>
      <c r="B19" s="332" t="inlineStr">
        <is>
          <t>BM-006</t>
        </is>
      </c>
      <c r="C19" s="332" t="n">
        <v>21</v>
      </c>
      <c r="D19" s="333" t="inlineStr">
        <is>
          <t>Ing. Sophia López Ramírez</t>
        </is>
      </c>
      <c r="E19" s="334" t="inlineStr">
        <is>
          <t>● ROSA</t>
        </is>
      </c>
      <c r="F19" s="335" t="inlineStr">
        <is>
          <t>H.M.E.O. Constituyentes</t>
        </is>
      </c>
      <c r="G19" s="334" t="inlineStr">
        <is>
          <t>CDMX</t>
        </is>
      </c>
      <c r="H19" s="335" t="inlineStr">
        <is>
          <t>Sistema de facoemulsificación, marca Alcon, modelo Centurion</t>
        </is>
      </c>
      <c r="I19" s="335" t="inlineStr">
        <is>
          <t>Alcon</t>
        </is>
      </c>
      <c r="J19" s="335" t="inlineStr">
        <is>
          <t>Centurion</t>
        </is>
      </c>
      <c r="K19" s="331" t="inlineStr">
        <is>
          <t>2201602101X</t>
        </is>
      </c>
      <c r="L19" s="331" t="inlineStr">
        <is>
          <t>OFTALMO</t>
        </is>
      </c>
      <c r="M19" s="335" t="inlineStr">
        <is>
          <t>ALCON</t>
        </is>
      </c>
      <c r="N19" s="331" t="n">
        <v>1</v>
      </c>
      <c r="O19" s="331" t="n">
        <v>2</v>
      </c>
      <c r="P19" s="332">
        <f>N19+O19</f>
        <v/>
      </c>
    </row>
    <row r="20" ht="19.95" customHeight="1" s="227">
      <c r="A20" s="336" t="n">
        <v>4</v>
      </c>
      <c r="B20" s="337" t="inlineStr">
        <is>
          <t>BM-007</t>
        </is>
      </c>
      <c r="C20" s="337" t="n">
        <v>22</v>
      </c>
      <c r="D20" s="338" t="inlineStr">
        <is>
          <t>Ing. Sophia López Ramírez</t>
        </is>
      </c>
      <c r="E20" s="334" t="inlineStr">
        <is>
          <t>● ROSA</t>
        </is>
      </c>
      <c r="F20" s="339" t="inlineStr">
        <is>
          <t>H.M.E.O. Constituyentes</t>
        </is>
      </c>
      <c r="G20" s="334" t="inlineStr">
        <is>
          <t>CDMX</t>
        </is>
      </c>
      <c r="H20" s="339" t="inlineStr">
        <is>
          <t>Sistema de facoemulsificación, marca Alcon, modelo Centurion</t>
        </is>
      </c>
      <c r="I20" s="339" t="inlineStr">
        <is>
          <t>Alcon</t>
        </is>
      </c>
      <c r="J20" s="339" t="inlineStr">
        <is>
          <t>Centurion</t>
        </is>
      </c>
      <c r="K20" s="336" t="inlineStr">
        <is>
          <t>2202291501X</t>
        </is>
      </c>
      <c r="L20" s="336" t="inlineStr">
        <is>
          <t>OFTALMO</t>
        </is>
      </c>
      <c r="M20" s="339" t="inlineStr">
        <is>
          <t>ALCON</t>
        </is>
      </c>
      <c r="N20" s="336" t="n">
        <v>1</v>
      </c>
      <c r="O20" s="336" t="n">
        <v>2</v>
      </c>
      <c r="P20" s="337">
        <f>N20+O20</f>
        <v/>
      </c>
    </row>
    <row r="21" ht="19.95" customHeight="1" s="227">
      <c r="A21" s="331" t="n">
        <v>5</v>
      </c>
      <c r="B21" s="332" t="inlineStr">
        <is>
          <t>BM-008</t>
        </is>
      </c>
      <c r="C21" s="332" t="n">
        <v>23</v>
      </c>
      <c r="D21" s="333" t="inlineStr">
        <is>
          <t>Ing. Sophia López Ramírez</t>
        </is>
      </c>
      <c r="E21" s="334" t="inlineStr">
        <is>
          <t>● ROSA</t>
        </is>
      </c>
      <c r="F21" s="335" t="inlineStr">
        <is>
          <t>H.M.E.O. Constituyentes</t>
        </is>
      </c>
      <c r="G21" s="334" t="inlineStr">
        <is>
          <t>CDMX</t>
        </is>
      </c>
      <c r="H21" s="335" t="inlineStr">
        <is>
          <t>Sistema de cirugía vitreorretiniana, marca Alcon, modelo Constellation</t>
        </is>
      </c>
      <c r="I21" s="335" t="inlineStr">
        <is>
          <t>Alcon</t>
        </is>
      </c>
      <c r="J21" s="335" t="inlineStr">
        <is>
          <t>Constellation</t>
        </is>
      </c>
      <c r="K21" s="331" t="inlineStr">
        <is>
          <t>2201508001X</t>
        </is>
      </c>
      <c r="L21" s="331" t="inlineStr">
        <is>
          <t>OFTALMO</t>
        </is>
      </c>
      <c r="M21" s="335" t="inlineStr">
        <is>
          <t>ALCON</t>
        </is>
      </c>
      <c r="N21" s="331" t="n">
        <v>1</v>
      </c>
      <c r="O21" s="331" t="n">
        <v>2</v>
      </c>
      <c r="P21" s="332">
        <f>N21+O21</f>
        <v/>
      </c>
    </row>
    <row r="22" ht="19.95" customHeight="1" s="227">
      <c r="A22" s="336" t="n">
        <v>6</v>
      </c>
      <c r="B22" s="337" t="inlineStr">
        <is>
          <t>BM-009</t>
        </is>
      </c>
      <c r="C22" s="337" t="n">
        <v>24</v>
      </c>
      <c r="D22" s="338" t="inlineStr">
        <is>
          <t>Ing. Sophia López Ramírez</t>
        </is>
      </c>
      <c r="E22" s="334" t="inlineStr">
        <is>
          <t>● ROSA</t>
        </is>
      </c>
      <c r="F22" s="339" t="inlineStr">
        <is>
          <t>H.M.E.O. Constituyentes</t>
        </is>
      </c>
      <c r="G22" s="334" t="inlineStr">
        <is>
          <t>CDMX</t>
        </is>
      </c>
      <c r="H22" s="339" t="inlineStr">
        <is>
          <t>Sistema de cirugía vitreorretiniana, marca Alcon, modelo Constellation</t>
        </is>
      </c>
      <c r="I22" s="339" t="inlineStr">
        <is>
          <t>Alcon</t>
        </is>
      </c>
      <c r="J22" s="339" t="inlineStr">
        <is>
          <t>Constellation</t>
        </is>
      </c>
      <c r="K22" s="336" t="inlineStr">
        <is>
          <t>2201508101X</t>
        </is>
      </c>
      <c r="L22" s="336" t="inlineStr">
        <is>
          <t>OFTALMO</t>
        </is>
      </c>
      <c r="M22" s="339" t="inlineStr">
        <is>
          <t>ALCON</t>
        </is>
      </c>
      <c r="N22" s="336" t="n">
        <v>1</v>
      </c>
      <c r="O22" s="336" t="n">
        <v>2</v>
      </c>
      <c r="P22" s="337">
        <f>N22+O22</f>
        <v/>
      </c>
    </row>
    <row r="23" ht="19.95" customHeight="1" s="227">
      <c r="A23" s="331" t="n">
        <v>7</v>
      </c>
      <c r="B23" s="332" t="inlineStr">
        <is>
          <t>BM-010</t>
        </is>
      </c>
      <c r="C23" s="332" t="n">
        <v>25</v>
      </c>
      <c r="D23" s="333" t="inlineStr">
        <is>
          <t>Ing. Sophia López Ramírez</t>
        </is>
      </c>
      <c r="E23" s="334" t="inlineStr">
        <is>
          <t>● ROSA</t>
        </is>
      </c>
      <c r="F23" s="335" t="inlineStr">
        <is>
          <t>H.M.E.O. Constituyentes</t>
        </is>
      </c>
      <c r="G23" s="334" t="inlineStr">
        <is>
          <t>CDMX</t>
        </is>
      </c>
      <c r="H23" s="335" t="inlineStr">
        <is>
          <t>Sistema de cirugía vitreorretiniana, marca Alcon, modelo Constellation</t>
        </is>
      </c>
      <c r="I23" s="335" t="inlineStr">
        <is>
          <t>Alcon</t>
        </is>
      </c>
      <c r="J23" s="335" t="inlineStr">
        <is>
          <t>Constellation</t>
        </is>
      </c>
      <c r="K23" s="331" t="inlineStr">
        <is>
          <t>2201541901X</t>
        </is>
      </c>
      <c r="L23" s="331" t="inlineStr">
        <is>
          <t>OFTALMO</t>
        </is>
      </c>
      <c r="M23" s="335" t="inlineStr">
        <is>
          <t>ALCON</t>
        </is>
      </c>
      <c r="N23" s="331" t="n">
        <v>1</v>
      </c>
      <c r="O23" s="331" t="n">
        <v>2</v>
      </c>
      <c r="P23" s="332">
        <f>N23+O23</f>
        <v/>
      </c>
    </row>
    <row r="24" ht="19.95" customHeight="1" s="227">
      <c r="A24" s="336" t="n">
        <v>8</v>
      </c>
      <c r="B24" s="337" t="inlineStr">
        <is>
          <t>BM-011</t>
        </is>
      </c>
      <c r="C24" s="337" t="n">
        <v>26</v>
      </c>
      <c r="D24" s="338" t="inlineStr">
        <is>
          <t>Ing. Sophia López Ramírez</t>
        </is>
      </c>
      <c r="E24" s="334" t="inlineStr">
        <is>
          <t>● ROSA</t>
        </is>
      </c>
      <c r="F24" s="339" t="inlineStr">
        <is>
          <t>H.M.E.O. Constituyentes</t>
        </is>
      </c>
      <c r="G24" s="334" t="inlineStr">
        <is>
          <t>CDMX</t>
        </is>
      </c>
      <c r="H24" s="339" t="inlineStr">
        <is>
          <t>Láser de diodo, marca A.R.C. Laser, modelo FOX 810</t>
        </is>
      </c>
      <c r="I24" s="339" t="inlineStr">
        <is>
          <t>A.R.C. Laser</t>
        </is>
      </c>
      <c r="J24" s="339" t="inlineStr">
        <is>
          <t>FOX 810</t>
        </is>
      </c>
      <c r="K24" s="336" t="inlineStr">
        <is>
          <t>615423-AAAB</t>
        </is>
      </c>
      <c r="L24" s="336" t="inlineStr">
        <is>
          <t>OFTALMO</t>
        </is>
      </c>
      <c r="M24" s="339" t="inlineStr">
        <is>
          <t>MD</t>
        </is>
      </c>
      <c r="N24" s="336" t="n">
        <v>1</v>
      </c>
      <c r="O24" s="336" t="n">
        <v>2</v>
      </c>
      <c r="P24" s="337">
        <f>N24+O24</f>
        <v/>
      </c>
    </row>
    <row r="25" ht="19.95" customHeight="1" s="227">
      <c r="A25" s="331" t="n">
        <v>9</v>
      </c>
      <c r="B25" s="332" t="inlineStr">
        <is>
          <t>BM-012</t>
        </is>
      </c>
      <c r="C25" s="332" t="n">
        <v>27</v>
      </c>
      <c r="D25" s="333" t="inlineStr">
        <is>
          <t>Ing. Sophia López Ramírez</t>
        </is>
      </c>
      <c r="E25" s="334" t="inlineStr">
        <is>
          <t>● ROSA</t>
        </is>
      </c>
      <c r="F25" s="335" t="inlineStr">
        <is>
          <t>H.M.E.O. Constituyentes</t>
        </is>
      </c>
      <c r="G25" s="334" t="inlineStr">
        <is>
          <t>CDMX</t>
        </is>
      </c>
      <c r="H25" s="335" t="inlineStr">
        <is>
          <t>Electroretinógrafo portátil, marca LKC, modelo RETeval</t>
        </is>
      </c>
      <c r="I25" s="335" t="inlineStr">
        <is>
          <t>LKC</t>
        </is>
      </c>
      <c r="J25" s="335" t="inlineStr">
        <is>
          <t>RETeval</t>
        </is>
      </c>
      <c r="K25" s="331" t="inlineStr">
        <is>
          <t>R002034</t>
        </is>
      </c>
      <c r="L25" s="331" t="inlineStr">
        <is>
          <t>OFTALMO</t>
        </is>
      </c>
      <c r="M25" s="335" t="inlineStr">
        <is>
          <t>ARFAMEX</t>
        </is>
      </c>
      <c r="N25" s="331" t="n">
        <v>1</v>
      </c>
      <c r="O25" s="331" t="n">
        <v>2</v>
      </c>
      <c r="P25" s="332">
        <f>N25+O25</f>
        <v/>
      </c>
    </row>
    <row r="26" ht="19.95" customHeight="1" s="227">
      <c r="A26" s="336" t="n">
        <v>10</v>
      </c>
      <c r="B26" s="337" t="inlineStr">
        <is>
          <t>BM-013</t>
        </is>
      </c>
      <c r="C26" s="337" t="n">
        <v>28</v>
      </c>
      <c r="D26" s="338" t="inlineStr">
        <is>
          <t>Ing. Sophia López Ramírez</t>
        </is>
      </c>
      <c r="E26" s="334" t="inlineStr">
        <is>
          <t>● ROSA</t>
        </is>
      </c>
      <c r="F26" s="339" t="inlineStr">
        <is>
          <t>H.M.E.O. Constituyentes</t>
        </is>
      </c>
      <c r="G26" s="334" t="inlineStr">
        <is>
          <t>CDMX</t>
        </is>
      </c>
      <c r="H26" s="339" t="inlineStr">
        <is>
          <t>Electroretinógrafo portátil, marca LKC, modelo RETeval</t>
        </is>
      </c>
      <c r="I26" s="339" t="inlineStr">
        <is>
          <t>LKC</t>
        </is>
      </c>
      <c r="J26" s="339" t="inlineStr">
        <is>
          <t>RETeval</t>
        </is>
      </c>
      <c r="K26" s="336" t="inlineStr">
        <is>
          <t>R002556</t>
        </is>
      </c>
      <c r="L26" s="336" t="inlineStr">
        <is>
          <t>OFTALMO</t>
        </is>
      </c>
      <c r="M26" s="339" t="inlineStr">
        <is>
          <t>ARFAMEX</t>
        </is>
      </c>
      <c r="N26" s="336" t="n">
        <v>1</v>
      </c>
      <c r="O26" s="336" t="n">
        <v>2</v>
      </c>
      <c r="P26" s="337">
        <f>N26+O26</f>
        <v/>
      </c>
    </row>
    <row r="27" ht="19.95" customHeight="1" s="227">
      <c r="A27" s="331" t="n">
        <v>11</v>
      </c>
      <c r="B27" s="332" t="inlineStr">
        <is>
          <t>BM-014</t>
        </is>
      </c>
      <c r="C27" s="332" t="n">
        <v>29</v>
      </c>
      <c r="D27" s="333" t="inlineStr">
        <is>
          <t>Ing. Sophia López Ramírez</t>
        </is>
      </c>
      <c r="E27" s="334" t="inlineStr">
        <is>
          <t>● ROSA</t>
        </is>
      </c>
      <c r="F27" s="335" t="inlineStr">
        <is>
          <t>H.M.E.O. Constituyentes</t>
        </is>
      </c>
      <c r="G27" s="334" t="inlineStr">
        <is>
          <t>CDMX</t>
        </is>
      </c>
      <c r="H27" s="335" t="inlineStr">
        <is>
          <t>Microscopio confocal, marca Heidelberg Engineering, modelo HRT3 RCM</t>
        </is>
      </c>
      <c r="I27" s="335" t="inlineStr">
        <is>
          <t>Heidelberg Engineering</t>
        </is>
      </c>
      <c r="J27" s="335" t="inlineStr">
        <is>
          <t>HRT3 RCM</t>
        </is>
      </c>
      <c r="K27" s="331" t="inlineStr">
        <is>
          <t>HRT3-08313</t>
        </is>
      </c>
      <c r="L27" s="331" t="inlineStr">
        <is>
          <t>OFTALMO</t>
        </is>
      </c>
      <c r="M27" s="335" t="inlineStr">
        <is>
          <t>ARFAMEX</t>
        </is>
      </c>
      <c r="N27" s="331" t="n">
        <v>1</v>
      </c>
      <c r="O27" s="331" t="n">
        <v>2</v>
      </c>
      <c r="P27" s="332">
        <f>N27+O27</f>
        <v/>
      </c>
    </row>
    <row r="28" ht="19.95" customHeight="1" s="227">
      <c r="A28" s="336" t="n">
        <v>12</v>
      </c>
      <c r="B28" s="337" t="inlineStr">
        <is>
          <t>BM-015</t>
        </is>
      </c>
      <c r="C28" s="337" t="n">
        <v>30</v>
      </c>
      <c r="D28" s="338" t="inlineStr">
        <is>
          <t>Ing. Sophia López Ramírez</t>
        </is>
      </c>
      <c r="E28" s="334" t="inlineStr">
        <is>
          <t>● ROSA</t>
        </is>
      </c>
      <c r="F28" s="339" t="inlineStr">
        <is>
          <t>H.M.E.O. Constituyentes</t>
        </is>
      </c>
      <c r="G28" s="334" t="inlineStr">
        <is>
          <t>CDMX</t>
        </is>
      </c>
      <c r="H28" s="339" t="inlineStr">
        <is>
          <t>Topógrafo corneal con cámara Scheimpflug, marca Oculus, modelo Pentacam</t>
        </is>
      </c>
      <c r="I28" s="339" t="inlineStr">
        <is>
          <t>Oculus</t>
        </is>
      </c>
      <c r="J28" s="339" t="inlineStr">
        <is>
          <t>Pentacam</t>
        </is>
      </c>
      <c r="K28" s="336" t="inlineStr">
        <is>
          <t>7010054522270</t>
        </is>
      </c>
      <c r="L28" s="336" t="inlineStr">
        <is>
          <t>OFTALMO</t>
        </is>
      </c>
      <c r="M28" s="339" t="inlineStr">
        <is>
          <t>CYAN</t>
        </is>
      </c>
      <c r="N28" s="336" t="n">
        <v>1</v>
      </c>
      <c r="O28" s="336" t="n">
        <v>2</v>
      </c>
      <c r="P28" s="337">
        <f>N28+O28</f>
        <v/>
      </c>
    </row>
    <row r="29" ht="19.95" customHeight="1" s="227">
      <c r="A29" s="331" t="n">
        <v>13</v>
      </c>
      <c r="B29" s="332" t="inlineStr">
        <is>
          <t>BM-016</t>
        </is>
      </c>
      <c r="C29" s="332" t="n">
        <v>32</v>
      </c>
      <c r="D29" s="333" t="inlineStr">
        <is>
          <t>Ing. Sophia López Ramírez</t>
        </is>
      </c>
      <c r="E29" s="334" t="inlineStr">
        <is>
          <t>● ROSA</t>
        </is>
      </c>
      <c r="F29" s="335" t="inlineStr">
        <is>
          <t>H.M.E.O. Constituyentes</t>
        </is>
      </c>
      <c r="G29" s="334" t="inlineStr">
        <is>
          <t>CDMX</t>
        </is>
      </c>
      <c r="H29" s="335" t="inlineStr">
        <is>
          <t>Sistema de fotocoagulación láser con estación de trabajo, marca OD-OS, modelo Navilas</t>
        </is>
      </c>
      <c r="I29" s="335" t="inlineStr">
        <is>
          <t>OD-OS</t>
        </is>
      </c>
      <c r="J29" s="335" t="inlineStr">
        <is>
          <t>Navilas</t>
        </is>
      </c>
      <c r="K29" s="331" t="inlineStr">
        <is>
          <t>158000-3215</t>
        </is>
      </c>
      <c r="L29" s="331" t="inlineStr">
        <is>
          <t>OFTALMO</t>
        </is>
      </c>
      <c r="M29" s="335" t="inlineStr">
        <is>
          <t>FARBAC</t>
        </is>
      </c>
      <c r="N29" s="331" t="n">
        <v>1</v>
      </c>
      <c r="O29" s="331" t="n">
        <v>2</v>
      </c>
      <c r="P29" s="332">
        <f>N29+O29</f>
        <v/>
      </c>
    </row>
    <row r="30" ht="19.95" customHeight="1" s="227">
      <c r="A30" s="336" t="n">
        <v>14</v>
      </c>
      <c r="B30" s="337" t="inlineStr">
        <is>
          <t>BM-017</t>
        </is>
      </c>
      <c r="C30" s="337" t="n">
        <v>33</v>
      </c>
      <c r="D30" s="338" t="inlineStr">
        <is>
          <t>Ing. Sophia López Ramírez</t>
        </is>
      </c>
      <c r="E30" s="334" t="inlineStr">
        <is>
          <t>● ROSA</t>
        </is>
      </c>
      <c r="F30" s="339" t="inlineStr">
        <is>
          <t>H.M.E.O. Constituyentes</t>
        </is>
      </c>
      <c r="G30" s="334" t="inlineStr">
        <is>
          <t>CDMX</t>
        </is>
      </c>
      <c r="H30" s="339" t="inlineStr">
        <is>
          <t>Cámara de campo ultra amplio, marca Natus, modelo RetCam Envision</t>
        </is>
      </c>
      <c r="I30" s="339" t="inlineStr">
        <is>
          <t>Natus</t>
        </is>
      </c>
      <c r="J30" s="339" t="inlineStr">
        <is>
          <t>RetCam Envision</t>
        </is>
      </c>
      <c r="K30" s="336" t="inlineStr">
        <is>
          <t>RE-0276</t>
        </is>
      </c>
      <c r="L30" s="336" t="inlineStr">
        <is>
          <t>OFTALMO</t>
        </is>
      </c>
      <c r="M30" s="339" t="inlineStr">
        <is>
          <t>ARFAMEX</t>
        </is>
      </c>
      <c r="N30" s="336" t="n">
        <v>1</v>
      </c>
      <c r="O30" s="336" t="n">
        <v>2</v>
      </c>
      <c r="P30" s="337">
        <f>N30+O30</f>
        <v/>
      </c>
    </row>
    <row r="31" ht="19.95" customHeight="1" s="227">
      <c r="A31" s="331" t="n">
        <v>15</v>
      </c>
      <c r="B31" s="332" t="inlineStr">
        <is>
          <t>BM-018</t>
        </is>
      </c>
      <c r="C31" s="332" t="n">
        <v>34</v>
      </c>
      <c r="D31" s="333" t="inlineStr">
        <is>
          <t>Ing. Sophia López Ramírez</t>
        </is>
      </c>
      <c r="E31" s="334" t="inlineStr">
        <is>
          <t>● ROSA</t>
        </is>
      </c>
      <c r="F31" s="335" t="inlineStr">
        <is>
          <t>H.M.E.O. Constituyentes</t>
        </is>
      </c>
      <c r="G31" s="334" t="inlineStr">
        <is>
          <t>CDMX</t>
        </is>
      </c>
      <c r="H31" s="335" t="inlineStr">
        <is>
          <t>Láser, marca Quantel Medical, modelo Vitra 810</t>
        </is>
      </c>
      <c r="I31" s="335" t="inlineStr">
        <is>
          <t>Quantel Medical</t>
        </is>
      </c>
      <c r="J31" s="335" t="inlineStr">
        <is>
          <t>Vitra 810</t>
        </is>
      </c>
      <c r="K31" s="331" t="inlineStr">
        <is>
          <t>574</t>
        </is>
      </c>
      <c r="L31" s="331" t="inlineStr">
        <is>
          <t>OFTALMO</t>
        </is>
      </c>
      <c r="M31" s="335" t="inlineStr">
        <is>
          <t>ARFAMEX</t>
        </is>
      </c>
      <c r="N31" s="331" t="n">
        <v>1</v>
      </c>
      <c r="O31" s="331" t="n">
        <v>2</v>
      </c>
      <c r="P31" s="332">
        <f>N31+O31</f>
        <v/>
      </c>
    </row>
    <row r="32" ht="19.95" customHeight="1" s="227">
      <c r="A32" s="336" t="n">
        <v>16</v>
      </c>
      <c r="B32" s="337" t="inlineStr">
        <is>
          <t>BM-019</t>
        </is>
      </c>
      <c r="C32" s="337" t="n">
        <v>35</v>
      </c>
      <c r="D32" s="338" t="inlineStr">
        <is>
          <t>Ing. Sophia López Ramírez</t>
        </is>
      </c>
      <c r="E32" s="334" t="inlineStr">
        <is>
          <t>● ROSA</t>
        </is>
      </c>
      <c r="F32" s="339" t="inlineStr">
        <is>
          <t>H.M.E.O. Constituyentes</t>
        </is>
      </c>
      <c r="G32" s="334" t="inlineStr">
        <is>
          <t>CDMX</t>
        </is>
      </c>
      <c r="H32" s="339" t="inlineStr">
        <is>
          <t>Láser, marca Quantel Medical, modelo Vitra 811</t>
        </is>
      </c>
      <c r="I32" s="339" t="inlineStr">
        <is>
          <t>Quantel Medical</t>
        </is>
      </c>
      <c r="J32" s="339" t="inlineStr">
        <is>
          <t>Vitra 811</t>
        </is>
      </c>
      <c r="K32" s="336" t="inlineStr">
        <is>
          <t>575</t>
        </is>
      </c>
      <c r="L32" s="336" t="inlineStr">
        <is>
          <t>OFTALMO</t>
        </is>
      </c>
      <c r="M32" s="339" t="inlineStr">
        <is>
          <t>ARFAMEX</t>
        </is>
      </c>
      <c r="N32" s="336" t="n">
        <v>1</v>
      </c>
      <c r="O32" s="336" t="n">
        <v>2</v>
      </c>
      <c r="P32" s="337">
        <f>N32+O32</f>
        <v/>
      </c>
    </row>
    <row r="33" ht="19.95" customHeight="1" s="227">
      <c r="A33" s="331" t="n">
        <v>17</v>
      </c>
      <c r="B33" s="332" t="inlineStr">
        <is>
          <t>BM-020</t>
        </is>
      </c>
      <c r="C33" s="332" t="n">
        <v>38</v>
      </c>
      <c r="D33" s="333" t="inlineStr">
        <is>
          <t>Ing. Sophia López Ramírez</t>
        </is>
      </c>
      <c r="E33" s="334" t="inlineStr">
        <is>
          <t>● ROSA</t>
        </is>
      </c>
      <c r="F33" s="335" t="inlineStr">
        <is>
          <t>H.M.E.O. Constituyentes</t>
        </is>
      </c>
      <c r="G33" s="334" t="inlineStr">
        <is>
          <t>CDMX</t>
        </is>
      </c>
      <c r="H33" s="335" t="inlineStr">
        <is>
          <t>Retinógrafo portátil de campo amplio para neonatos, marca Visunex Medical Systems, modelo PanoCam</t>
        </is>
      </c>
      <c r="I33" s="335" t="inlineStr">
        <is>
          <t>Visunex Medical Systems</t>
        </is>
      </c>
      <c r="J33" s="335" t="inlineStr">
        <is>
          <t>PanoCam</t>
        </is>
      </c>
      <c r="K33" s="331" t="inlineStr">
        <is>
          <t>A237402</t>
        </is>
      </c>
      <c r="L33" s="331" t="inlineStr">
        <is>
          <t>OFTALMO</t>
        </is>
      </c>
      <c r="M33" s="335" t="inlineStr">
        <is>
          <t>MD</t>
        </is>
      </c>
      <c r="N33" s="331" t="n">
        <v>1</v>
      </c>
      <c r="O33" s="331" t="n">
        <v>2</v>
      </c>
      <c r="P33" s="332">
        <f>N33+O33</f>
        <v/>
      </c>
    </row>
    <row r="34" ht="19.95" customHeight="1" s="227">
      <c r="A34" s="336" t="n">
        <v>18</v>
      </c>
      <c r="B34" s="337" t="inlineStr">
        <is>
          <t>BM-021</t>
        </is>
      </c>
      <c r="C34" s="337" t="n">
        <v>39</v>
      </c>
      <c r="D34" s="338" t="inlineStr">
        <is>
          <t>Ing. Sophia López Ramírez</t>
        </is>
      </c>
      <c r="E34" s="334" t="inlineStr">
        <is>
          <t>● ROSA</t>
        </is>
      </c>
      <c r="F34" s="339" t="inlineStr">
        <is>
          <t>H.M.E.O. Constituyentes</t>
        </is>
      </c>
      <c r="G34" s="334" t="inlineStr">
        <is>
          <t>CDMX</t>
        </is>
      </c>
      <c r="H34" s="339" t="inlineStr">
        <is>
          <t>Retinógrafo portátil de campo amplio para neonatos, marca Visunex Medical Systems, modelo PanoCam</t>
        </is>
      </c>
      <c r="I34" s="339" t="inlineStr">
        <is>
          <t>Visunex Medical Systems</t>
        </is>
      </c>
      <c r="J34" s="339" t="inlineStr">
        <is>
          <t>PanoCam</t>
        </is>
      </c>
      <c r="K34" s="336" t="inlineStr">
        <is>
          <t>A237403</t>
        </is>
      </c>
      <c r="L34" s="336" t="inlineStr">
        <is>
          <t>OFTALMO</t>
        </is>
      </c>
      <c r="M34" s="339" t="inlineStr">
        <is>
          <t>MD</t>
        </is>
      </c>
      <c r="N34" s="336" t="n">
        <v>1</v>
      </c>
      <c r="O34" s="336" t="n">
        <v>2</v>
      </c>
      <c r="P34" s="337">
        <f>N34+O34</f>
        <v/>
      </c>
    </row>
    <row r="35" ht="19.95" customHeight="1" s="227">
      <c r="A35" s="331" t="n">
        <v>19</v>
      </c>
      <c r="B35" s="332" t="inlineStr">
        <is>
          <t>BM-022</t>
        </is>
      </c>
      <c r="C35" s="332" t="n">
        <v>40</v>
      </c>
      <c r="D35" s="333" t="inlineStr">
        <is>
          <t>Ing. Sophia López Ramírez</t>
        </is>
      </c>
      <c r="E35" s="334" t="inlineStr">
        <is>
          <t>● ROSA</t>
        </is>
      </c>
      <c r="F35" s="335" t="inlineStr">
        <is>
          <t>H.M.E.O. Constituyentes</t>
        </is>
      </c>
      <c r="G35" s="334" t="inlineStr">
        <is>
          <t>CDMX</t>
        </is>
      </c>
      <c r="H35" s="335" t="inlineStr">
        <is>
          <t>Retinógrafo portátil de campo amplio para neonatos, marca Visunex Medical Systems, modelo PanoCam</t>
        </is>
      </c>
      <c r="I35" s="335" t="inlineStr">
        <is>
          <t>Visunex Medical Systems</t>
        </is>
      </c>
      <c r="J35" s="335" t="inlineStr">
        <is>
          <t>PanoCam</t>
        </is>
      </c>
      <c r="K35" s="331" t="inlineStr">
        <is>
          <t>A237401</t>
        </is>
      </c>
      <c r="L35" s="331" t="inlineStr">
        <is>
          <t>OFTALMO</t>
        </is>
      </c>
      <c r="M35" s="335" t="inlineStr">
        <is>
          <t>MD</t>
        </is>
      </c>
      <c r="N35" s="331" t="n">
        <v>1</v>
      </c>
      <c r="O35" s="331" t="n">
        <v>2</v>
      </c>
      <c r="P35" s="332">
        <f>N35+O35</f>
        <v/>
      </c>
    </row>
    <row r="36" ht="19.95" customHeight="1" s="227">
      <c r="A36" s="336" t="n">
        <v>20</v>
      </c>
      <c r="B36" s="337" t="inlineStr">
        <is>
          <t>BM-023</t>
        </is>
      </c>
      <c r="C36" s="337" t="n">
        <v>41</v>
      </c>
      <c r="D36" s="338" t="inlineStr">
        <is>
          <t>Ing. Sophia López Ramírez</t>
        </is>
      </c>
      <c r="E36" s="334" t="inlineStr">
        <is>
          <t>● ROSA</t>
        </is>
      </c>
      <c r="F36" s="339" t="inlineStr">
        <is>
          <t>H.M.E.O. Constituyentes</t>
        </is>
      </c>
      <c r="G36" s="334" t="inlineStr">
        <is>
          <t>CDMX</t>
        </is>
      </c>
      <c r="H36" s="339" t="inlineStr">
        <is>
          <t>Microscopio especular, marca TOMEY, modelo EM-4000</t>
        </is>
      </c>
      <c r="I36" s="339" t="inlineStr">
        <is>
          <t>TOMEY</t>
        </is>
      </c>
      <c r="J36" s="339" t="inlineStr">
        <is>
          <t>EM-4000</t>
        </is>
      </c>
      <c r="K36" s="336" t="inlineStr">
        <is>
          <t>354304</t>
        </is>
      </c>
      <c r="L36" s="336" t="inlineStr">
        <is>
          <t>OFTALMO</t>
        </is>
      </c>
      <c r="M36" s="339" t="inlineStr">
        <is>
          <t xml:space="preserve">ALDAI </t>
        </is>
      </c>
      <c r="N36" s="336" t="n">
        <v>1</v>
      </c>
      <c r="O36" s="336" t="n">
        <v>2</v>
      </c>
      <c r="P36" s="337">
        <f>N36+O36</f>
        <v/>
      </c>
    </row>
    <row r="37" ht="19.95" customHeight="1" s="227">
      <c r="A37" s="331" t="n">
        <v>21</v>
      </c>
      <c r="B37" s="332" t="inlineStr">
        <is>
          <t>BM-024</t>
        </is>
      </c>
      <c r="C37" s="332" t="n">
        <v>42</v>
      </c>
      <c r="D37" s="333" t="inlineStr">
        <is>
          <t>Ing. Sophia López Ramírez</t>
        </is>
      </c>
      <c r="E37" s="334" t="inlineStr">
        <is>
          <t>● ROSA</t>
        </is>
      </c>
      <c r="F37" s="335" t="inlineStr">
        <is>
          <t>H.M.E.O. Constituyentes</t>
        </is>
      </c>
      <c r="G37" s="334" t="inlineStr">
        <is>
          <t>CDMX</t>
        </is>
      </c>
      <c r="H37" s="335" t="inlineStr">
        <is>
          <t>Microscopio especular, marca TOMEY, modelo EM-4001</t>
        </is>
      </c>
      <c r="I37" s="335" t="inlineStr">
        <is>
          <t>TOMEY</t>
        </is>
      </c>
      <c r="J37" s="335" t="inlineStr">
        <is>
          <t>EM-4001</t>
        </is>
      </c>
      <c r="K37" s="331" t="inlineStr">
        <is>
          <t>349103</t>
        </is>
      </c>
      <c r="L37" s="331" t="inlineStr">
        <is>
          <t>OFTALMO</t>
        </is>
      </c>
      <c r="M37" s="335" t="inlineStr">
        <is>
          <t xml:space="preserve">ALDAI </t>
        </is>
      </c>
      <c r="N37" s="331" t="n">
        <v>1</v>
      </c>
      <c r="O37" s="331" t="n">
        <v>2</v>
      </c>
      <c r="P37" s="332">
        <f>N37+O37</f>
        <v/>
      </c>
    </row>
    <row r="38" ht="19.95" customHeight="1" s="227">
      <c r="A38" s="336" t="n">
        <v>22</v>
      </c>
      <c r="B38" s="337" t="inlineStr">
        <is>
          <t>BM-025</t>
        </is>
      </c>
      <c r="C38" s="337" t="n">
        <v>43</v>
      </c>
      <c r="D38" s="338" t="inlineStr">
        <is>
          <t>Ing. Sophia López Ramírez</t>
        </is>
      </c>
      <c r="E38" s="334" t="inlineStr">
        <is>
          <t>● ROSA</t>
        </is>
      </c>
      <c r="F38" s="339" t="inlineStr">
        <is>
          <t>H.M.E.O. Constituyentes</t>
        </is>
      </c>
      <c r="G38" s="334" t="inlineStr">
        <is>
          <t>CDMX</t>
        </is>
      </c>
      <c r="H38" s="339" t="inlineStr">
        <is>
          <t>Ultrasonido modo A-B, marca TOMEY, modelo UD-800</t>
        </is>
      </c>
      <c r="I38" s="339" t="inlineStr">
        <is>
          <t>TOMEY</t>
        </is>
      </c>
      <c r="J38" s="339" t="inlineStr">
        <is>
          <t>UD-800</t>
        </is>
      </c>
      <c r="K38" s="336" t="inlineStr">
        <is>
          <t>366702</t>
        </is>
      </c>
      <c r="L38" s="336" t="inlineStr">
        <is>
          <t>OFTALMO</t>
        </is>
      </c>
      <c r="M38" s="339" t="inlineStr">
        <is>
          <t xml:space="preserve">ALDAI </t>
        </is>
      </c>
      <c r="N38" s="336" t="n">
        <v>1</v>
      </c>
      <c r="O38" s="336" t="n">
        <v>2</v>
      </c>
      <c r="P38" s="337">
        <f>N38+O38</f>
        <v/>
      </c>
    </row>
    <row r="39" ht="19.95" customHeight="1" s="227">
      <c r="A39" s="331" t="n">
        <v>23</v>
      </c>
      <c r="B39" s="332" t="inlineStr">
        <is>
          <t>BM-026</t>
        </is>
      </c>
      <c r="C39" s="332" t="n">
        <v>44</v>
      </c>
      <c r="D39" s="333" t="inlineStr">
        <is>
          <t>Ing. Sophia López Ramírez</t>
        </is>
      </c>
      <c r="E39" s="334" t="inlineStr">
        <is>
          <t>● ROSA</t>
        </is>
      </c>
      <c r="F39" s="335" t="inlineStr">
        <is>
          <t>H.M.E.O. Constituyentes</t>
        </is>
      </c>
      <c r="G39" s="334" t="inlineStr">
        <is>
          <t>CDMX</t>
        </is>
      </c>
      <c r="H39" s="335" t="inlineStr">
        <is>
          <t>Ultrasonido modo A-B, marca TOMEY, modelo UD-801</t>
        </is>
      </c>
      <c r="I39" s="335" t="inlineStr">
        <is>
          <t>TOMEY</t>
        </is>
      </c>
      <c r="J39" s="335" t="inlineStr">
        <is>
          <t>UD-801</t>
        </is>
      </c>
      <c r="K39" s="331" t="inlineStr">
        <is>
          <t>372404</t>
        </is>
      </c>
      <c r="L39" s="331" t="inlineStr">
        <is>
          <t>OFTALMO</t>
        </is>
      </c>
      <c r="M39" s="335" t="inlineStr">
        <is>
          <t xml:space="preserve">ALDAI </t>
        </is>
      </c>
      <c r="N39" s="331" t="n">
        <v>1</v>
      </c>
      <c r="O39" s="331" t="n">
        <v>2</v>
      </c>
      <c r="P39" s="332">
        <f>N39+O39</f>
        <v/>
      </c>
    </row>
    <row r="40" ht="19.95" customHeight="1" s="227">
      <c r="A40" s="336" t="n">
        <v>24</v>
      </c>
      <c r="B40" s="337" t="inlineStr">
        <is>
          <t>BM-027</t>
        </is>
      </c>
      <c r="C40" s="337" t="n">
        <v>45</v>
      </c>
      <c r="D40" s="338" t="inlineStr">
        <is>
          <t>Ing. Sophia López Ramírez</t>
        </is>
      </c>
      <c r="E40" s="334" t="inlineStr">
        <is>
          <t>● ROSA</t>
        </is>
      </c>
      <c r="F40" s="339" t="inlineStr">
        <is>
          <t>H.M.E.O. Constituyentes</t>
        </is>
      </c>
      <c r="G40" s="334" t="inlineStr">
        <is>
          <t>CDMX</t>
        </is>
      </c>
      <c r="H40" s="339" t="inlineStr">
        <is>
          <t>Autorrefractómetro, marca SUOER, modelo Ocular Screening SW-800</t>
        </is>
      </c>
      <c r="I40" s="339" t="inlineStr">
        <is>
          <t>SUOER</t>
        </is>
      </c>
      <c r="J40" s="339" t="inlineStr">
        <is>
          <t>Ocular Screening SW-800</t>
        </is>
      </c>
      <c r="K40" s="336" t="inlineStr">
        <is>
          <t>BC0013GY1C</t>
        </is>
      </c>
      <c r="L40" s="336" t="inlineStr">
        <is>
          <t>OFTALMO</t>
        </is>
      </c>
      <c r="M40" s="339" t="inlineStr">
        <is>
          <t>MD</t>
        </is>
      </c>
      <c r="N40" s="336" t="n">
        <v>1</v>
      </c>
      <c r="O40" s="336" t="n">
        <v>2</v>
      </c>
      <c r="P40" s="337">
        <f>N40+O40</f>
        <v/>
      </c>
    </row>
    <row r="41" ht="19.95" customHeight="1" s="227">
      <c r="A41" s="331" t="n">
        <v>25</v>
      </c>
      <c r="B41" s="332" t="inlineStr">
        <is>
          <t>BM-028</t>
        </is>
      </c>
      <c r="C41" s="332" t="n">
        <v>46</v>
      </c>
      <c r="D41" s="333" t="inlineStr">
        <is>
          <t>Ing. Sophia López Ramírez</t>
        </is>
      </c>
      <c r="E41" s="334" t="inlineStr">
        <is>
          <t>● ROSA</t>
        </is>
      </c>
      <c r="F41" s="335" t="inlineStr">
        <is>
          <t>H.M.E.O. Constituyentes</t>
        </is>
      </c>
      <c r="G41" s="334" t="inlineStr">
        <is>
          <t>CDMX</t>
        </is>
      </c>
      <c r="H41" s="335" t="inlineStr">
        <is>
          <t>Autorrefractómetro, marca SUOER, modelo Ocular Screening SW-800</t>
        </is>
      </c>
      <c r="I41" s="335" t="inlineStr">
        <is>
          <t>SUOER</t>
        </is>
      </c>
      <c r="J41" s="335" t="inlineStr">
        <is>
          <t>Ocular Screening SW-800</t>
        </is>
      </c>
      <c r="K41" s="331" t="inlineStr">
        <is>
          <t>BC0007GY1C</t>
        </is>
      </c>
      <c r="L41" s="331" t="inlineStr">
        <is>
          <t>OFTALMO</t>
        </is>
      </c>
      <c r="M41" s="335" t="inlineStr">
        <is>
          <t>MD</t>
        </is>
      </c>
      <c r="N41" s="331" t="n">
        <v>1</v>
      </c>
      <c r="O41" s="331" t="n">
        <v>2</v>
      </c>
      <c r="P41" s="332">
        <f>N41+O41</f>
        <v/>
      </c>
    </row>
    <row r="42" ht="19.95" customHeight="1" s="227">
      <c r="A42" s="336" t="n">
        <v>26</v>
      </c>
      <c r="B42" s="337" t="inlineStr">
        <is>
          <t>BM-029</t>
        </is>
      </c>
      <c r="C42" s="337" t="n">
        <v>47</v>
      </c>
      <c r="D42" s="338" t="inlineStr">
        <is>
          <t>Ing. Sophia López Ramírez</t>
        </is>
      </c>
      <c r="E42" s="334" t="inlineStr">
        <is>
          <t>● ROSA</t>
        </is>
      </c>
      <c r="F42" s="339" t="inlineStr">
        <is>
          <t>H.M.E.O. Constituyentes</t>
        </is>
      </c>
      <c r="G42" s="334" t="inlineStr">
        <is>
          <t>CDMX</t>
        </is>
      </c>
      <c r="H42" s="339" t="inlineStr">
        <is>
          <t>Autorrefractómetro, marca SUOER, modelo Ocular Screening SW-800</t>
        </is>
      </c>
      <c r="I42" s="339" t="inlineStr">
        <is>
          <t>SUOER</t>
        </is>
      </c>
      <c r="J42" s="339" t="inlineStr">
        <is>
          <t>Ocular Screening SW-800</t>
        </is>
      </c>
      <c r="K42" s="336" t="inlineStr">
        <is>
          <t>BB0042GY1C</t>
        </is>
      </c>
      <c r="L42" s="336" t="inlineStr">
        <is>
          <t>OFTALMO</t>
        </is>
      </c>
      <c r="M42" s="339" t="inlineStr">
        <is>
          <t>MD</t>
        </is>
      </c>
      <c r="N42" s="336" t="n">
        <v>1</v>
      </c>
      <c r="O42" s="336" t="n">
        <v>2</v>
      </c>
      <c r="P42" s="337">
        <f>N42+O42</f>
        <v/>
      </c>
    </row>
    <row r="43" ht="19.95" customHeight="1" s="227">
      <c r="A43" s="331" t="n">
        <v>27</v>
      </c>
      <c r="B43" s="332" t="inlineStr">
        <is>
          <t>BM-030</t>
        </is>
      </c>
      <c r="C43" s="332" t="n">
        <v>48</v>
      </c>
      <c r="D43" s="333" t="inlineStr">
        <is>
          <t>Ing. Sophia López Ramírez</t>
        </is>
      </c>
      <c r="E43" s="334" t="inlineStr">
        <is>
          <t>● ROSA</t>
        </is>
      </c>
      <c r="F43" s="335" t="inlineStr">
        <is>
          <t>H.M.E.O. Constituyentes</t>
        </is>
      </c>
      <c r="G43" s="334" t="inlineStr">
        <is>
          <t>CDMX</t>
        </is>
      </c>
      <c r="H43" s="335" t="inlineStr">
        <is>
          <t>Autorrefractómetro, marca SUOER, modelo Ocular Screening SW-800</t>
        </is>
      </c>
      <c r="I43" s="335" t="inlineStr">
        <is>
          <t>SUOER</t>
        </is>
      </c>
      <c r="J43" s="335" t="inlineStr">
        <is>
          <t>Ocular Screening SW-800</t>
        </is>
      </c>
      <c r="K43" s="331" t="inlineStr">
        <is>
          <t>BB0043GY1C</t>
        </is>
      </c>
      <c r="L43" s="331" t="inlineStr">
        <is>
          <t>OFTALMO</t>
        </is>
      </c>
      <c r="M43" s="335" t="inlineStr">
        <is>
          <t>MD</t>
        </is>
      </c>
      <c r="N43" s="331" t="n">
        <v>1</v>
      </c>
      <c r="O43" s="331" t="n">
        <v>2</v>
      </c>
      <c r="P43" s="332">
        <f>N43+O43</f>
        <v/>
      </c>
    </row>
    <row r="44" ht="19.95" customHeight="1" s="227">
      <c r="A44" s="336" t="n">
        <v>28</v>
      </c>
      <c r="B44" s="337" t="inlineStr">
        <is>
          <t>BM-031</t>
        </is>
      </c>
      <c r="C44" s="337" t="n">
        <v>49</v>
      </c>
      <c r="D44" s="338" t="inlineStr">
        <is>
          <t>Ing. Sophia López Ramírez</t>
        </is>
      </c>
      <c r="E44" s="334" t="inlineStr">
        <is>
          <t>● ROSA</t>
        </is>
      </c>
      <c r="F44" s="339" t="inlineStr">
        <is>
          <t>H.M.E.O. Constituyentes</t>
        </is>
      </c>
      <c r="G44" s="334" t="inlineStr">
        <is>
          <t>CDMX</t>
        </is>
      </c>
      <c r="H44" s="339" t="inlineStr">
        <is>
          <t>Autoqueratorrefractor, marca Nidek, modelo ARK-F</t>
        </is>
      </c>
      <c r="I44" s="339" t="inlineStr">
        <is>
          <t>Nidek</t>
        </is>
      </c>
      <c r="J44" s="339" t="inlineStr">
        <is>
          <t>ARK-F</t>
        </is>
      </c>
      <c r="K44" s="336" t="inlineStr">
        <is>
          <t>270021</t>
        </is>
      </c>
      <c r="L44" s="336" t="inlineStr">
        <is>
          <t>OFTALMO</t>
        </is>
      </c>
      <c r="M44" s="339" t="inlineStr">
        <is>
          <t>S4</t>
        </is>
      </c>
      <c r="N44" s="336" t="n">
        <v>1</v>
      </c>
      <c r="O44" s="336" t="n">
        <v>2</v>
      </c>
      <c r="P44" s="337">
        <f>N44+O44</f>
        <v/>
      </c>
    </row>
    <row r="45" ht="19.95" customHeight="1" s="227">
      <c r="A45" s="331" t="n">
        <v>29</v>
      </c>
      <c r="B45" s="332" t="inlineStr">
        <is>
          <t>BM-032</t>
        </is>
      </c>
      <c r="C45" s="332" t="n">
        <v>50</v>
      </c>
      <c r="D45" s="333" t="inlineStr">
        <is>
          <t>Ing. Sophia López Ramírez</t>
        </is>
      </c>
      <c r="E45" s="334" t="inlineStr">
        <is>
          <t>● ROSA</t>
        </is>
      </c>
      <c r="F45" s="335" t="inlineStr">
        <is>
          <t>H.M.E.O. Constituyentes</t>
        </is>
      </c>
      <c r="G45" s="334" t="inlineStr">
        <is>
          <t>CDMX</t>
        </is>
      </c>
      <c r="H45" s="335" t="inlineStr">
        <is>
          <t>Autoqueratorrefractor, marca Nidek, modelo ARK-F</t>
        </is>
      </c>
      <c r="I45" s="335" t="inlineStr">
        <is>
          <t>Nidek</t>
        </is>
      </c>
      <c r="J45" s="335" t="inlineStr">
        <is>
          <t>ARK-F</t>
        </is>
      </c>
      <c r="K45" s="331" t="inlineStr">
        <is>
          <t>270029</t>
        </is>
      </c>
      <c r="L45" s="331" t="inlineStr">
        <is>
          <t>OFTALMO</t>
        </is>
      </c>
      <c r="M45" s="335" t="inlineStr">
        <is>
          <t>S4</t>
        </is>
      </c>
      <c r="N45" s="331" t="n">
        <v>1</v>
      </c>
      <c r="O45" s="331" t="n">
        <v>2</v>
      </c>
      <c r="P45" s="332">
        <f>N45+O45</f>
        <v/>
      </c>
    </row>
    <row r="46" ht="19.95" customHeight="1" s="227">
      <c r="A46" s="336" t="n">
        <v>30</v>
      </c>
      <c r="B46" s="337" t="inlineStr">
        <is>
          <t>BM-033</t>
        </is>
      </c>
      <c r="C46" s="337" t="n">
        <v>51</v>
      </c>
      <c r="D46" s="338" t="inlineStr">
        <is>
          <t>Ing. Sophia López Ramírez</t>
        </is>
      </c>
      <c r="E46" s="334" t="inlineStr">
        <is>
          <t>● ROSA</t>
        </is>
      </c>
      <c r="F46" s="339" t="inlineStr">
        <is>
          <t>H.M.E.O. Constituyentes</t>
        </is>
      </c>
      <c r="G46" s="334" t="inlineStr">
        <is>
          <t>CDMX</t>
        </is>
      </c>
      <c r="H46" s="339" t="inlineStr">
        <is>
          <t>Autoqueratorrefractor, marca Nidek, modelo ARK-F</t>
        </is>
      </c>
      <c r="I46" s="339" t="inlineStr">
        <is>
          <t>Nidek</t>
        </is>
      </c>
      <c r="J46" s="339" t="inlineStr">
        <is>
          <t>ARK-F</t>
        </is>
      </c>
      <c r="K46" s="336" t="inlineStr">
        <is>
          <t>270031</t>
        </is>
      </c>
      <c r="L46" s="336" t="inlineStr">
        <is>
          <t>OFTALMO</t>
        </is>
      </c>
      <c r="M46" s="339" t="inlineStr">
        <is>
          <t>S4</t>
        </is>
      </c>
      <c r="N46" s="336" t="n">
        <v>1</v>
      </c>
      <c r="O46" s="336" t="n">
        <v>2</v>
      </c>
      <c r="P46" s="337">
        <f>N46+O46</f>
        <v/>
      </c>
    </row>
    <row r="47" ht="19.95" customHeight="1" s="227">
      <c r="A47" s="331" t="n">
        <v>31</v>
      </c>
      <c r="B47" s="332" t="inlineStr">
        <is>
          <t>BM-034</t>
        </is>
      </c>
      <c r="C47" s="332" t="n">
        <v>52</v>
      </c>
      <c r="D47" s="333" t="inlineStr">
        <is>
          <t>Ing. Sophia López Ramírez</t>
        </is>
      </c>
      <c r="E47" s="334" t="inlineStr">
        <is>
          <t>● ROSA</t>
        </is>
      </c>
      <c r="F47" s="335" t="inlineStr">
        <is>
          <t>H.M.E.O. Constituyentes</t>
        </is>
      </c>
      <c r="G47" s="334" t="inlineStr">
        <is>
          <t>CDMX</t>
        </is>
      </c>
      <c r="H47" s="335" t="inlineStr">
        <is>
          <t>Autoqueratorrefractor, marca Nidek, modelo ARK-F</t>
        </is>
      </c>
      <c r="I47" s="335" t="inlineStr">
        <is>
          <t>Nidek</t>
        </is>
      </c>
      <c r="J47" s="335" t="inlineStr">
        <is>
          <t>ARK-F</t>
        </is>
      </c>
      <c r="K47" s="331" t="inlineStr">
        <is>
          <t>270032</t>
        </is>
      </c>
      <c r="L47" s="331" t="inlineStr">
        <is>
          <t>OFTALMO</t>
        </is>
      </c>
      <c r="M47" s="335" t="inlineStr">
        <is>
          <t>S4</t>
        </is>
      </c>
      <c r="N47" s="331" t="n">
        <v>1</v>
      </c>
      <c r="O47" s="331" t="n">
        <v>2</v>
      </c>
      <c r="P47" s="332">
        <f>N47+O47</f>
        <v/>
      </c>
    </row>
    <row r="48" ht="19.95" customHeight="1" s="227">
      <c r="A48" s="336" t="n">
        <v>32</v>
      </c>
      <c r="B48" s="337" t="inlineStr">
        <is>
          <t>BM-035</t>
        </is>
      </c>
      <c r="C48" s="337" t="n">
        <v>53</v>
      </c>
      <c r="D48" s="338" t="inlineStr">
        <is>
          <t>Ing. Sophia López Ramírez</t>
        </is>
      </c>
      <c r="E48" s="334" t="inlineStr">
        <is>
          <t>● ROSA</t>
        </is>
      </c>
      <c r="F48" s="339" t="inlineStr">
        <is>
          <t>H.M.E.O. Constituyentes</t>
        </is>
      </c>
      <c r="G48" s="334" t="inlineStr">
        <is>
          <t>CDMX</t>
        </is>
      </c>
      <c r="H48" s="339" t="inlineStr">
        <is>
          <t>Autoqueratorrefractor, marca Nidek, modelo ARK-F</t>
        </is>
      </c>
      <c r="I48" s="339" t="inlineStr">
        <is>
          <t>Nidek</t>
        </is>
      </c>
      <c r="J48" s="339" t="inlineStr">
        <is>
          <t>ARK-F</t>
        </is>
      </c>
      <c r="K48" s="336" t="inlineStr">
        <is>
          <t>270023</t>
        </is>
      </c>
      <c r="L48" s="336" t="inlineStr">
        <is>
          <t>OFTALMO</t>
        </is>
      </c>
      <c r="M48" s="339" t="inlineStr">
        <is>
          <t>S4</t>
        </is>
      </c>
      <c r="N48" s="336" t="n">
        <v>1</v>
      </c>
      <c r="O48" s="336" t="n">
        <v>2</v>
      </c>
      <c r="P48" s="337">
        <f>N48+O48</f>
        <v/>
      </c>
    </row>
    <row r="49" ht="19.95" customHeight="1" s="227">
      <c r="A49" s="331" t="n">
        <v>33</v>
      </c>
      <c r="B49" s="332" t="inlineStr">
        <is>
          <t>BM-036</t>
        </is>
      </c>
      <c r="C49" s="332" t="n">
        <v>54</v>
      </c>
      <c r="D49" s="333" t="inlineStr">
        <is>
          <t>Ing. Sophia López Ramírez</t>
        </is>
      </c>
      <c r="E49" s="334" t="inlineStr">
        <is>
          <t>● ROSA</t>
        </is>
      </c>
      <c r="F49" s="335" t="inlineStr">
        <is>
          <t>H.M.E.O. Constituyentes</t>
        </is>
      </c>
      <c r="G49" s="334" t="inlineStr">
        <is>
          <t>CDMX</t>
        </is>
      </c>
      <c r="H49" s="335" t="inlineStr">
        <is>
          <t>Autoqueratorrefractor, marca Nidek, modelo ARK-F</t>
        </is>
      </c>
      <c r="I49" s="335" t="inlineStr">
        <is>
          <t>Nidek</t>
        </is>
      </c>
      <c r="J49" s="335" t="inlineStr">
        <is>
          <t>ARK-F</t>
        </is>
      </c>
      <c r="K49" s="331" t="inlineStr">
        <is>
          <t>270034</t>
        </is>
      </c>
      <c r="L49" s="331" t="inlineStr">
        <is>
          <t>OFTALMO</t>
        </is>
      </c>
      <c r="M49" s="335" t="inlineStr">
        <is>
          <t>S4</t>
        </is>
      </c>
      <c r="N49" s="331" t="n">
        <v>1</v>
      </c>
      <c r="O49" s="331" t="n">
        <v>2</v>
      </c>
      <c r="P49" s="332">
        <f>N49+O49</f>
        <v/>
      </c>
    </row>
    <row r="50" ht="19.95" customHeight="1" s="227">
      <c r="A50" s="336" t="n">
        <v>34</v>
      </c>
      <c r="B50" s="337" t="inlineStr">
        <is>
          <t>BM-037</t>
        </is>
      </c>
      <c r="C50" s="337" t="n">
        <v>55</v>
      </c>
      <c r="D50" s="338" t="inlineStr">
        <is>
          <t>Ing. Sophia López Ramírez</t>
        </is>
      </c>
      <c r="E50" s="334" t="inlineStr">
        <is>
          <t>● ROSA</t>
        </is>
      </c>
      <c r="F50" s="339" t="inlineStr">
        <is>
          <t>H.M.E.O. Constituyentes</t>
        </is>
      </c>
      <c r="G50" s="334" t="inlineStr">
        <is>
          <t>CDMX</t>
        </is>
      </c>
      <c r="H50" s="339" t="inlineStr">
        <is>
          <t>Autoqueratorrefractor, marca Nidek, modelo ARK-F</t>
        </is>
      </c>
      <c r="I50" s="339" t="inlineStr">
        <is>
          <t>Nidek</t>
        </is>
      </c>
      <c r="J50" s="339" t="inlineStr">
        <is>
          <t>ARK-F</t>
        </is>
      </c>
      <c r="K50" s="336" t="inlineStr">
        <is>
          <t>270035</t>
        </is>
      </c>
      <c r="L50" s="336" t="inlineStr">
        <is>
          <t>OFTALMO</t>
        </is>
      </c>
      <c r="M50" s="339" t="inlineStr">
        <is>
          <t>S4</t>
        </is>
      </c>
      <c r="N50" s="336" t="n">
        <v>1</v>
      </c>
      <c r="O50" s="336" t="n">
        <v>2</v>
      </c>
      <c r="P50" s="337">
        <f>N50+O50</f>
        <v/>
      </c>
    </row>
    <row r="51" ht="19.95" customHeight="1" s="227">
      <c r="A51" s="331" t="n">
        <v>35</v>
      </c>
      <c r="B51" s="332" t="inlineStr">
        <is>
          <t>BM-038</t>
        </is>
      </c>
      <c r="C51" s="332" t="n">
        <v>56</v>
      </c>
      <c r="D51" s="333" t="inlineStr">
        <is>
          <t>Ing. Sophia López Ramírez</t>
        </is>
      </c>
      <c r="E51" s="334" t="inlineStr">
        <is>
          <t>● ROSA</t>
        </is>
      </c>
      <c r="F51" s="335" t="inlineStr">
        <is>
          <t>H.M.E.O. Constituyentes</t>
        </is>
      </c>
      <c r="G51" s="334" t="inlineStr">
        <is>
          <t>CDMX</t>
        </is>
      </c>
      <c r="H51" s="335" t="inlineStr">
        <is>
          <t>Autoqueratorrefractor, marca Nidek, modelo ARK-F</t>
        </is>
      </c>
      <c r="I51" s="335" t="inlineStr">
        <is>
          <t>Nidek</t>
        </is>
      </c>
      <c r="J51" s="335" t="inlineStr">
        <is>
          <t>ARK-F</t>
        </is>
      </c>
      <c r="K51" s="331" t="inlineStr">
        <is>
          <t>270036</t>
        </is>
      </c>
      <c r="L51" s="331" t="inlineStr">
        <is>
          <t>OFTALMO</t>
        </is>
      </c>
      <c r="M51" s="335" t="inlineStr">
        <is>
          <t>S4</t>
        </is>
      </c>
      <c r="N51" s="331" t="n">
        <v>1</v>
      </c>
      <c r="O51" s="331" t="n">
        <v>2</v>
      </c>
      <c r="P51" s="332">
        <f>N51+O51</f>
        <v/>
      </c>
    </row>
    <row r="52" ht="19.95" customHeight="1" s="227">
      <c r="A52" s="336" t="n">
        <v>36</v>
      </c>
      <c r="B52" s="337" t="inlineStr">
        <is>
          <t>BM-039</t>
        </is>
      </c>
      <c r="C52" s="337" t="n">
        <v>57</v>
      </c>
      <c r="D52" s="338" t="inlineStr">
        <is>
          <t>Ing. Sophia López Ramírez</t>
        </is>
      </c>
      <c r="E52" s="334" t="inlineStr">
        <is>
          <t>● ROSA</t>
        </is>
      </c>
      <c r="F52" s="339" t="inlineStr">
        <is>
          <t>H.M.E.O. Constituyentes</t>
        </is>
      </c>
      <c r="G52" s="334" t="inlineStr">
        <is>
          <t>CDMX</t>
        </is>
      </c>
      <c r="H52" s="339" t="inlineStr">
        <is>
          <t>Autoqueratorrefractor, marca Nidek, modelo ARK-F</t>
        </is>
      </c>
      <c r="I52" s="339" t="inlineStr">
        <is>
          <t>Nidek</t>
        </is>
      </c>
      <c r="J52" s="339" t="inlineStr">
        <is>
          <t>ARK-F</t>
        </is>
      </c>
      <c r="K52" s="336" t="inlineStr">
        <is>
          <t>270037</t>
        </is>
      </c>
      <c r="L52" s="336" t="inlineStr">
        <is>
          <t>OFTALMO</t>
        </is>
      </c>
      <c r="M52" s="339" t="inlineStr">
        <is>
          <t>S4</t>
        </is>
      </c>
      <c r="N52" s="336" t="n">
        <v>1</v>
      </c>
      <c r="O52" s="336" t="n">
        <v>2</v>
      </c>
      <c r="P52" s="337">
        <f>N52+O52</f>
        <v/>
      </c>
    </row>
    <row r="53" ht="19.95" customHeight="1" s="227">
      <c r="A53" s="331" t="n">
        <v>37</v>
      </c>
      <c r="B53" s="332" t="inlineStr">
        <is>
          <t>BM-040</t>
        </is>
      </c>
      <c r="C53" s="332" t="n">
        <v>58</v>
      </c>
      <c r="D53" s="333" t="inlineStr">
        <is>
          <t>Ing. Sophia López Ramírez</t>
        </is>
      </c>
      <c r="E53" s="334" t="inlineStr">
        <is>
          <t>● ROSA</t>
        </is>
      </c>
      <c r="F53" s="335" t="inlineStr">
        <is>
          <t>H.M.E.O. Constituyentes</t>
        </is>
      </c>
      <c r="G53" s="334" t="inlineStr">
        <is>
          <t>CDMX</t>
        </is>
      </c>
      <c r="H53" s="335" t="inlineStr">
        <is>
          <t>Autoqueratorrefractor, marca Nidek, modelo ARK-F</t>
        </is>
      </c>
      <c r="I53" s="335" t="inlineStr">
        <is>
          <t>Nidek</t>
        </is>
      </c>
      <c r="J53" s="335" t="inlineStr">
        <is>
          <t>ARK-F</t>
        </is>
      </c>
      <c r="K53" s="331" t="inlineStr">
        <is>
          <t>270038</t>
        </is>
      </c>
      <c r="L53" s="331" t="inlineStr">
        <is>
          <t>OFTALMO</t>
        </is>
      </c>
      <c r="M53" s="335" t="inlineStr">
        <is>
          <t>S4</t>
        </is>
      </c>
      <c r="N53" s="331" t="n">
        <v>1</v>
      </c>
      <c r="O53" s="331" t="n">
        <v>2</v>
      </c>
      <c r="P53" s="332">
        <f>N53+O53</f>
        <v/>
      </c>
    </row>
    <row r="54" ht="19.95" customHeight="1" s="227">
      <c r="A54" s="336" t="n">
        <v>38</v>
      </c>
      <c r="B54" s="337" t="inlineStr">
        <is>
          <t>BM-041</t>
        </is>
      </c>
      <c r="C54" s="337" t="n">
        <v>59</v>
      </c>
      <c r="D54" s="338" t="inlineStr">
        <is>
          <t>Ing. Sophia López Ramírez</t>
        </is>
      </c>
      <c r="E54" s="334" t="inlineStr">
        <is>
          <t>● ROSA</t>
        </is>
      </c>
      <c r="F54" s="339" t="inlineStr">
        <is>
          <t>H.M.E.O. Constituyentes</t>
        </is>
      </c>
      <c r="G54" s="334" t="inlineStr">
        <is>
          <t>CDMX</t>
        </is>
      </c>
      <c r="H54" s="339" t="inlineStr">
        <is>
          <t>Autoqueratorrefractor, marca Nidek, modelo ARK-F</t>
        </is>
      </c>
      <c r="I54" s="339" t="inlineStr">
        <is>
          <t>Nidek</t>
        </is>
      </c>
      <c r="J54" s="339" t="inlineStr">
        <is>
          <t>ARK-F</t>
        </is>
      </c>
      <c r="K54" s="336" t="inlineStr">
        <is>
          <t>270033</t>
        </is>
      </c>
      <c r="L54" s="336" t="inlineStr">
        <is>
          <t>OFTALMO</t>
        </is>
      </c>
      <c r="M54" s="339" t="inlineStr">
        <is>
          <t>S4</t>
        </is>
      </c>
      <c r="N54" s="336" t="n">
        <v>1</v>
      </c>
      <c r="O54" s="336" t="n">
        <v>2</v>
      </c>
      <c r="P54" s="337">
        <f>N54+O54</f>
        <v/>
      </c>
    </row>
    <row r="55" ht="19.95" customHeight="1" s="227">
      <c r="A55" s="331" t="n">
        <v>39</v>
      </c>
      <c r="B55" s="332" t="inlineStr">
        <is>
          <t>BM-042</t>
        </is>
      </c>
      <c r="C55" s="332" t="n">
        <v>60</v>
      </c>
      <c r="D55" s="333" t="inlineStr">
        <is>
          <t>Ing. Sophia López Ramírez</t>
        </is>
      </c>
      <c r="E55" s="334" t="inlineStr">
        <is>
          <t>● ROSA</t>
        </is>
      </c>
      <c r="F55" s="335" t="inlineStr">
        <is>
          <t>H.M.E.O. Constituyentes</t>
        </is>
      </c>
      <c r="G55" s="334" t="inlineStr">
        <is>
          <t>CDMX</t>
        </is>
      </c>
      <c r="H55" s="335" t="inlineStr">
        <is>
          <t>Autoqueratorrefractor, marca Nidek, modelo ARK-F</t>
        </is>
      </c>
      <c r="I55" s="335" t="inlineStr">
        <is>
          <t>Nidek</t>
        </is>
      </c>
      <c r="J55" s="335" t="inlineStr">
        <is>
          <t>ARK-F</t>
        </is>
      </c>
      <c r="K55" s="331" t="inlineStr">
        <is>
          <t>270025</t>
        </is>
      </c>
      <c r="L55" s="331" t="inlineStr">
        <is>
          <t>OFTALMO</t>
        </is>
      </c>
      <c r="M55" s="335" t="inlineStr">
        <is>
          <t>S4</t>
        </is>
      </c>
      <c r="N55" s="331" t="n">
        <v>1</v>
      </c>
      <c r="O55" s="331" t="n">
        <v>2</v>
      </c>
      <c r="P55" s="332">
        <f>N55+O55</f>
        <v/>
      </c>
    </row>
    <row r="56" ht="19.95" customHeight="1" s="227">
      <c r="A56" s="336" t="n">
        <v>40</v>
      </c>
      <c r="B56" s="337" t="inlineStr">
        <is>
          <t>BM-043</t>
        </is>
      </c>
      <c r="C56" s="337" t="n">
        <v>61</v>
      </c>
      <c r="D56" s="338" t="inlineStr">
        <is>
          <t>Ing. Sophia López Ramírez</t>
        </is>
      </c>
      <c r="E56" s="334" t="inlineStr">
        <is>
          <t>● ROSA</t>
        </is>
      </c>
      <c r="F56" s="339" t="inlineStr">
        <is>
          <t>H.M.E.O. Constituyentes</t>
        </is>
      </c>
      <c r="G56" s="334" t="inlineStr">
        <is>
          <t>CDMX</t>
        </is>
      </c>
      <c r="H56" s="339" t="inlineStr">
        <is>
          <t>Sistema de diagnóstico oftálmico avanzado, marca Nidek, modelo TONOREF III</t>
        </is>
      </c>
      <c r="I56" s="339" t="inlineStr">
        <is>
          <t>Nidek</t>
        </is>
      </c>
      <c r="J56" s="339" t="inlineStr">
        <is>
          <t>TONOREF III</t>
        </is>
      </c>
      <c r="K56" s="336" t="inlineStr">
        <is>
          <t>170692</t>
        </is>
      </c>
      <c r="L56" s="336" t="inlineStr">
        <is>
          <t>OFTALMO</t>
        </is>
      </c>
      <c r="M56" s="339" t="inlineStr">
        <is>
          <t>S4</t>
        </is>
      </c>
      <c r="N56" s="336" t="n">
        <v>1</v>
      </c>
      <c r="O56" s="336" t="n">
        <v>2</v>
      </c>
      <c r="P56" s="337">
        <f>N56+O56</f>
        <v/>
      </c>
    </row>
    <row r="57" ht="19.95" customHeight="1" s="227">
      <c r="A57" s="331" t="n">
        <v>41</v>
      </c>
      <c r="B57" s="332" t="inlineStr">
        <is>
          <t>BM-044</t>
        </is>
      </c>
      <c r="C57" s="332" t="n">
        <v>62</v>
      </c>
      <c r="D57" s="333" t="inlineStr">
        <is>
          <t>Ing. Sophia López Ramírez</t>
        </is>
      </c>
      <c r="E57" s="334" t="inlineStr">
        <is>
          <t>● ROSA</t>
        </is>
      </c>
      <c r="F57" s="335" t="inlineStr">
        <is>
          <t>H.M.E.O. Constituyentes</t>
        </is>
      </c>
      <c r="G57" s="334" t="inlineStr">
        <is>
          <t>CDMX</t>
        </is>
      </c>
      <c r="H57" s="335" t="inlineStr">
        <is>
          <t>Sistema de diagnóstico oftálmico avanzado, marca Nidek, modelo TONOREF III</t>
        </is>
      </c>
      <c r="I57" s="335" t="inlineStr">
        <is>
          <t>Nidek</t>
        </is>
      </c>
      <c r="J57" s="335" t="inlineStr">
        <is>
          <t>TONOREF III</t>
        </is>
      </c>
      <c r="K57" s="331" t="inlineStr">
        <is>
          <t>170696</t>
        </is>
      </c>
      <c r="L57" s="331" t="inlineStr">
        <is>
          <t>OFTALMO</t>
        </is>
      </c>
      <c r="M57" s="335" t="inlineStr">
        <is>
          <t>S4</t>
        </is>
      </c>
      <c r="N57" s="331" t="n">
        <v>1</v>
      </c>
      <c r="O57" s="331" t="n">
        <v>2</v>
      </c>
      <c r="P57" s="332">
        <f>N57+O57</f>
        <v/>
      </c>
    </row>
    <row r="58" ht="19.95" customHeight="1" s="227">
      <c r="A58" s="336" t="n">
        <v>42</v>
      </c>
      <c r="B58" s="337" t="inlineStr">
        <is>
          <t>BM-045</t>
        </is>
      </c>
      <c r="C58" s="337" t="n">
        <v>63</v>
      </c>
      <c r="D58" s="338" t="inlineStr">
        <is>
          <t>Ing. Sophia López Ramírez</t>
        </is>
      </c>
      <c r="E58" s="334" t="inlineStr">
        <is>
          <t>● ROSA</t>
        </is>
      </c>
      <c r="F58" s="339" t="inlineStr">
        <is>
          <t>H.M.E.O. Constituyentes</t>
        </is>
      </c>
      <c r="G58" s="334" t="inlineStr">
        <is>
          <t>CDMX</t>
        </is>
      </c>
      <c r="H58" s="339" t="inlineStr">
        <is>
          <t>Sistema de diagnóstico oftálmico avanzado, marca Nidek, modelo TONOREF III</t>
        </is>
      </c>
      <c r="I58" s="339" t="inlineStr">
        <is>
          <t>Nidek</t>
        </is>
      </c>
      <c r="J58" s="339" t="inlineStr">
        <is>
          <t>TONOREF III</t>
        </is>
      </c>
      <c r="K58" s="336" t="inlineStr">
        <is>
          <t>170711</t>
        </is>
      </c>
      <c r="L58" s="336" t="inlineStr">
        <is>
          <t>OFTALMO</t>
        </is>
      </c>
      <c r="M58" s="339" t="inlineStr">
        <is>
          <t>S4</t>
        </is>
      </c>
      <c r="N58" s="336" t="n">
        <v>1</v>
      </c>
      <c r="O58" s="336" t="n">
        <v>2</v>
      </c>
      <c r="P58" s="337">
        <f>N58+O58</f>
        <v/>
      </c>
    </row>
    <row r="59" ht="19.95" customHeight="1" s="227">
      <c r="A59" s="331" t="n">
        <v>43</v>
      </c>
      <c r="B59" s="332" t="inlineStr">
        <is>
          <t>BM-046</t>
        </is>
      </c>
      <c r="C59" s="332" t="n">
        <v>64</v>
      </c>
      <c r="D59" s="333" t="inlineStr">
        <is>
          <t>Ing. Sophia López Ramírez</t>
        </is>
      </c>
      <c r="E59" s="334" t="inlineStr">
        <is>
          <t>● ROSA</t>
        </is>
      </c>
      <c r="F59" s="335" t="inlineStr">
        <is>
          <t>H.M.E.O. Constituyentes</t>
        </is>
      </c>
      <c r="G59" s="334" t="inlineStr">
        <is>
          <t>CDMX</t>
        </is>
      </c>
      <c r="H59" s="335" t="inlineStr">
        <is>
          <t>Sistema de diagnóstico oftálmico avanzado, marca Nidek, modelo TONOREF III</t>
        </is>
      </c>
      <c r="I59" s="335" t="inlineStr">
        <is>
          <t>Nidek</t>
        </is>
      </c>
      <c r="J59" s="335" t="inlineStr">
        <is>
          <t>TONOREF III</t>
        </is>
      </c>
      <c r="K59" s="331" t="inlineStr">
        <is>
          <t>170712</t>
        </is>
      </c>
      <c r="L59" s="331" t="inlineStr">
        <is>
          <t>OFTALMO</t>
        </is>
      </c>
      <c r="M59" s="335" t="inlineStr">
        <is>
          <t>S4</t>
        </is>
      </c>
      <c r="N59" s="331" t="n">
        <v>1</v>
      </c>
      <c r="O59" s="331" t="n">
        <v>2</v>
      </c>
      <c r="P59" s="332">
        <f>N59+O59</f>
        <v/>
      </c>
    </row>
    <row r="60" ht="19.95" customHeight="1" s="227">
      <c r="A60" s="336" t="n">
        <v>44</v>
      </c>
      <c r="B60" s="337" t="inlineStr">
        <is>
          <t>BM-047</t>
        </is>
      </c>
      <c r="C60" s="337" t="n">
        <v>65</v>
      </c>
      <c r="D60" s="338" t="inlineStr">
        <is>
          <t>Ing. Sophia López Ramírez</t>
        </is>
      </c>
      <c r="E60" s="334" t="inlineStr">
        <is>
          <t>● ROSA</t>
        </is>
      </c>
      <c r="F60" s="339" t="inlineStr">
        <is>
          <t>H.M.E.O. Constituyentes</t>
        </is>
      </c>
      <c r="G60" s="334" t="inlineStr">
        <is>
          <t>CDMX</t>
        </is>
      </c>
      <c r="H60" s="339" t="inlineStr">
        <is>
          <t>Sistema de diagnóstico oftálmico avanzado, marca Nidek, modelo TONOREF III</t>
        </is>
      </c>
      <c r="I60" s="339" t="inlineStr">
        <is>
          <t>Nidek</t>
        </is>
      </c>
      <c r="J60" s="339" t="inlineStr">
        <is>
          <t>TONOREF III</t>
        </is>
      </c>
      <c r="K60" s="336" t="inlineStr">
        <is>
          <t>170715</t>
        </is>
      </c>
      <c r="L60" s="336" t="inlineStr">
        <is>
          <t>OFTALMO</t>
        </is>
      </c>
      <c r="M60" s="339" t="inlineStr">
        <is>
          <t>S4</t>
        </is>
      </c>
      <c r="N60" s="336" t="n">
        <v>1</v>
      </c>
      <c r="O60" s="336" t="n">
        <v>2</v>
      </c>
      <c r="P60" s="337">
        <f>N60+O60</f>
        <v/>
      </c>
    </row>
    <row r="61" ht="19.95" customHeight="1" s="227">
      <c r="A61" s="331" t="n">
        <v>45</v>
      </c>
      <c r="B61" s="332" t="inlineStr">
        <is>
          <t>BM-048</t>
        </is>
      </c>
      <c r="C61" s="332" t="n">
        <v>68</v>
      </c>
      <c r="D61" s="333" t="inlineStr">
        <is>
          <t>Ing. Sophia López Ramírez</t>
        </is>
      </c>
      <c r="E61" s="334" t="inlineStr">
        <is>
          <t>● ROSA</t>
        </is>
      </c>
      <c r="F61" s="335" t="inlineStr">
        <is>
          <t>H.M.E.O. Constituyentes</t>
        </is>
      </c>
      <c r="G61" s="334" t="inlineStr">
        <is>
          <t>CDMX</t>
        </is>
      </c>
      <c r="H61" s="335" t="inlineStr">
        <is>
          <t>Sistema de diagnóstico oftálmico avanzado, marca Nidek, modelo OPD-Scan III</t>
        </is>
      </c>
      <c r="I61" s="335" t="inlineStr">
        <is>
          <t>Nidek</t>
        </is>
      </c>
      <c r="J61" s="335" t="inlineStr">
        <is>
          <t>OPD-Scan III</t>
        </is>
      </c>
      <c r="K61" s="331" t="inlineStr">
        <is>
          <t>470112</t>
        </is>
      </c>
      <c r="L61" s="331" t="inlineStr">
        <is>
          <t>OFTALMO</t>
        </is>
      </c>
      <c r="M61" s="335" t="inlineStr">
        <is>
          <t>S4</t>
        </is>
      </c>
      <c r="N61" s="331" t="n">
        <v>1</v>
      </c>
      <c r="O61" s="331" t="n">
        <v>2</v>
      </c>
      <c r="P61" s="332">
        <f>N61+O61</f>
        <v/>
      </c>
    </row>
    <row r="62" ht="19.95" customHeight="1" s="227">
      <c r="A62" s="336" t="n">
        <v>46</v>
      </c>
      <c r="B62" s="337" t="inlineStr">
        <is>
          <t>BM-049</t>
        </is>
      </c>
      <c r="C62" s="337" t="n">
        <v>69</v>
      </c>
      <c r="D62" s="338" t="inlineStr">
        <is>
          <t>Ing. Sophia López Ramírez</t>
        </is>
      </c>
      <c r="E62" s="334" t="inlineStr">
        <is>
          <t>● ROSA</t>
        </is>
      </c>
      <c r="F62" s="339" t="inlineStr">
        <is>
          <t>H.M.E.O. Constituyentes</t>
        </is>
      </c>
      <c r="G62" s="334" t="inlineStr">
        <is>
          <t>CDMX</t>
        </is>
      </c>
      <c r="H62" s="339" t="inlineStr">
        <is>
          <t>Sistema de diagnóstico oftálmico avanzado, marca Nidek, modelo OPD-Scan III</t>
        </is>
      </c>
      <c r="I62" s="339" t="inlineStr">
        <is>
          <t>Nidek</t>
        </is>
      </c>
      <c r="J62" s="339" t="inlineStr">
        <is>
          <t>OPD-Scan III</t>
        </is>
      </c>
      <c r="K62" s="336" t="inlineStr">
        <is>
          <t>470113</t>
        </is>
      </c>
      <c r="L62" s="336" t="inlineStr">
        <is>
          <t>OFTALMO</t>
        </is>
      </c>
      <c r="M62" s="339" t="inlineStr">
        <is>
          <t>S4</t>
        </is>
      </c>
      <c r="N62" s="336" t="n">
        <v>1</v>
      </c>
      <c r="O62" s="336" t="n">
        <v>2</v>
      </c>
      <c r="P62" s="337">
        <f>N62+O62</f>
        <v/>
      </c>
    </row>
    <row r="63" ht="19.95" customHeight="1" s="227">
      <c r="A63" s="331" t="n">
        <v>47</v>
      </c>
      <c r="B63" s="332" t="inlineStr">
        <is>
          <t>BM-050</t>
        </is>
      </c>
      <c r="C63" s="332" t="n">
        <v>70</v>
      </c>
      <c r="D63" s="333" t="inlineStr">
        <is>
          <t>Ing. Sophia López Ramírez</t>
        </is>
      </c>
      <c r="E63" s="334" t="inlineStr">
        <is>
          <t>● ROSA</t>
        </is>
      </c>
      <c r="F63" s="335" t="inlineStr">
        <is>
          <t>H.M.E.O. Constituyentes</t>
        </is>
      </c>
      <c r="G63" s="334" t="inlineStr">
        <is>
          <t>CDMX</t>
        </is>
      </c>
      <c r="H63" s="335" t="inlineStr">
        <is>
          <t>Plataforma láser oftálmica combinada YAG/SLT, marca Quantel Medical, modelo Optimis Fusion</t>
        </is>
      </c>
      <c r="I63" s="335" t="inlineStr">
        <is>
          <t>Quantel Medical</t>
        </is>
      </c>
      <c r="J63" s="335" t="inlineStr">
        <is>
          <t>Optimis Fusion</t>
        </is>
      </c>
      <c r="K63" s="331" t="inlineStr">
        <is>
          <t>62-10-135</t>
        </is>
      </c>
      <c r="L63" s="331" t="inlineStr">
        <is>
          <t>OFTALMO</t>
        </is>
      </c>
      <c r="M63" s="335" t="inlineStr">
        <is>
          <t>ARFAMEX</t>
        </is>
      </c>
      <c r="N63" s="331" t="n">
        <v>1</v>
      </c>
      <c r="O63" s="331" t="n">
        <v>2</v>
      </c>
      <c r="P63" s="332">
        <f>N63+O63</f>
        <v/>
      </c>
    </row>
    <row r="64" ht="19.95" customHeight="1" s="227">
      <c r="A64" s="336" t="n">
        <v>48</v>
      </c>
      <c r="B64" s="337" t="inlineStr">
        <is>
          <t>BM-051</t>
        </is>
      </c>
      <c r="C64" s="337" t="n">
        <v>71</v>
      </c>
      <c r="D64" s="338" t="inlineStr">
        <is>
          <t>Ing. Sophia López Ramírez</t>
        </is>
      </c>
      <c r="E64" s="334" t="inlineStr">
        <is>
          <t>● ROSA</t>
        </is>
      </c>
      <c r="F64" s="339" t="inlineStr">
        <is>
          <t>H.M.E.O. Constituyentes</t>
        </is>
      </c>
      <c r="G64" s="334" t="inlineStr">
        <is>
          <t>CDMX</t>
        </is>
      </c>
      <c r="H64" s="339" t="inlineStr">
        <is>
          <t>Láser excimer, marca Alcon, modelo Wavelight</t>
        </is>
      </c>
      <c r="I64" s="339" t="inlineStr">
        <is>
          <t>Alcon</t>
        </is>
      </c>
      <c r="J64" s="339" t="inlineStr">
        <is>
          <t>Wavelight</t>
        </is>
      </c>
      <c r="K64" s="336" t="inlineStr">
        <is>
          <t>1016-4-3384</t>
        </is>
      </c>
      <c r="L64" s="336" t="inlineStr">
        <is>
          <t>OFTALMO</t>
        </is>
      </c>
      <c r="M64" s="339" t="inlineStr">
        <is>
          <t>ALCON</t>
        </is>
      </c>
      <c r="N64" s="336" t="n">
        <v>1</v>
      </c>
      <c r="O64" s="336" t="n">
        <v>2</v>
      </c>
      <c r="P64" s="337">
        <f>N64+O64</f>
        <v/>
      </c>
    </row>
    <row r="65" ht="19.95" customHeight="1" s="227">
      <c r="A65" s="331" t="n">
        <v>49</v>
      </c>
      <c r="B65" s="332" t="inlineStr">
        <is>
          <t>BM-052</t>
        </is>
      </c>
      <c r="C65" s="332" t="n">
        <v>72</v>
      </c>
      <c r="D65" s="333" t="inlineStr">
        <is>
          <t>Ing. Sophia López Ramírez</t>
        </is>
      </c>
      <c r="E65" s="334" t="inlineStr">
        <is>
          <t>● ROSA</t>
        </is>
      </c>
      <c r="F65" s="335" t="inlineStr">
        <is>
          <t>H.M.E.O. Constituyentes</t>
        </is>
      </c>
      <c r="G65" s="334" t="inlineStr">
        <is>
          <t>CDMX</t>
        </is>
      </c>
      <c r="H65" s="335" t="inlineStr">
        <is>
          <t>Láser oftálmico, marca Quantel Medical, modelo Easyret</t>
        </is>
      </c>
      <c r="I65" s="335" t="inlineStr">
        <is>
          <t>Quantel Medical</t>
        </is>
      </c>
      <c r="J65" s="335" t="inlineStr">
        <is>
          <t>Easyret</t>
        </is>
      </c>
      <c r="K65" s="331" t="inlineStr">
        <is>
          <t>2209031</t>
        </is>
      </c>
      <c r="L65" s="331" t="inlineStr">
        <is>
          <t>OFTALMO</t>
        </is>
      </c>
      <c r="M65" s="335" t="inlineStr">
        <is>
          <t>ARFAMEX</t>
        </is>
      </c>
      <c r="N65" s="331" t="n">
        <v>1</v>
      </c>
      <c r="O65" s="331" t="n">
        <v>2</v>
      </c>
      <c r="P65" s="332">
        <f>N65+O65</f>
        <v/>
      </c>
    </row>
    <row r="66" ht="19.95" customHeight="1" s="227">
      <c r="A66" s="336" t="n">
        <v>50</v>
      </c>
      <c r="B66" s="337" t="inlineStr">
        <is>
          <t>BM-053</t>
        </is>
      </c>
      <c r="C66" s="337" t="n">
        <v>73</v>
      </c>
      <c r="D66" s="338" t="inlineStr">
        <is>
          <t>Ing. Sophia López Ramírez</t>
        </is>
      </c>
      <c r="E66" s="334" t="inlineStr">
        <is>
          <t>● ROSA</t>
        </is>
      </c>
      <c r="F66" s="339" t="inlineStr">
        <is>
          <t>H.M.E.O. Constituyentes</t>
        </is>
      </c>
      <c r="G66" s="334" t="inlineStr">
        <is>
          <t>CDMX</t>
        </is>
      </c>
      <c r="H66" s="339" t="inlineStr">
        <is>
          <t>Láser oftálmico, marca Quantel Medical, modelo Easyret</t>
        </is>
      </c>
      <c r="I66" s="339" t="inlineStr">
        <is>
          <t>Quantel Medical</t>
        </is>
      </c>
      <c r="J66" s="339" t="inlineStr">
        <is>
          <t>Easyret</t>
        </is>
      </c>
      <c r="K66" s="336" t="inlineStr">
        <is>
          <t>2209032</t>
        </is>
      </c>
      <c r="L66" s="336" t="inlineStr">
        <is>
          <t>OFTALMO</t>
        </is>
      </c>
      <c r="M66" s="339" t="inlineStr">
        <is>
          <t>ARFAMEX</t>
        </is>
      </c>
      <c r="N66" s="336" t="n">
        <v>1</v>
      </c>
      <c r="O66" s="336" t="n">
        <v>2</v>
      </c>
      <c r="P66" s="337">
        <f>N66+O66</f>
        <v/>
      </c>
    </row>
    <row r="67" ht="19.95" customHeight="1" s="227">
      <c r="A67" s="331" t="n">
        <v>51</v>
      </c>
      <c r="B67" s="332" t="inlineStr">
        <is>
          <t>BM-054</t>
        </is>
      </c>
      <c r="C67" s="332" t="n">
        <v>74</v>
      </c>
      <c r="D67" s="333" t="inlineStr">
        <is>
          <t>Ing. Sophia López Ramírez</t>
        </is>
      </c>
      <c r="E67" s="334" t="inlineStr">
        <is>
          <t>● ROSA</t>
        </is>
      </c>
      <c r="F67" s="335" t="inlineStr">
        <is>
          <t>H.M.E.O. Constituyentes</t>
        </is>
      </c>
      <c r="G67" s="334" t="inlineStr">
        <is>
          <t>CDMX</t>
        </is>
      </c>
      <c r="H67" s="335" t="inlineStr">
        <is>
          <t>Equipo para crosslinking ocular, marca KXL, modelo Avedro</t>
        </is>
      </c>
      <c r="I67" s="335" t="inlineStr">
        <is>
          <t>KXL</t>
        </is>
      </c>
      <c r="J67" s="335" t="inlineStr">
        <is>
          <t>Avedro</t>
        </is>
      </c>
      <c r="K67" s="331" t="inlineStr">
        <is>
          <t>KXL221005</t>
        </is>
      </c>
      <c r="L67" s="331" t="inlineStr">
        <is>
          <t>OFTALMO</t>
        </is>
      </c>
      <c r="M67" s="335" t="inlineStr">
        <is>
          <t>ARFAMEX</t>
        </is>
      </c>
      <c r="N67" s="331" t="n">
        <v>1</v>
      </c>
      <c r="O67" s="331" t="n">
        <v>2</v>
      </c>
      <c r="P67" s="332">
        <f>N67+O67</f>
        <v/>
      </c>
    </row>
    <row r="68" ht="19.95" customHeight="1" s="227">
      <c r="A68" s="336" t="n">
        <v>52</v>
      </c>
      <c r="B68" s="337" t="inlineStr">
        <is>
          <t>BM-055</t>
        </is>
      </c>
      <c r="C68" s="337" t="n">
        <v>75</v>
      </c>
      <c r="D68" s="338" t="inlineStr">
        <is>
          <t>Ing. Sophia López Ramírez</t>
        </is>
      </c>
      <c r="E68" s="334" t="inlineStr">
        <is>
          <t>● ROSA</t>
        </is>
      </c>
      <c r="F68" s="339" t="inlineStr">
        <is>
          <t>H.M.E.O. Constituyentes</t>
        </is>
      </c>
      <c r="G68" s="334" t="inlineStr">
        <is>
          <t>CDMX</t>
        </is>
      </c>
      <c r="H68" s="339" t="inlineStr">
        <is>
          <t>OCT con retinógrafo integrado, marca Nidek, modelo Retina Scan DUO-2 (RS-300)</t>
        </is>
      </c>
      <c r="I68" s="339" t="inlineStr">
        <is>
          <t>Nidek</t>
        </is>
      </c>
      <c r="J68" s="339" t="inlineStr">
        <is>
          <t>Retina Scan DUO-2 (RS-300)</t>
        </is>
      </c>
      <c r="K68" s="336" t="inlineStr">
        <is>
          <t>742223</t>
        </is>
      </c>
      <c r="L68" s="336" t="inlineStr">
        <is>
          <t>OFTALMO</t>
        </is>
      </c>
      <c r="M68" s="339" t="inlineStr">
        <is>
          <t>S4</t>
        </is>
      </c>
      <c r="N68" s="336" t="n">
        <v>2</v>
      </c>
      <c r="O68" s="336" t="n">
        <v>4</v>
      </c>
      <c r="P68" s="337">
        <f>N68+O68</f>
        <v/>
      </c>
    </row>
    <row r="69" ht="19.95" customHeight="1" s="227">
      <c r="A69" s="331" t="n">
        <v>53</v>
      </c>
      <c r="B69" s="332" t="inlineStr">
        <is>
          <t>BM-056</t>
        </is>
      </c>
      <c r="C69" s="332" t="n">
        <v>76</v>
      </c>
      <c r="D69" s="333" t="inlineStr">
        <is>
          <t>Ing. Sophia López Ramírez</t>
        </is>
      </c>
      <c r="E69" s="334" t="inlineStr">
        <is>
          <t>● ROSA</t>
        </is>
      </c>
      <c r="F69" s="335" t="inlineStr">
        <is>
          <t>H.M.E.O. Constituyentes</t>
        </is>
      </c>
      <c r="G69" s="334" t="inlineStr">
        <is>
          <t>CDMX</t>
        </is>
      </c>
      <c r="H69" s="335" t="inlineStr">
        <is>
          <t>OCT con retinógrafo integrado, marca Nidek, modelo Retina Scan DUO-2 (RS-300)</t>
        </is>
      </c>
      <c r="I69" s="335" t="inlineStr">
        <is>
          <t>Nidek</t>
        </is>
      </c>
      <c r="J69" s="335" t="inlineStr">
        <is>
          <t>Retina Scan DUO-2 (RS-300)</t>
        </is>
      </c>
      <c r="K69" s="331" t="inlineStr">
        <is>
          <t>741879</t>
        </is>
      </c>
      <c r="L69" s="331" t="inlineStr">
        <is>
          <t>OFTALMO</t>
        </is>
      </c>
      <c r="M69" s="335" t="inlineStr">
        <is>
          <t>S4</t>
        </is>
      </c>
      <c r="N69" s="331" t="n">
        <v>1</v>
      </c>
      <c r="O69" s="331" t="n">
        <v>2</v>
      </c>
      <c r="P69" s="332">
        <f>N69+O69</f>
        <v/>
      </c>
    </row>
    <row r="70" ht="19.95" customHeight="1" s="227">
      <c r="A70" s="336" t="n">
        <v>54</v>
      </c>
      <c r="B70" s="337" t="inlineStr">
        <is>
          <t>BM-057</t>
        </is>
      </c>
      <c r="C70" s="337" t="n">
        <v>77</v>
      </c>
      <c r="D70" s="338" t="inlineStr">
        <is>
          <t>Ing. Sophia López Ramírez</t>
        </is>
      </c>
      <c r="E70" s="334" t="inlineStr">
        <is>
          <t>● ROSA</t>
        </is>
      </c>
      <c r="F70" s="339" t="inlineStr">
        <is>
          <t>H.M.E.O. Constituyentes</t>
        </is>
      </c>
      <c r="G70" s="334" t="inlineStr">
        <is>
          <t>CDMX</t>
        </is>
      </c>
      <c r="H70" s="339" t="inlineStr">
        <is>
          <t>OCT con retinógrafo integrado, marca Nidek, modelo Retina Scan DUO-2 (RS-300)</t>
        </is>
      </c>
      <c r="I70" s="339" t="inlineStr">
        <is>
          <t>Nidek</t>
        </is>
      </c>
      <c r="J70" s="339" t="inlineStr">
        <is>
          <t>Retina Scan DUO-2 (RS-300)</t>
        </is>
      </c>
      <c r="K70" s="336" t="inlineStr">
        <is>
          <t>742356</t>
        </is>
      </c>
      <c r="L70" s="336" t="inlineStr">
        <is>
          <t>OFTALMO</t>
        </is>
      </c>
      <c r="M70" s="339" t="inlineStr">
        <is>
          <t>S4</t>
        </is>
      </c>
      <c r="N70" s="336" t="n">
        <v>1</v>
      </c>
      <c r="O70" s="336" t="n">
        <v>2</v>
      </c>
      <c r="P70" s="337">
        <f>N70+O70</f>
        <v/>
      </c>
    </row>
    <row r="71" ht="19.95" customHeight="1" s="227">
      <c r="A71" s="331" t="n">
        <v>55</v>
      </c>
      <c r="B71" s="332" t="inlineStr">
        <is>
          <t>BM-058</t>
        </is>
      </c>
      <c r="C71" s="332" t="n">
        <v>78</v>
      </c>
      <c r="D71" s="333" t="inlineStr">
        <is>
          <t>Ing. Sophia López Ramírez</t>
        </is>
      </c>
      <c r="E71" s="334" t="inlineStr">
        <is>
          <t>● ROSA</t>
        </is>
      </c>
      <c r="F71" s="335" t="inlineStr">
        <is>
          <t>H.M.E.O. Constituyentes</t>
        </is>
      </c>
      <c r="G71" s="334" t="inlineStr">
        <is>
          <t>CDMX</t>
        </is>
      </c>
      <c r="H71" s="335" t="inlineStr">
        <is>
          <t>OCT con retinógrafo integrado, marca Nidek, modelo Retina Scan DUO-2 (RS-300)</t>
        </is>
      </c>
      <c r="I71" s="335" t="inlineStr">
        <is>
          <t>Nidek</t>
        </is>
      </c>
      <c r="J71" s="335" t="inlineStr">
        <is>
          <t>Retina Scan DUO-2 (RS-300)</t>
        </is>
      </c>
      <c r="K71" s="331" t="inlineStr">
        <is>
          <t>741940</t>
        </is>
      </c>
      <c r="L71" s="331" t="inlineStr">
        <is>
          <t>OFTALMO</t>
        </is>
      </c>
      <c r="M71" s="335" t="inlineStr">
        <is>
          <t>S4</t>
        </is>
      </c>
      <c r="N71" s="331" t="n">
        <v>2</v>
      </c>
      <c r="O71" s="331" t="n">
        <v>4</v>
      </c>
      <c r="P71" s="332">
        <f>N71+O71</f>
        <v/>
      </c>
    </row>
    <row r="72" ht="19.95" customHeight="1" s="227">
      <c r="A72" s="336" t="n">
        <v>56</v>
      </c>
      <c r="B72" s="337" t="inlineStr">
        <is>
          <t>BM-059</t>
        </is>
      </c>
      <c r="C72" s="337" t="n">
        <v>79</v>
      </c>
      <c r="D72" s="338" t="inlineStr">
        <is>
          <t>Ing. Sophia López Ramírez</t>
        </is>
      </c>
      <c r="E72" s="334" t="inlineStr">
        <is>
          <t>● ROSA</t>
        </is>
      </c>
      <c r="F72" s="339" t="inlineStr">
        <is>
          <t>H.M.E.O. Constituyentes</t>
        </is>
      </c>
      <c r="G72" s="334" t="inlineStr">
        <is>
          <t>CDMX</t>
        </is>
      </c>
      <c r="H72" s="339" t="inlineStr">
        <is>
          <t>Sistema de diagnóstico oftálmico avanzado, marca Heidelberg Engineering, modelo Spectralis</t>
        </is>
      </c>
      <c r="I72" s="339" t="inlineStr">
        <is>
          <t>Heidelberg Engineering</t>
        </is>
      </c>
      <c r="J72" s="339" t="inlineStr">
        <is>
          <t>Spectralis</t>
        </is>
      </c>
      <c r="K72" s="336" t="inlineStr">
        <is>
          <t>SPEC-CAM-21931-53610</t>
        </is>
      </c>
      <c r="L72" s="336" t="inlineStr">
        <is>
          <t>OFTALMO</t>
        </is>
      </c>
      <c r="M72" s="339" t="inlineStr">
        <is>
          <t>ARFAMEX</t>
        </is>
      </c>
      <c r="N72" s="336" t="n">
        <v>2</v>
      </c>
      <c r="O72" s="336" t="n">
        <v>4</v>
      </c>
      <c r="P72" s="337">
        <f>N72+O72</f>
        <v/>
      </c>
    </row>
    <row r="73" ht="19.95" customHeight="1" s="227">
      <c r="A73" s="331" t="n">
        <v>57</v>
      </c>
      <c r="B73" s="332" t="inlineStr">
        <is>
          <t>BM-060</t>
        </is>
      </c>
      <c r="C73" s="332" t="n">
        <v>80</v>
      </c>
      <c r="D73" s="333" t="inlineStr">
        <is>
          <t>Ing. Sophia López Ramírez</t>
        </is>
      </c>
      <c r="E73" s="334" t="inlineStr">
        <is>
          <t>● ROSA</t>
        </is>
      </c>
      <c r="F73" s="335" t="inlineStr">
        <is>
          <t>H.M.E.O. Constituyentes</t>
        </is>
      </c>
      <c r="G73" s="334" t="inlineStr">
        <is>
          <t>CDMX</t>
        </is>
      </c>
      <c r="H73" s="335" t="inlineStr">
        <is>
          <t>Sistema de diagnóstico oftálmico avanzado, marca Heidelberg Engineering, modelo Spectralis</t>
        </is>
      </c>
      <c r="I73" s="335" t="inlineStr">
        <is>
          <t>Heidelberg Engineering</t>
        </is>
      </c>
      <c r="J73" s="335" t="inlineStr">
        <is>
          <t>Spectralis</t>
        </is>
      </c>
      <c r="K73" s="331" t="inlineStr">
        <is>
          <t>SPEC-CAM-21920-53610</t>
        </is>
      </c>
      <c r="L73" s="331" t="inlineStr">
        <is>
          <t>OFTALMO</t>
        </is>
      </c>
      <c r="M73" s="335" t="inlineStr">
        <is>
          <t>ARFAMEX</t>
        </is>
      </c>
      <c r="N73" s="331" t="n">
        <v>2</v>
      </c>
      <c r="O73" s="331" t="n">
        <v>4</v>
      </c>
      <c r="P73" s="332">
        <f>N73+O73</f>
        <v/>
      </c>
    </row>
    <row r="74" ht="19.95" customHeight="1" s="227">
      <c r="A74" s="336" t="n">
        <v>58</v>
      </c>
      <c r="B74" s="337" t="inlineStr">
        <is>
          <t>BM-061</t>
        </is>
      </c>
      <c r="C74" s="337" t="n">
        <v>81</v>
      </c>
      <c r="D74" s="338" t="inlineStr">
        <is>
          <t>Ing. Sophia López Ramírez</t>
        </is>
      </c>
      <c r="E74" s="334" t="inlineStr">
        <is>
          <t>● ROSA</t>
        </is>
      </c>
      <c r="F74" s="339" t="inlineStr">
        <is>
          <t>H.M.E.O. Constituyentes</t>
        </is>
      </c>
      <c r="G74" s="334" t="inlineStr">
        <is>
          <t>CDMX</t>
        </is>
      </c>
      <c r="H74" s="339" t="inlineStr">
        <is>
          <t>Sistema de diagnóstico oftálmico avanzado, marca Heidelberg Engineering, modelo Spectralis</t>
        </is>
      </c>
      <c r="I74" s="339" t="inlineStr">
        <is>
          <t>Heidelberg Engineering</t>
        </is>
      </c>
      <c r="J74" s="339" t="inlineStr">
        <is>
          <t>Spectralis</t>
        </is>
      </c>
      <c r="K74" s="336" t="inlineStr">
        <is>
          <t>SPEC-CAM-21928-53610</t>
        </is>
      </c>
      <c r="L74" s="336" t="inlineStr">
        <is>
          <t>OFTALMO</t>
        </is>
      </c>
      <c r="M74" s="339" t="inlineStr">
        <is>
          <t>ARFAMEX</t>
        </is>
      </c>
      <c r="N74" s="336" t="n">
        <v>2</v>
      </c>
      <c r="O74" s="336" t="n">
        <v>4</v>
      </c>
      <c r="P74" s="337">
        <f>N74+O74</f>
        <v/>
      </c>
    </row>
    <row r="75" ht="19.95" customHeight="1" s="227">
      <c r="A75" s="331" t="n">
        <v>59</v>
      </c>
      <c r="B75" s="332" t="inlineStr">
        <is>
          <t>BM-062</t>
        </is>
      </c>
      <c r="C75" s="332" t="n">
        <v>82</v>
      </c>
      <c r="D75" s="333" t="inlineStr">
        <is>
          <t>Ing. Sophia López Ramírez</t>
        </is>
      </c>
      <c r="E75" s="334" t="inlineStr">
        <is>
          <t>● ROSA</t>
        </is>
      </c>
      <c r="F75" s="335" t="inlineStr">
        <is>
          <t>H.M.E.O. Constituyentes</t>
        </is>
      </c>
      <c r="G75" s="334" t="inlineStr">
        <is>
          <t>CDMX</t>
        </is>
      </c>
      <c r="H75" s="335" t="inlineStr">
        <is>
          <t>Retinógrafo de campo ultra amplio, marca Optos, modelo California</t>
        </is>
      </c>
      <c r="I75" s="335" t="inlineStr">
        <is>
          <t>Optos</t>
        </is>
      </c>
      <c r="J75" s="335" t="inlineStr">
        <is>
          <t>California</t>
        </is>
      </c>
      <c r="K75" s="331" t="inlineStr">
        <is>
          <t>41652</t>
        </is>
      </c>
      <c r="L75" s="331" t="inlineStr">
        <is>
          <t>OFTALMO</t>
        </is>
      </c>
      <c r="M75" s="335" t="inlineStr">
        <is>
          <t>DEWIMED</t>
        </is>
      </c>
      <c r="N75" s="331" t="n">
        <v>1</v>
      </c>
      <c r="O75" s="331" t="n">
        <v>2</v>
      </c>
      <c r="P75" s="332">
        <f>N75+O75</f>
        <v/>
      </c>
    </row>
    <row r="76" ht="19.95" customHeight="1" s="227">
      <c r="A76" s="336" t="n">
        <v>60</v>
      </c>
      <c r="B76" s="337" t="inlineStr">
        <is>
          <t>BM-063</t>
        </is>
      </c>
      <c r="C76" s="337" t="n">
        <v>83</v>
      </c>
      <c r="D76" s="338" t="inlineStr">
        <is>
          <t>Ing. Sophia López Ramírez</t>
        </is>
      </c>
      <c r="E76" s="334" t="inlineStr">
        <is>
          <t>● ROSA</t>
        </is>
      </c>
      <c r="F76" s="339" t="inlineStr">
        <is>
          <t>H.M.E.O. Constituyentes</t>
        </is>
      </c>
      <c r="G76" s="334" t="inlineStr">
        <is>
          <t>CDMX</t>
        </is>
      </c>
      <c r="H76" s="339" t="inlineStr">
        <is>
          <t>Retinógrafo de campo ultra amplio, marca Optos, modelo California</t>
        </is>
      </c>
      <c r="I76" s="339" t="inlineStr">
        <is>
          <t>Optos</t>
        </is>
      </c>
      <c r="J76" s="339" t="inlineStr">
        <is>
          <t>California</t>
        </is>
      </c>
      <c r="K76" s="336" t="inlineStr">
        <is>
          <t>41656</t>
        </is>
      </c>
      <c r="L76" s="336" t="inlineStr">
        <is>
          <t>OFTALMO</t>
        </is>
      </c>
      <c r="M76" s="339" t="inlineStr">
        <is>
          <t>DEWIMED</t>
        </is>
      </c>
      <c r="N76" s="336" t="n">
        <v>1</v>
      </c>
      <c r="O76" s="336" t="n">
        <v>2</v>
      </c>
      <c r="P76" s="337">
        <f>N76+O76</f>
        <v/>
      </c>
    </row>
    <row r="77" ht="19.95" customHeight="1" s="227">
      <c r="A77" s="331" t="n">
        <v>61</v>
      </c>
      <c r="B77" s="332" t="inlineStr">
        <is>
          <t>BM-127</t>
        </is>
      </c>
      <c r="C77" s="332" t="n">
        <v>213</v>
      </c>
      <c r="D77" s="333" t="inlineStr">
        <is>
          <t>Ing. Sophia López Ramírez</t>
        </is>
      </c>
      <c r="E77" s="334" t="inlineStr">
        <is>
          <t>● ROSA</t>
        </is>
      </c>
      <c r="F77" s="335" t="inlineStr">
        <is>
          <t>H.M.E.O. Constituyentes</t>
        </is>
      </c>
      <c r="G77" s="334" t="inlineStr">
        <is>
          <t>CDMX</t>
        </is>
      </c>
      <c r="H77" s="335" t="inlineStr">
        <is>
          <t>Ultrasonido modo A-B y UBM, marca Quantel Medical, modelo Compact Touch</t>
        </is>
      </c>
      <c r="I77" s="335" t="inlineStr">
        <is>
          <t>Quantel Medical</t>
        </is>
      </c>
      <c r="J77" s="335" t="inlineStr">
        <is>
          <t>Compact Touch</t>
        </is>
      </c>
      <c r="K77" s="331" t="inlineStr">
        <is>
          <t>2746</t>
        </is>
      </c>
      <c r="L77" s="331" t="inlineStr">
        <is>
          <t>OFTALMO</t>
        </is>
      </c>
      <c r="M77" s="335" t="inlineStr">
        <is>
          <t>ARFAMEX</t>
        </is>
      </c>
      <c r="N77" s="331" t="n">
        <v>1</v>
      </c>
      <c r="O77" s="331" t="n">
        <v>2</v>
      </c>
      <c r="P77" s="332">
        <f>N77+O77</f>
        <v/>
      </c>
    </row>
    <row r="78" ht="19.95" customHeight="1" s="227">
      <c r="A78" s="336" t="n">
        <v>62</v>
      </c>
      <c r="B78" s="337" t="inlineStr">
        <is>
          <t>BM-074</t>
        </is>
      </c>
      <c r="C78" s="337" t="n">
        <v>214</v>
      </c>
      <c r="D78" s="338" t="inlineStr">
        <is>
          <t>Ing. Sophia López Ramírez</t>
        </is>
      </c>
      <c r="E78" s="334" t="inlineStr">
        <is>
          <t>● ROSA</t>
        </is>
      </c>
      <c r="F78" s="339" t="inlineStr">
        <is>
          <t>H.M.E.O. Constituyentes</t>
        </is>
      </c>
      <c r="G78" s="334" t="inlineStr">
        <is>
          <t>CDMX</t>
        </is>
      </c>
      <c r="H78" s="339" t="inlineStr">
        <is>
          <t>Cámara de Scheimpflug, marca Oculus, modelo Pentacam HR</t>
        </is>
      </c>
      <c r="I78" s="339" t="inlineStr">
        <is>
          <t>Oculus</t>
        </is>
      </c>
      <c r="J78" s="339" t="inlineStr">
        <is>
          <t>Pentacam HR</t>
        </is>
      </c>
      <c r="K78" s="336" t="inlineStr">
        <is>
          <t>64835160</t>
        </is>
      </c>
      <c r="L78" s="336" t="inlineStr">
        <is>
          <t>OFTALMO</t>
        </is>
      </c>
      <c r="M78" s="339" t="inlineStr">
        <is>
          <t>CYAN</t>
        </is>
      </c>
      <c r="N78" s="336" t="n">
        <v>1</v>
      </c>
      <c r="O78" s="336" t="n">
        <v>2</v>
      </c>
      <c r="P78" s="337">
        <f>N78+O78</f>
        <v/>
      </c>
    </row>
    <row r="79" ht="19.95" customHeight="1" s="227">
      <c r="A79" s="331" t="n">
        <v>63</v>
      </c>
      <c r="B79" s="332" t="inlineStr">
        <is>
          <t>BM-075</t>
        </is>
      </c>
      <c r="C79" s="332" t="n">
        <v>215</v>
      </c>
      <c r="D79" s="333" t="inlineStr">
        <is>
          <t>Ing. Sophia López Ramírez</t>
        </is>
      </c>
      <c r="E79" s="334" t="inlineStr">
        <is>
          <t>● ROSA</t>
        </is>
      </c>
      <c r="F79" s="335" t="inlineStr">
        <is>
          <t>H.M.E.O. Constituyentes</t>
        </is>
      </c>
      <c r="G79" s="334" t="inlineStr">
        <is>
          <t>CDMX</t>
        </is>
      </c>
      <c r="H79" s="335" t="inlineStr">
        <is>
          <t>Unidad de banco de ojos, marca Varios, modelo Varios</t>
        </is>
      </c>
      <c r="I79" s="335" t="inlineStr">
        <is>
          <t>Varios</t>
        </is>
      </c>
      <c r="J79" s="335" t="inlineStr">
        <is>
          <t>Varios</t>
        </is>
      </c>
      <c r="K79" s="331" t="inlineStr">
        <is>
          <t>Varios</t>
        </is>
      </c>
      <c r="L79" s="331" t="inlineStr">
        <is>
          <t>OFTALMO</t>
        </is>
      </c>
      <c r="M79" s="335" t="inlineStr">
        <is>
          <t>MD</t>
        </is>
      </c>
      <c r="N79" s="331" t="n">
        <v>1</v>
      </c>
      <c r="O79" s="331" t="n">
        <v>2</v>
      </c>
      <c r="P79" s="332">
        <f>N79+O79</f>
        <v/>
      </c>
    </row>
    <row r="80" ht="19.95" customHeight="1" s="227">
      <c r="A80" s="336" t="n">
        <v>64</v>
      </c>
      <c r="B80" s="337" t="inlineStr">
        <is>
          <t>BM-085</t>
        </is>
      </c>
      <c r="C80" s="337" t="n">
        <v>283</v>
      </c>
      <c r="D80" s="338" t="inlineStr">
        <is>
          <t>Ing. Sophia López Ramírez</t>
        </is>
      </c>
      <c r="E80" s="334" t="inlineStr">
        <is>
          <t>● ROSA</t>
        </is>
      </c>
      <c r="F80" s="339" t="inlineStr">
        <is>
          <t>H.M.E.O. Constituyentes</t>
        </is>
      </c>
      <c r="G80" s="334" t="inlineStr">
        <is>
          <t>CDMX</t>
        </is>
      </c>
      <c r="H80" s="339" t="inlineStr">
        <is>
          <t>Láser excimer, marca Bausch &amp; Lomb, modelo Zyoptix XP</t>
        </is>
      </c>
      <c r="I80" s="339" t="inlineStr">
        <is>
          <t>Bausch &amp; Lomb</t>
        </is>
      </c>
      <c r="J80" s="339" t="inlineStr">
        <is>
          <t>Zyoptix XP</t>
        </is>
      </c>
      <c r="K80" s="336" t="inlineStr">
        <is>
          <t>2805</t>
        </is>
      </c>
      <c r="L80" s="336" t="inlineStr">
        <is>
          <t>OFTALMO</t>
        </is>
      </c>
      <c r="M80" s="339" t="inlineStr">
        <is>
          <t>BAUSH</t>
        </is>
      </c>
      <c r="N80" s="336" t="n">
        <v>1</v>
      </c>
      <c r="O80" s="336" t="n">
        <v>2</v>
      </c>
      <c r="P80" s="337">
        <f>N80+O80</f>
        <v/>
      </c>
    </row>
    <row r="81" ht="19.95" customHeight="1" s="227">
      <c r="A81" s="331" t="n">
        <v>65</v>
      </c>
      <c r="B81" s="332" t="inlineStr">
        <is>
          <t>BM-086</t>
        </is>
      </c>
      <c r="C81" s="332" t="n">
        <v>291</v>
      </c>
      <c r="D81" s="333" t="inlineStr">
        <is>
          <t>Ing. Sophia López Ramírez</t>
        </is>
      </c>
      <c r="E81" s="334" t="inlineStr">
        <is>
          <t>● ROSA</t>
        </is>
      </c>
      <c r="F81" s="335" t="inlineStr">
        <is>
          <t>H.M.E.O. Constituyentes</t>
        </is>
      </c>
      <c r="G81" s="334" t="inlineStr">
        <is>
          <t>CDMX</t>
        </is>
      </c>
      <c r="H81" s="335" t="inlineStr">
        <is>
          <t>Láser excimer, marca Bausch &amp; Lomb, modelo Zyoptix XP</t>
        </is>
      </c>
      <c r="I81" s="335" t="inlineStr">
        <is>
          <t>Bausch &amp; Lomb</t>
        </is>
      </c>
      <c r="J81" s="335" t="inlineStr">
        <is>
          <t>Zyoptix XP</t>
        </is>
      </c>
      <c r="K81" s="331" t="inlineStr">
        <is>
          <t>XL500322</t>
        </is>
      </c>
      <c r="L81" s="331" t="inlineStr">
        <is>
          <t>OFTALMO</t>
        </is>
      </c>
      <c r="M81" s="335" t="inlineStr">
        <is>
          <t>BAUSH</t>
        </is>
      </c>
      <c r="N81" s="331" t="n">
        <v>1</v>
      </c>
      <c r="O81" s="331" t="n">
        <v>2</v>
      </c>
      <c r="P81" s="332">
        <f>N81+O81</f>
        <v/>
      </c>
    </row>
    <row r="82" ht="19.95" customHeight="1" s="227">
      <c r="A82" s="336" t="n">
        <v>66</v>
      </c>
      <c r="B82" s="337" t="inlineStr">
        <is>
          <t>BM-087</t>
        </is>
      </c>
      <c r="C82" s="337" t="n">
        <v>292</v>
      </c>
      <c r="D82" s="338" t="inlineStr">
        <is>
          <t>Ing. Sophia López Ramírez</t>
        </is>
      </c>
      <c r="E82" s="334" t="inlineStr">
        <is>
          <t>● ROSA</t>
        </is>
      </c>
      <c r="F82" s="339" t="inlineStr">
        <is>
          <t>H.M.E.O. Constituyentes</t>
        </is>
      </c>
      <c r="G82" s="334" t="inlineStr">
        <is>
          <t>CDMX</t>
        </is>
      </c>
      <c r="H82" s="339" t="inlineStr">
        <is>
          <t>Microscopio especular, marca Konan, modelo CellChek XL NSP9900</t>
        </is>
      </c>
      <c r="I82" s="339" t="inlineStr">
        <is>
          <t>Konan</t>
        </is>
      </c>
      <c r="J82" s="339" t="inlineStr">
        <is>
          <t>CellChek XL NSP9900</t>
        </is>
      </c>
      <c r="K82" s="336" t="inlineStr">
        <is>
          <t>NPA-3-1816</t>
        </is>
      </c>
      <c r="L82" s="336" t="inlineStr">
        <is>
          <t>OFTALMO</t>
        </is>
      </c>
      <c r="M82" s="339" t="inlineStr">
        <is>
          <t>TECHNOMIX</t>
        </is>
      </c>
      <c r="N82" s="336" t="n">
        <v>1</v>
      </c>
      <c r="O82" s="336" t="n">
        <v>2</v>
      </c>
      <c r="P82" s="337">
        <f>N82+O82</f>
        <v/>
      </c>
    </row>
    <row r="83" ht="19.95" customHeight="1" s="227">
      <c r="A83" s="331" t="n">
        <v>67</v>
      </c>
      <c r="B83" s="332" t="inlineStr">
        <is>
          <t>BM-096</t>
        </is>
      </c>
      <c r="C83" s="332" t="n">
        <v>338</v>
      </c>
      <c r="D83" s="333" t="inlineStr">
        <is>
          <t>Ing. Sophia López Ramírez</t>
        </is>
      </c>
      <c r="E83" s="334" t="inlineStr">
        <is>
          <t>● ROSA</t>
        </is>
      </c>
      <c r="F83" s="335" t="inlineStr">
        <is>
          <t>H.M.E.O. Constituyentes</t>
        </is>
      </c>
      <c r="G83" s="334" t="inlineStr">
        <is>
          <t>CDMX</t>
        </is>
      </c>
      <c r="H83" s="335" t="inlineStr">
        <is>
          <t>Láser de femtosegundo, marca Alcon, modelo LenSx</t>
        </is>
      </c>
      <c r="I83" s="335" t="inlineStr">
        <is>
          <t>Alcon</t>
        </is>
      </c>
      <c r="J83" s="335" t="inlineStr">
        <is>
          <t>LenSx</t>
        </is>
      </c>
      <c r="K83" s="331" t="inlineStr">
        <is>
          <t>2102004501X</t>
        </is>
      </c>
      <c r="L83" s="331" t="inlineStr">
        <is>
          <t>OFTALMO</t>
        </is>
      </c>
      <c r="M83" s="335" t="inlineStr">
        <is>
          <t>ALCON</t>
        </is>
      </c>
      <c r="N83" s="331" t="n">
        <v>1</v>
      </c>
      <c r="O83" s="331" t="n">
        <v>2</v>
      </c>
      <c r="P83" s="332">
        <f>N83+O83</f>
        <v/>
      </c>
    </row>
    <row r="84" ht="19.95" customHeight="1" s="227">
      <c r="A84" s="336" t="n">
        <v>68</v>
      </c>
      <c r="B84" s="337" t="inlineStr">
        <is>
          <t>BM-097</t>
        </is>
      </c>
      <c r="C84" s="337" t="n">
        <v>351</v>
      </c>
      <c r="D84" s="338" t="inlineStr">
        <is>
          <t>Ing. Sophia López Ramírez</t>
        </is>
      </c>
      <c r="E84" s="334" t="inlineStr">
        <is>
          <t>● ROSA</t>
        </is>
      </c>
      <c r="F84" s="339" t="inlineStr">
        <is>
          <t>H.M.E.O. Constituyentes</t>
        </is>
      </c>
      <c r="G84" s="334" t="inlineStr">
        <is>
          <t>CDMX</t>
        </is>
      </c>
      <c r="H84" s="339" t="inlineStr">
        <is>
          <t>Sistema de diagnóstico oftálmico avanzado, marca Nidek, modelo OPD-Scan III</t>
        </is>
      </c>
      <c r="I84" s="339" t="inlineStr">
        <is>
          <t>Nidek</t>
        </is>
      </c>
      <c r="J84" s="339" t="inlineStr">
        <is>
          <t>OPD-Scan III</t>
        </is>
      </c>
      <c r="K84" s="336" t="inlineStr">
        <is>
          <t>470023</t>
        </is>
      </c>
      <c r="L84" s="336" t="inlineStr">
        <is>
          <t>OFTALMO</t>
        </is>
      </c>
      <c r="M84" s="339" t="inlineStr">
        <is>
          <t>S4</t>
        </is>
      </c>
      <c r="N84" s="336" t="n">
        <v>1</v>
      </c>
      <c r="O84" s="336" t="n">
        <v>2</v>
      </c>
      <c r="P84" s="337">
        <f>N84+O84</f>
        <v/>
      </c>
    </row>
    <row r="85" ht="19.95" customHeight="1" s="227">
      <c r="A85" s="331" t="n">
        <v>69</v>
      </c>
      <c r="B85" s="332" t="inlineStr">
        <is>
          <t>BM-001</t>
        </is>
      </c>
      <c r="C85" s="332" t="n">
        <v>6</v>
      </c>
      <c r="D85" s="333" t="inlineStr">
        <is>
          <t>Ing. Axel Evangelista Salinas</t>
        </is>
      </c>
      <c r="E85" s="340" t="inlineStr">
        <is>
          <t>● ROJO</t>
        </is>
      </c>
      <c r="F85" s="335" t="inlineStr">
        <is>
          <t>H.C.M. Lomas de Sotelo</t>
        </is>
      </c>
      <c r="G85" s="340" t="inlineStr">
        <is>
          <t>CDMX</t>
        </is>
      </c>
      <c r="H85" s="335" t="inlineStr">
        <is>
          <t>Microscopio avanzado, marca Leica, modelo M320F12</t>
        </is>
      </c>
      <c r="I85" s="335" t="inlineStr">
        <is>
          <t>Leica</t>
        </is>
      </c>
      <c r="J85" s="335" t="inlineStr">
        <is>
          <t>M320F12</t>
        </is>
      </c>
      <c r="K85" s="331" t="inlineStr">
        <is>
          <t>10724001</t>
        </is>
      </c>
      <c r="L85" s="331" t="inlineStr">
        <is>
          <t>OFTALMO</t>
        </is>
      </c>
      <c r="M85" s="335" t="inlineStr">
        <is>
          <t>COINDISA</t>
        </is>
      </c>
      <c r="N85" s="331" t="n">
        <v>1</v>
      </c>
      <c r="O85" s="331" t="n">
        <v>2</v>
      </c>
      <c r="P85" s="332">
        <f>N85+O85</f>
        <v/>
      </c>
    </row>
    <row r="86" ht="19.95" customHeight="1" s="227">
      <c r="A86" s="336" t="n">
        <v>70</v>
      </c>
      <c r="B86" s="337" t="inlineStr">
        <is>
          <t>BM-103</t>
        </is>
      </c>
      <c r="C86" s="337" t="n">
        <v>107</v>
      </c>
      <c r="D86" s="338" t="inlineStr">
        <is>
          <t>Ing. Axel Evangelista Salinas</t>
        </is>
      </c>
      <c r="E86" s="340" t="inlineStr">
        <is>
          <t>● ROJO</t>
        </is>
      </c>
      <c r="F86" s="339" t="inlineStr">
        <is>
          <t>H.C.M. Lomas de Sotelo</t>
        </is>
      </c>
      <c r="G86" s="340" t="inlineStr">
        <is>
          <t>CDMX</t>
        </is>
      </c>
      <c r="H86" s="339" t="inlineStr">
        <is>
          <t>Rayos X móvil, marca Fujifilm, modelo DR-XD 1000</t>
        </is>
      </c>
      <c r="I86" s="339" t="inlineStr">
        <is>
          <t>Fujifilm</t>
        </is>
      </c>
      <c r="J86" s="339" t="inlineStr">
        <is>
          <t>DR-XD 1000</t>
        </is>
      </c>
      <c r="K86" s="336" t="inlineStr">
        <is>
          <t>77250288</t>
        </is>
      </c>
      <c r="L86" s="336" t="inlineStr">
        <is>
          <t>IMAGEN</t>
        </is>
      </c>
      <c r="M86" s="339" t="inlineStr">
        <is>
          <t>Médica Dimegar</t>
        </is>
      </c>
      <c r="N86" s="336" t="n">
        <v>1</v>
      </c>
      <c r="O86" s="336" t="n">
        <v>2</v>
      </c>
      <c r="P86" s="337">
        <f>N86+O86</f>
        <v/>
      </c>
    </row>
    <row r="87" ht="19.95" customHeight="1" s="227">
      <c r="A87" s="331" t="n">
        <v>71</v>
      </c>
      <c r="B87" s="332" t="inlineStr">
        <is>
          <t>BM-069</t>
        </is>
      </c>
      <c r="C87" s="332" t="n">
        <v>156</v>
      </c>
      <c r="D87" s="333" t="inlineStr">
        <is>
          <t>Ing. Axel Evangelista Salinas</t>
        </is>
      </c>
      <c r="E87" s="340" t="inlineStr">
        <is>
          <t>● ROJO</t>
        </is>
      </c>
      <c r="F87" s="335" t="inlineStr">
        <is>
          <t>H.C.M. Lomas de Sotelo</t>
        </is>
      </c>
      <c r="G87" s="340" t="inlineStr">
        <is>
          <t>CDMX</t>
        </is>
      </c>
      <c r="H87" s="335" t="inlineStr">
        <is>
          <t>Equipo de rayos X móvil, marca Technix, modelo TMS 320</t>
        </is>
      </c>
      <c r="I87" s="335" t="inlineStr">
        <is>
          <t>Technix</t>
        </is>
      </c>
      <c r="J87" s="335" t="inlineStr">
        <is>
          <t>TMS 320</t>
        </is>
      </c>
      <c r="K87" s="331" t="inlineStr">
        <is>
          <t>80-16-79-150</t>
        </is>
      </c>
      <c r="L87" s="331" t="inlineStr">
        <is>
          <t>IMAGEN</t>
        </is>
      </c>
      <c r="M87" s="335" t="inlineStr">
        <is>
          <t>Médica Dimegar</t>
        </is>
      </c>
      <c r="N87" s="331" t="n">
        <v>1</v>
      </c>
      <c r="O87" s="331" t="n">
        <v>2</v>
      </c>
      <c r="P87" s="332">
        <f>N87+O87</f>
        <v/>
      </c>
    </row>
    <row r="88" ht="19.95" customHeight="1" s="227">
      <c r="A88" s="336" t="n">
        <v>72</v>
      </c>
      <c r="B88" s="337" t="inlineStr">
        <is>
          <t>BM-071</t>
        </is>
      </c>
      <c r="C88" s="337" t="n">
        <v>185</v>
      </c>
      <c r="D88" s="338" t="inlineStr">
        <is>
          <t>Ing. Axel Evangelista Salinas</t>
        </is>
      </c>
      <c r="E88" s="340" t="inlineStr">
        <is>
          <t>● ROJO</t>
        </is>
      </c>
      <c r="F88" s="339" t="inlineStr">
        <is>
          <t>H.C.M. Lomas de Sotelo</t>
        </is>
      </c>
      <c r="G88" s="340" t="inlineStr">
        <is>
          <t>CDMX</t>
        </is>
      </c>
      <c r="H88" s="339" t="inlineStr">
        <is>
          <t>Sistema de diagnóstico oftálmico avanzado, marca Heidelberg Engineering, modelo Spectralis</t>
        </is>
      </c>
      <c r="I88" s="339" t="inlineStr">
        <is>
          <t>Heidelberg Engineering</t>
        </is>
      </c>
      <c r="J88" s="339" t="inlineStr">
        <is>
          <t>Spectralis</t>
        </is>
      </c>
      <c r="K88" s="336" t="inlineStr">
        <is>
          <t>SPECT-KT-05789</t>
        </is>
      </c>
      <c r="L88" s="336" t="inlineStr">
        <is>
          <t>OFTALMO</t>
        </is>
      </c>
      <c r="M88" s="339" t="inlineStr">
        <is>
          <t>ARFAMEX</t>
        </is>
      </c>
      <c r="N88" s="336" t="n">
        <v>2</v>
      </c>
      <c r="O88" s="336" t="n">
        <v>4</v>
      </c>
      <c r="P88" s="337">
        <f>N88+O88</f>
        <v/>
      </c>
    </row>
    <row r="89" ht="19.95" customHeight="1" s="227">
      <c r="A89" s="331" t="n">
        <v>73</v>
      </c>
      <c r="B89" s="332" t="inlineStr">
        <is>
          <t>BM-104</t>
        </is>
      </c>
      <c r="C89" s="332" t="n">
        <v>111</v>
      </c>
      <c r="D89" s="333" t="inlineStr">
        <is>
          <t>Ing. Axel Evangelista Salinas</t>
        </is>
      </c>
      <c r="E89" s="340" t="inlineStr">
        <is>
          <t>● ROJO</t>
        </is>
      </c>
      <c r="F89" s="335" t="inlineStr">
        <is>
          <t>H.M.E.M. Y N. Lomas de Sotelo</t>
        </is>
      </c>
      <c r="G89" s="340" t="inlineStr">
        <is>
          <t>CDMX</t>
        </is>
      </c>
      <c r="H89" s="335" t="inlineStr">
        <is>
          <t>Rayos X móvil, marca Fujifilm, modelo FDR Go</t>
        </is>
      </c>
      <c r="I89" s="335" t="inlineStr">
        <is>
          <t>Fujifilm</t>
        </is>
      </c>
      <c r="J89" s="335" t="inlineStr">
        <is>
          <t>FDR Go</t>
        </is>
      </c>
      <c r="K89" s="331" t="inlineStr">
        <is>
          <t>566-19888-11</t>
        </is>
      </c>
      <c r="L89" s="331" t="inlineStr">
        <is>
          <t>IMAGEN</t>
        </is>
      </c>
      <c r="M89" s="335" t="inlineStr">
        <is>
          <t>Médica Dimegar</t>
        </is>
      </c>
      <c r="N89" s="331" t="n">
        <v>1</v>
      </c>
      <c r="O89" s="331" t="n">
        <v>2</v>
      </c>
      <c r="P89" s="332">
        <f>N89+O89</f>
        <v/>
      </c>
    </row>
    <row r="90" ht="19.95" customHeight="1" s="227">
      <c r="A90" s="336" t="n">
        <v>74</v>
      </c>
      <c r="B90" s="337" t="inlineStr">
        <is>
          <t>BM-067</t>
        </is>
      </c>
      <c r="C90" s="337" t="n">
        <v>112</v>
      </c>
      <c r="D90" s="338" t="inlineStr">
        <is>
          <t>Ing. Axel Evangelista Salinas</t>
        </is>
      </c>
      <c r="E90" s="340" t="inlineStr">
        <is>
          <t>● ROJO</t>
        </is>
      </c>
      <c r="F90" s="339" t="inlineStr">
        <is>
          <t>H.M.E.M. Y N. Lomas de Sotelo</t>
        </is>
      </c>
      <c r="G90" s="340" t="inlineStr">
        <is>
          <t>CDMX</t>
        </is>
      </c>
      <c r="H90" s="339" t="inlineStr">
        <is>
          <t>Sistema digital de imagen de campo amplio, marca Clarity Medical Systems, modelo RetCam 3</t>
        </is>
      </c>
      <c r="I90" s="339" t="inlineStr">
        <is>
          <t>Clarity Medical Systems</t>
        </is>
      </c>
      <c r="J90" s="339" t="inlineStr">
        <is>
          <t>RetCam 3</t>
        </is>
      </c>
      <c r="K90" s="336" t="inlineStr">
        <is>
          <t>RC7406</t>
        </is>
      </c>
      <c r="L90" s="336" t="inlineStr">
        <is>
          <t>OFTALMO</t>
        </is>
      </c>
      <c r="M90" s="339" t="inlineStr">
        <is>
          <t>Médica Dimegar</t>
        </is>
      </c>
      <c r="N90" s="336" t="n">
        <v>1</v>
      </c>
      <c r="O90" s="336" t="n">
        <v>2</v>
      </c>
      <c r="P90" s="337">
        <f>N90+O90</f>
        <v/>
      </c>
    </row>
    <row r="91" ht="19.95" customHeight="1" s="227">
      <c r="A91" s="331" t="n">
        <v>75</v>
      </c>
      <c r="B91" s="332" t="inlineStr">
        <is>
          <t>BM-076</t>
        </is>
      </c>
      <c r="C91" s="332" t="n">
        <v>218</v>
      </c>
      <c r="D91" s="333" t="inlineStr">
        <is>
          <t>Ing. Axel Evangelista Salinas</t>
        </is>
      </c>
      <c r="E91" s="340" t="inlineStr">
        <is>
          <t>● ROJO</t>
        </is>
      </c>
      <c r="F91" s="335" t="inlineStr">
        <is>
          <t>H.M.E.M. Y N. Lomas de Sotelo</t>
        </is>
      </c>
      <c r="G91" s="340" t="inlineStr">
        <is>
          <t>CDMX</t>
        </is>
      </c>
      <c r="H91" s="335" t="inlineStr">
        <is>
          <t>Impresora para placas radiográficas, marca Codonics, modelo Horizon Ci</t>
        </is>
      </c>
      <c r="I91" s="335" t="inlineStr">
        <is>
          <t>Codonics</t>
        </is>
      </c>
      <c r="J91" s="335" t="inlineStr">
        <is>
          <t>Horizon Ci</t>
        </is>
      </c>
      <c r="K91" s="331" t="inlineStr">
        <is>
          <t>50C00394C</t>
        </is>
      </c>
      <c r="L91" s="331" t="inlineStr">
        <is>
          <t>IMAGEN</t>
        </is>
      </c>
      <c r="M91" s="335" t="inlineStr">
        <is>
          <t>Médica Dimegar</t>
        </is>
      </c>
      <c r="N91" s="331" t="n">
        <v>1</v>
      </c>
      <c r="O91" s="331" t="n">
        <v>2</v>
      </c>
      <c r="P91" s="332">
        <f>N91+O91</f>
        <v/>
      </c>
    </row>
    <row r="92" ht="19.95" customHeight="1" s="227">
      <c r="A92" s="336" t="n">
        <v>76</v>
      </c>
      <c r="B92" s="337" t="inlineStr">
        <is>
          <t>BM-140</t>
        </is>
      </c>
      <c r="C92" s="337" t="n">
        <v>335</v>
      </c>
      <c r="D92" s="338" t="inlineStr">
        <is>
          <t>Ing. Axel Evangelista Salinas</t>
        </is>
      </c>
      <c r="E92" s="340" t="inlineStr">
        <is>
          <t>● ROJO</t>
        </is>
      </c>
      <c r="F92" s="339" t="inlineStr">
        <is>
          <t>H.M.E.M. Y N. Lomas de Sotelo</t>
        </is>
      </c>
      <c r="G92" s="340" t="inlineStr">
        <is>
          <t>CDMX</t>
        </is>
      </c>
      <c r="H92" s="339" t="inlineStr">
        <is>
          <t>Rayos X móvil, marca Philips, modelo MobileDiagnost wDR Release 2</t>
        </is>
      </c>
      <c r="I92" s="339" t="inlineStr">
        <is>
          <t>Philips</t>
        </is>
      </c>
      <c r="J92" s="339" t="inlineStr">
        <is>
          <t>MobileDiagnost wDR Release 2</t>
        </is>
      </c>
      <c r="K92" s="336" t="inlineStr">
        <is>
          <t>15100252</t>
        </is>
      </c>
      <c r="L92" s="336" t="inlineStr">
        <is>
          <t>IMAGEN</t>
        </is>
      </c>
      <c r="M92" s="339" t="inlineStr">
        <is>
          <t>Médica Dimegar</t>
        </is>
      </c>
      <c r="N92" s="336" t="n">
        <v>1</v>
      </c>
      <c r="O92" s="336" t="n">
        <v>2</v>
      </c>
      <c r="P92" s="337">
        <f>N92+O92</f>
        <v/>
      </c>
    </row>
    <row r="93" ht="19.95" customHeight="1" s="227">
      <c r="A93" s="331" t="n">
        <v>77</v>
      </c>
      <c r="B93" s="332" t="inlineStr">
        <is>
          <t>BM-111</t>
        </is>
      </c>
      <c r="C93" s="332" t="n">
        <v>162</v>
      </c>
      <c r="D93" s="333" t="inlineStr">
        <is>
          <t>Ing. Axel Evangelista Salinas</t>
        </is>
      </c>
      <c r="E93" s="340" t="inlineStr">
        <is>
          <t>● ROJO</t>
        </is>
      </c>
      <c r="F93" s="335" t="inlineStr">
        <is>
          <t>H.M.R. Tampico</t>
        </is>
      </c>
      <c r="G93" s="340" t="inlineStr">
        <is>
          <t>TAMAULIPAS</t>
        </is>
      </c>
      <c r="H93" s="335" t="inlineStr">
        <is>
          <t>Equipo de rayos X móvil, marca Technix, modelo TMS 320</t>
        </is>
      </c>
      <c r="I93" s="335" t="inlineStr">
        <is>
          <t>Technix</t>
        </is>
      </c>
      <c r="J93" s="335" t="inlineStr">
        <is>
          <t>TMS 320</t>
        </is>
      </c>
      <c r="K93" s="331" t="inlineStr">
        <is>
          <t>80-16-89-160</t>
        </is>
      </c>
      <c r="L93" s="331" t="inlineStr">
        <is>
          <t>IMAGEN</t>
        </is>
      </c>
      <c r="M93" s="335" t="inlineStr">
        <is>
          <t>Médica Dimegar</t>
        </is>
      </c>
      <c r="N93" s="331" t="n">
        <v>1</v>
      </c>
      <c r="O93" s="331" t="n">
        <v>2</v>
      </c>
      <c r="P93" s="332">
        <f>N93+O93</f>
        <v/>
      </c>
    </row>
    <row r="94" ht="19.95" customHeight="1" s="227">
      <c r="A94" s="336" t="n">
        <v>78</v>
      </c>
      <c r="B94" s="337" t="inlineStr">
        <is>
          <t>BM-105</t>
        </is>
      </c>
      <c r="C94" s="337" t="n">
        <v>134</v>
      </c>
      <c r="D94" s="338" t="inlineStr">
        <is>
          <t>Ing. Axel Evangelista Salinas</t>
        </is>
      </c>
      <c r="E94" s="340" t="inlineStr">
        <is>
          <t>● ROJO</t>
        </is>
      </c>
      <c r="F94" s="339" t="inlineStr">
        <is>
          <t>H.M.R. Tuxpan</t>
        </is>
      </c>
      <c r="G94" s="340" t="inlineStr">
        <is>
          <t>VERACRUZ</t>
        </is>
      </c>
      <c r="H94" s="339" t="inlineStr">
        <is>
          <t>Rayos X móvil, marca Fujifilm, modelo FDR Go</t>
        </is>
      </c>
      <c r="I94" s="339" t="inlineStr">
        <is>
          <t>Fujifilm</t>
        </is>
      </c>
      <c r="J94" s="339" t="inlineStr">
        <is>
          <t>FDR Go</t>
        </is>
      </c>
      <c r="K94" s="336" t="inlineStr">
        <is>
          <t>41DBBA14A019</t>
        </is>
      </c>
      <c r="L94" s="336" t="inlineStr">
        <is>
          <t>IMAGEN</t>
        </is>
      </c>
      <c r="M94" s="339" t="inlineStr">
        <is>
          <t>Médica Dimegar</t>
        </is>
      </c>
      <c r="N94" s="336" t="n">
        <v>1</v>
      </c>
      <c r="O94" s="336" t="n">
        <v>2</v>
      </c>
      <c r="P94" s="337">
        <f>N94+O94</f>
        <v/>
      </c>
    </row>
    <row r="95" ht="19.95" customHeight="1" s="227">
      <c r="A95" s="331" t="n">
        <v>79</v>
      </c>
      <c r="B95" s="332" t="inlineStr">
        <is>
          <t>BM-070</t>
        </is>
      </c>
      <c r="C95" s="332" t="n">
        <v>159</v>
      </c>
      <c r="D95" s="333" t="inlineStr">
        <is>
          <t>Ing. Axel Evangelista Salinas</t>
        </is>
      </c>
      <c r="E95" s="340" t="inlineStr">
        <is>
          <t>● ROJO</t>
        </is>
      </c>
      <c r="F95" s="335" t="inlineStr">
        <is>
          <t>H.M.R.E. Monterrey</t>
        </is>
      </c>
      <c r="G95" s="340" t="inlineStr">
        <is>
          <t>NUEVO LEON</t>
        </is>
      </c>
      <c r="H95" s="335" t="inlineStr">
        <is>
          <t>Microscopio para cirugía, marca Haag-Streit Surgical, modelo HS Hi-R 700</t>
        </is>
      </c>
      <c r="I95" s="335" t="inlineStr">
        <is>
          <t>Haag-Streit Surgical</t>
        </is>
      </c>
      <c r="J95" s="335" t="inlineStr">
        <is>
          <t>HS Hi-R 700</t>
        </is>
      </c>
      <c r="K95" s="331" t="inlineStr">
        <is>
          <t>1303</t>
        </is>
      </c>
      <c r="L95" s="331" t="inlineStr">
        <is>
          <t>OFTALMO</t>
        </is>
      </c>
      <c r="M95" s="335" t="inlineStr">
        <is>
          <t>DEWIMED</t>
        </is>
      </c>
      <c r="N95" s="331" t="n">
        <v>1</v>
      </c>
      <c r="O95" s="331" t="n">
        <v>2</v>
      </c>
      <c r="P95" s="332">
        <f>N95+O95</f>
        <v/>
      </c>
    </row>
    <row r="96" ht="19.95" customHeight="1" s="227">
      <c r="A96" s="336" t="n">
        <v>80</v>
      </c>
      <c r="B96" s="337" t="inlineStr">
        <is>
          <t>BM-072</t>
        </is>
      </c>
      <c r="C96" s="337" t="n">
        <v>196</v>
      </c>
      <c r="D96" s="338" t="inlineStr">
        <is>
          <t>Ing. Axel Evangelista Salinas</t>
        </is>
      </c>
      <c r="E96" s="340" t="inlineStr">
        <is>
          <t>● ROJO</t>
        </is>
      </c>
      <c r="F96" s="339" t="inlineStr">
        <is>
          <t>H.M.R.E. Monterrey</t>
        </is>
      </c>
      <c r="G96" s="340" t="inlineStr">
        <is>
          <t>NUEVO LEON</t>
        </is>
      </c>
      <c r="H96" s="339" t="inlineStr">
        <is>
          <t>Sistema de digitalización de imágenes, marca SUNI, modelo SUNI</t>
        </is>
      </c>
      <c r="I96" s="339" t="inlineStr">
        <is>
          <t>SUNI</t>
        </is>
      </c>
      <c r="J96" s="339" t="inlineStr">
        <is>
          <t>SUNI</t>
        </is>
      </c>
      <c r="K96" s="336" t="inlineStr">
        <is>
          <t>DI2014106149</t>
        </is>
      </c>
      <c r="L96" s="336" t="inlineStr">
        <is>
          <t>IMAGEN</t>
        </is>
      </c>
      <c r="M96" s="339" t="inlineStr">
        <is>
          <t>Médica Dimegar</t>
        </is>
      </c>
      <c r="N96" s="336" t="n">
        <v>1</v>
      </c>
      <c r="O96" s="336" t="n">
        <v>2</v>
      </c>
      <c r="P96" s="337">
        <f>N96+O96</f>
        <v/>
      </c>
    </row>
    <row r="97" ht="19.95" customHeight="1" s="227">
      <c r="A97" s="331" t="n">
        <v>81</v>
      </c>
      <c r="B97" s="332" t="inlineStr">
        <is>
          <t>BM-141</t>
        </is>
      </c>
      <c r="C97" s="332" t="n">
        <v>336</v>
      </c>
      <c r="D97" s="333" t="inlineStr">
        <is>
          <t>Ing. Axel Evangelista Salinas</t>
        </is>
      </c>
      <c r="E97" s="340" t="inlineStr">
        <is>
          <t>● ROJO</t>
        </is>
      </c>
      <c r="F97" s="335" t="inlineStr">
        <is>
          <t>H.M.R.E. Monterrey</t>
        </is>
      </c>
      <c r="G97" s="340" t="inlineStr">
        <is>
          <t>NUEVO LEON</t>
        </is>
      </c>
      <c r="H97" s="335" t="inlineStr">
        <is>
          <t>Rayos X móvil, marca Philips, modelo MobileDiagnost wDR Release 2</t>
        </is>
      </c>
      <c r="I97" s="335" t="inlineStr">
        <is>
          <t>Philips</t>
        </is>
      </c>
      <c r="J97" s="335" t="inlineStr">
        <is>
          <t>MobileDiagnost wDR Release 2</t>
        </is>
      </c>
      <c r="K97" s="331" t="inlineStr">
        <is>
          <t>16200158</t>
        </is>
      </c>
      <c r="L97" s="331" t="inlineStr">
        <is>
          <t>IMAGEN</t>
        </is>
      </c>
      <c r="M97" s="335" t="inlineStr">
        <is>
          <t>Médica Dimegar</t>
        </is>
      </c>
      <c r="N97" s="331" t="n">
        <v>1</v>
      </c>
      <c r="O97" s="331" t="n">
        <v>2</v>
      </c>
      <c r="P97" s="332">
        <f>N97+O97</f>
        <v/>
      </c>
    </row>
    <row r="98" ht="19.95" customHeight="1" s="227">
      <c r="A98" s="336" t="n">
        <v>82</v>
      </c>
      <c r="B98" s="337" t="inlineStr">
        <is>
          <t>BM-098</t>
        </is>
      </c>
      <c r="C98" s="337" t="n">
        <v>357</v>
      </c>
      <c r="D98" s="338" t="inlineStr">
        <is>
          <t>Ing. Axel Evangelista Salinas</t>
        </is>
      </c>
      <c r="E98" s="340" t="inlineStr">
        <is>
          <t>● ROJO</t>
        </is>
      </c>
      <c r="F98" s="339" t="inlineStr">
        <is>
          <t>H.M.R.E. Monterrey</t>
        </is>
      </c>
      <c r="G98" s="340" t="inlineStr">
        <is>
          <t>NUEVO LEON</t>
        </is>
      </c>
      <c r="H98" s="339" t="inlineStr">
        <is>
          <t>Topógrafo corneal, marca Zeiss, modelo Atlas 9000</t>
        </is>
      </c>
      <c r="I98" s="339" t="inlineStr">
        <is>
          <t>Zeiss</t>
        </is>
      </c>
      <c r="J98" s="339" t="inlineStr">
        <is>
          <t>Atlas 9000</t>
        </is>
      </c>
      <c r="K98" s="336" t="inlineStr">
        <is>
          <t>9000-2972</t>
        </is>
      </c>
      <c r="L98" s="336" t="inlineStr">
        <is>
          <t>OFTALMO</t>
        </is>
      </c>
      <c r="M98" s="339" t="inlineStr">
        <is>
          <t>ZEISS</t>
        </is>
      </c>
      <c r="N98" s="336" t="n">
        <v>1</v>
      </c>
      <c r="O98" s="336" t="n">
        <v>2</v>
      </c>
      <c r="P98" s="337">
        <f>N98+O98</f>
        <v/>
      </c>
    </row>
    <row r="99" ht="19.95" customHeight="1" s="227">
      <c r="A99" s="331" t="n">
        <v>83</v>
      </c>
      <c r="B99" s="332" t="inlineStr">
        <is>
          <t>BM-094</t>
        </is>
      </c>
      <c r="C99" s="332" t="n">
        <v>319</v>
      </c>
      <c r="D99" s="333" t="inlineStr">
        <is>
          <t>Ing. Axel Evangelista Salinas</t>
        </is>
      </c>
      <c r="E99" s="340" t="inlineStr">
        <is>
          <t>● ROJO</t>
        </is>
      </c>
      <c r="F99" s="335" t="inlineStr">
        <is>
          <t>H.M.Z. Campo Militar No. 1-A</t>
        </is>
      </c>
      <c r="G99" s="340" t="inlineStr">
        <is>
          <t>CDMX</t>
        </is>
      </c>
      <c r="H99" s="335" t="inlineStr">
        <is>
          <t>Arco en C, marca Ziehm Imaging, modelo Vision R</t>
        </is>
      </c>
      <c r="I99" s="335" t="inlineStr">
        <is>
          <t>Ziehm Imaging</t>
        </is>
      </c>
      <c r="J99" s="335" t="inlineStr">
        <is>
          <t>Vision R</t>
        </is>
      </c>
      <c r="K99" s="331" t="inlineStr">
        <is>
          <t>10705</t>
        </is>
      </c>
      <c r="L99" s="331" t="inlineStr">
        <is>
          <t>IMAGEN</t>
        </is>
      </c>
      <c r="M99" s="335" t="inlineStr">
        <is>
          <t>Médica Dimegar</t>
        </is>
      </c>
      <c r="N99" s="331" t="n">
        <v>1</v>
      </c>
      <c r="O99" s="331" t="n">
        <v>2</v>
      </c>
      <c r="P99" s="332">
        <f>N99+O99</f>
        <v/>
      </c>
    </row>
    <row r="100" ht="19.95" customHeight="1" s="227">
      <c r="A100" s="336" t="n">
        <v>84</v>
      </c>
      <c r="B100" s="337" t="inlineStr">
        <is>
          <t>BM-124</t>
        </is>
      </c>
      <c r="C100" s="337" t="n">
        <v>198</v>
      </c>
      <c r="D100" s="338" t="inlineStr">
        <is>
          <t>Ing. Axel Evangelista Salinas</t>
        </is>
      </c>
      <c r="E100" s="340" t="inlineStr">
        <is>
          <t>● ROJO</t>
        </is>
      </c>
      <c r="F100" s="339" t="inlineStr">
        <is>
          <t>H.M.Z. La Boticaría</t>
        </is>
      </c>
      <c r="G100" s="340" t="inlineStr">
        <is>
          <t>VERACRUZ</t>
        </is>
      </c>
      <c r="H100" s="339" t="inlineStr">
        <is>
          <t>Arco en C, marca Ziehm Imaging, modelo Vision R</t>
        </is>
      </c>
      <c r="I100" s="339" t="inlineStr">
        <is>
          <t>Ziehm Imaging</t>
        </is>
      </c>
      <c r="J100" s="339" t="inlineStr">
        <is>
          <t>Vision R</t>
        </is>
      </c>
      <c r="K100" s="336" t="inlineStr">
        <is>
          <t>10704</t>
        </is>
      </c>
      <c r="L100" s="336" t="inlineStr">
        <is>
          <t>IMAGEN</t>
        </is>
      </c>
      <c r="M100" s="339" t="inlineStr">
        <is>
          <t>Médica Dimegar</t>
        </is>
      </c>
      <c r="N100" s="336" t="n">
        <v>1</v>
      </c>
      <c r="O100" s="336" t="n">
        <v>2</v>
      </c>
      <c r="P100" s="337">
        <f>N100+O100</f>
        <v/>
      </c>
    </row>
    <row r="101" ht="19.95" customHeight="1" s="227">
      <c r="A101" s="331" t="n">
        <v>85</v>
      </c>
      <c r="B101" s="332" t="inlineStr">
        <is>
          <t>BM-077</t>
        </is>
      </c>
      <c r="C101" s="332" t="n">
        <v>221</v>
      </c>
      <c r="D101" s="333" t="inlineStr">
        <is>
          <t>Ing. Axel Evangelista Salinas</t>
        </is>
      </c>
      <c r="E101" s="340" t="inlineStr">
        <is>
          <t>● ROJO</t>
        </is>
      </c>
      <c r="F101" s="335" t="inlineStr">
        <is>
          <t>H.M.Z. La Boticaría</t>
        </is>
      </c>
      <c r="G101" s="340" t="inlineStr">
        <is>
          <t>VERACRUZ</t>
        </is>
      </c>
      <c r="H101" s="335" t="inlineStr">
        <is>
          <t>Sistema de digitalización de imágenes, marca Fujifilm, modelo Digitalizador: FCR Capsula XLII (CR-IR 359) Impresora: Drypix Plus</t>
        </is>
      </c>
      <c r="I101" s="335" t="inlineStr">
        <is>
          <t>Fujifilm</t>
        </is>
      </c>
      <c r="J101" s="335" t="inlineStr">
        <is>
          <t>Digitalizador: FCR Capsula XLII (CR-IR 359) Impresora: Drypix Plus</t>
        </is>
      </c>
      <c r="K101" s="331" t="inlineStr">
        <is>
          <t>Digitalizador: 46770610 Impresora: 36753809</t>
        </is>
      </c>
      <c r="L101" s="331" t="inlineStr">
        <is>
          <t>IMAGEN</t>
        </is>
      </c>
      <c r="M101" s="335" t="inlineStr">
        <is>
          <t>Médica Dimegar</t>
        </is>
      </c>
      <c r="N101" s="331" t="n">
        <v>1</v>
      </c>
      <c r="O101" s="331" t="n">
        <v>2</v>
      </c>
      <c r="P101" s="332">
        <f>N101+O101</f>
        <v/>
      </c>
    </row>
    <row r="102" ht="19.95" customHeight="1" s="227">
      <c r="A102" s="336" t="n">
        <v>86</v>
      </c>
      <c r="B102" s="337" t="inlineStr">
        <is>
          <t>BM-078</t>
        </is>
      </c>
      <c r="C102" s="337" t="n">
        <v>222</v>
      </c>
      <c r="D102" s="338" t="inlineStr">
        <is>
          <t>Ing. Axel Evangelista Salinas</t>
        </is>
      </c>
      <c r="E102" s="340" t="inlineStr">
        <is>
          <t>● ROJO</t>
        </is>
      </c>
      <c r="F102" s="339" t="inlineStr">
        <is>
          <t>H.M.Z. La Boticaría</t>
        </is>
      </c>
      <c r="G102" s="340" t="inlineStr">
        <is>
          <t>VERACRUZ</t>
        </is>
      </c>
      <c r="H102" s="339" t="inlineStr">
        <is>
          <t>Ultrasonido oftálmico, marca OPTIKON, modelo HiScan</t>
        </is>
      </c>
      <c r="I102" s="339" t="inlineStr">
        <is>
          <t>OPTIKON</t>
        </is>
      </c>
      <c r="J102" s="339" t="inlineStr">
        <is>
          <t>HiScan</t>
        </is>
      </c>
      <c r="K102" s="336" t="inlineStr">
        <is>
          <t>387BC</t>
        </is>
      </c>
      <c r="L102" s="336" t="inlineStr">
        <is>
          <t>OFTALMO</t>
        </is>
      </c>
      <c r="M102" s="339" t="inlineStr">
        <is>
          <t>OPTIKON</t>
        </is>
      </c>
      <c r="N102" s="336" t="n">
        <v>1</v>
      </c>
      <c r="O102" s="336" t="n">
        <v>2</v>
      </c>
      <c r="P102" s="337">
        <f>N102+O102</f>
        <v/>
      </c>
    </row>
    <row r="103" ht="19.95" customHeight="1" s="227">
      <c r="A103" s="331" t="n">
        <v>87</v>
      </c>
      <c r="B103" s="332" t="inlineStr">
        <is>
          <t>BM-133</t>
        </is>
      </c>
      <c r="C103" s="332" t="n">
        <v>301</v>
      </c>
      <c r="D103" s="333" t="inlineStr">
        <is>
          <t>Ing. Axel Evangelista Salinas</t>
        </is>
      </c>
      <c r="E103" s="340" t="inlineStr">
        <is>
          <t>● ROJO</t>
        </is>
      </c>
      <c r="F103" s="335" t="inlineStr">
        <is>
          <t>Subcentro de Evaluación Médica, Campo Militar 1-A</t>
        </is>
      </c>
      <c r="G103" s="340" t="inlineStr">
        <is>
          <t>CDMX</t>
        </is>
      </c>
      <c r="H103" s="335" t="inlineStr">
        <is>
          <t>Rayos X fijo, marca Osko, modelo XR5</t>
        </is>
      </c>
      <c r="I103" s="335" t="inlineStr">
        <is>
          <t>Osko</t>
        </is>
      </c>
      <c r="J103" s="335" t="inlineStr">
        <is>
          <t>XR5</t>
        </is>
      </c>
      <c r="K103" s="331" t="inlineStr">
        <is>
          <t>XRC1094990MX</t>
        </is>
      </c>
      <c r="L103" s="331" t="inlineStr">
        <is>
          <t>IMAGEN</t>
        </is>
      </c>
      <c r="M103" s="335" t="inlineStr">
        <is>
          <t>Médica Dimegar</t>
        </is>
      </c>
      <c r="N103" s="331" t="n">
        <v>1</v>
      </c>
      <c r="O103" s="331" t="n">
        <v>2</v>
      </c>
      <c r="P103" s="332">
        <f>N103+O103</f>
        <v/>
      </c>
    </row>
    <row r="104" ht="19.95" customHeight="1" s="227">
      <c r="A104" s="336" t="n">
        <v>88</v>
      </c>
      <c r="B104" s="337" t="inlineStr">
        <is>
          <t>BM-134</t>
        </is>
      </c>
      <c r="C104" s="337" t="n">
        <v>302</v>
      </c>
      <c r="D104" s="338" t="inlineStr">
        <is>
          <t>Ing. Axel Evangelista Salinas</t>
        </is>
      </c>
      <c r="E104" s="340" t="inlineStr">
        <is>
          <t>● ROJO</t>
        </is>
      </c>
      <c r="F104" s="339" t="inlineStr">
        <is>
          <t>Subcentro de Evaluación Médica, Campo Militar 1-A</t>
        </is>
      </c>
      <c r="G104" s="340" t="inlineStr">
        <is>
          <t>CDMX</t>
        </is>
      </c>
      <c r="H104" s="339" t="inlineStr">
        <is>
          <t>Rayos X fijo, marca Osko, modelo XR5</t>
        </is>
      </c>
      <c r="I104" s="339" t="inlineStr">
        <is>
          <t>Osko</t>
        </is>
      </c>
      <c r="J104" s="339" t="inlineStr">
        <is>
          <t>XR5</t>
        </is>
      </c>
      <c r="K104" s="336" t="inlineStr">
        <is>
          <t>XRC1095095MX</t>
        </is>
      </c>
      <c r="L104" s="336" t="inlineStr">
        <is>
          <t>IMAGEN</t>
        </is>
      </c>
      <c r="M104" s="339" t="inlineStr">
        <is>
          <t>Médica Dimegar</t>
        </is>
      </c>
      <c r="N104" s="336" t="n">
        <v>1</v>
      </c>
      <c r="O104" s="336" t="n">
        <v>2</v>
      </c>
      <c r="P104" s="337">
        <f>N104+O104</f>
        <v/>
      </c>
    </row>
    <row r="105" ht="19.95" customHeight="1" s="227">
      <c r="A105" s="331" t="n">
        <v>89</v>
      </c>
      <c r="B105" s="332" t="inlineStr">
        <is>
          <t>BM-135</t>
        </is>
      </c>
      <c r="C105" s="332" t="n">
        <v>303</v>
      </c>
      <c r="D105" s="333" t="inlineStr">
        <is>
          <t>Ing. Axel Evangelista Salinas</t>
        </is>
      </c>
      <c r="E105" s="340" t="inlineStr">
        <is>
          <t>● ROJO</t>
        </is>
      </c>
      <c r="F105" s="335" t="inlineStr">
        <is>
          <t>Subcentro de Evaluación Médica, Campo Militar 1-A</t>
        </is>
      </c>
      <c r="G105" s="340" t="inlineStr">
        <is>
          <t>CDMX</t>
        </is>
      </c>
      <c r="H105" s="335" t="inlineStr">
        <is>
          <t>Rayos X fijo, marca Osko, modelo XR5</t>
        </is>
      </c>
      <c r="I105" s="335" t="inlineStr">
        <is>
          <t>Osko</t>
        </is>
      </c>
      <c r="J105" s="335" t="inlineStr">
        <is>
          <t>XR5</t>
        </is>
      </c>
      <c r="K105" s="331" t="inlineStr">
        <is>
          <t>XRC1094988MX</t>
        </is>
      </c>
      <c r="L105" s="331" t="inlineStr">
        <is>
          <t>IMAGEN</t>
        </is>
      </c>
      <c r="M105" s="335" t="inlineStr">
        <is>
          <t>Médica Dimegar</t>
        </is>
      </c>
      <c r="N105" s="331" t="n">
        <v>1</v>
      </c>
      <c r="O105" s="331" t="n">
        <v>2</v>
      </c>
      <c r="P105" s="332">
        <f>N105+O105</f>
        <v/>
      </c>
    </row>
    <row r="106" ht="19.95" customHeight="1" s="227">
      <c r="A106" s="336" t="n">
        <v>90</v>
      </c>
      <c r="B106" s="337" t="inlineStr">
        <is>
          <t>BM-089</t>
        </is>
      </c>
      <c r="C106" s="337" t="n">
        <v>304</v>
      </c>
      <c r="D106" s="338" t="inlineStr">
        <is>
          <t>Ing. Axel Evangelista Salinas</t>
        </is>
      </c>
      <c r="E106" s="340" t="inlineStr">
        <is>
          <t>● ROJO</t>
        </is>
      </c>
      <c r="F106" s="339" t="inlineStr">
        <is>
          <t>Subcentro de Evaluación Médica, Campo Militar 1-A</t>
        </is>
      </c>
      <c r="G106" s="340" t="inlineStr">
        <is>
          <t>CDMX</t>
        </is>
      </c>
      <c r="H106" s="339" t="inlineStr">
        <is>
          <t>Impresora para placas radiográficas, marca Fujifilm, modelo Drypix 8000</t>
        </is>
      </c>
      <c r="I106" s="339" t="inlineStr">
        <is>
          <t>Fujifilm</t>
        </is>
      </c>
      <c r="J106" s="339" t="inlineStr">
        <is>
          <t>Drypix 8000</t>
        </is>
      </c>
      <c r="K106" s="336" t="inlineStr">
        <is>
          <t>17130510</t>
        </is>
      </c>
      <c r="L106" s="336" t="inlineStr">
        <is>
          <t>IMAGEN</t>
        </is>
      </c>
      <c r="M106" s="339" t="inlineStr">
        <is>
          <t>Médica Dimegar</t>
        </is>
      </c>
      <c r="N106" s="336" t="n">
        <v>1</v>
      </c>
      <c r="O106" s="336" t="n">
        <v>2</v>
      </c>
      <c r="P106" s="337">
        <f>N106+O106</f>
        <v/>
      </c>
    </row>
    <row r="107" ht="19.95" customHeight="1" s="227">
      <c r="A107" s="331" t="n">
        <v>91</v>
      </c>
      <c r="B107" s="332" t="inlineStr">
        <is>
          <t>BM-090</t>
        </is>
      </c>
      <c r="C107" s="332" t="n">
        <v>305</v>
      </c>
      <c r="D107" s="333" t="inlineStr">
        <is>
          <t>Ing. Axel Evangelista Salinas</t>
        </is>
      </c>
      <c r="E107" s="340" t="inlineStr">
        <is>
          <t>● ROJO</t>
        </is>
      </c>
      <c r="F107" s="335" t="inlineStr">
        <is>
          <t>Subcentro de Evaluación Médica, Campo Militar 1-A</t>
        </is>
      </c>
      <c r="G107" s="340" t="inlineStr">
        <is>
          <t>CDMX</t>
        </is>
      </c>
      <c r="H107" s="335" t="inlineStr">
        <is>
          <t>Impresora para placas radiográficas, marca Fujifilm, modelo Drypix 8000</t>
        </is>
      </c>
      <c r="I107" s="335" t="inlineStr">
        <is>
          <t>Fujifilm</t>
        </is>
      </c>
      <c r="J107" s="335" t="inlineStr">
        <is>
          <t>Drypix 8000</t>
        </is>
      </c>
      <c r="K107" s="331" t="inlineStr">
        <is>
          <t>17130513</t>
        </is>
      </c>
      <c r="L107" s="331" t="inlineStr">
        <is>
          <t>IMAGEN</t>
        </is>
      </c>
      <c r="M107" s="335" t="inlineStr">
        <is>
          <t>Médica Dimegar</t>
        </is>
      </c>
      <c r="N107" s="331" t="n">
        <v>1</v>
      </c>
      <c r="O107" s="331" t="n">
        <v>2</v>
      </c>
      <c r="P107" s="332">
        <f>N107+O107</f>
        <v/>
      </c>
    </row>
    <row r="108" ht="19.95" customHeight="1" s="227">
      <c r="A108" s="336" t="n">
        <v>92</v>
      </c>
      <c r="B108" s="337" t="inlineStr">
        <is>
          <t>BM-091</t>
        </is>
      </c>
      <c r="C108" s="337" t="n">
        <v>306</v>
      </c>
      <c r="D108" s="338" t="inlineStr">
        <is>
          <t>Ing. Axel Evangelista Salinas</t>
        </is>
      </c>
      <c r="E108" s="340" t="inlineStr">
        <is>
          <t>● ROJO</t>
        </is>
      </c>
      <c r="F108" s="339" t="inlineStr">
        <is>
          <t>Subcentro de Evaluación Médica, Campo Militar 1-A</t>
        </is>
      </c>
      <c r="G108" s="340" t="inlineStr">
        <is>
          <t>CDMX</t>
        </is>
      </c>
      <c r="H108" s="339" t="inlineStr">
        <is>
          <t>Impresora para placas radiográficas, marca Fujifilm, modelo Drypix 8000</t>
        </is>
      </c>
      <c r="I108" s="339" t="inlineStr">
        <is>
          <t>Fujifilm</t>
        </is>
      </c>
      <c r="J108" s="339" t="inlineStr">
        <is>
          <t>Drypix 8000</t>
        </is>
      </c>
      <c r="K108" s="336" t="inlineStr">
        <is>
          <t>17130554</t>
        </is>
      </c>
      <c r="L108" s="336" t="inlineStr">
        <is>
          <t>IMAGEN</t>
        </is>
      </c>
      <c r="M108" s="339" t="inlineStr">
        <is>
          <t>Médica Dimegar</t>
        </is>
      </c>
      <c r="N108" s="336" t="n">
        <v>1</v>
      </c>
      <c r="O108" s="336" t="n">
        <v>2</v>
      </c>
      <c r="P108" s="337">
        <f>N108+O108</f>
        <v/>
      </c>
    </row>
    <row r="109" ht="19.95" customHeight="1" s="227">
      <c r="A109" s="331" t="n">
        <v>93</v>
      </c>
      <c r="B109" s="332" t="inlineStr">
        <is>
          <t>BM-092</t>
        </is>
      </c>
      <c r="C109" s="332" t="n">
        <v>307</v>
      </c>
      <c r="D109" s="333" t="inlineStr">
        <is>
          <t>Ing. Axel Evangelista Salinas</t>
        </is>
      </c>
      <c r="E109" s="340" t="inlineStr">
        <is>
          <t>● ROJO</t>
        </is>
      </c>
      <c r="F109" s="335" t="inlineStr">
        <is>
          <t>Subcentro de Evaluación Médica, Campo Militar 1-A</t>
        </is>
      </c>
      <c r="G109" s="340" t="inlineStr">
        <is>
          <t>CDMX</t>
        </is>
      </c>
      <c r="H109" s="335" t="inlineStr">
        <is>
          <t>Cámara de Scheimpflug, marca Oculus, modelo Pentacam HR</t>
        </is>
      </c>
      <c r="I109" s="335" t="inlineStr">
        <is>
          <t>Oculus</t>
        </is>
      </c>
      <c r="J109" s="335" t="inlineStr">
        <is>
          <t>Pentacam HR</t>
        </is>
      </c>
      <c r="K109" s="331" t="inlineStr">
        <is>
          <t>70900 2455 1210</t>
        </is>
      </c>
      <c r="L109" s="331" t="inlineStr">
        <is>
          <t>OFTALMO</t>
        </is>
      </c>
      <c r="M109" s="335" t="inlineStr">
        <is>
          <t>CYAN</t>
        </is>
      </c>
      <c r="N109" s="331" t="n">
        <v>1</v>
      </c>
      <c r="O109" s="331" t="n">
        <v>2</v>
      </c>
      <c r="P109" s="332">
        <f>N109+O109</f>
        <v/>
      </c>
    </row>
    <row r="110" ht="19.95" customHeight="1" s="227">
      <c r="A110" s="336" t="n">
        <v>94</v>
      </c>
      <c r="B110" s="337" t="inlineStr">
        <is>
          <t>BM-143</t>
        </is>
      </c>
      <c r="C110" s="337" t="n">
        <v>369</v>
      </c>
      <c r="D110" s="338" t="inlineStr">
        <is>
          <t>Ing. Axel Evangelista Salinas</t>
        </is>
      </c>
      <c r="E110" s="340" t="inlineStr">
        <is>
          <t>● ROJO</t>
        </is>
      </c>
      <c r="F110" s="339" t="inlineStr">
        <is>
          <t>U.M.C.E. Reynosa</t>
        </is>
      </c>
      <c r="G110" s="340" t="inlineStr">
        <is>
          <t>TAMAULIPAS</t>
        </is>
      </c>
      <c r="H110" s="339" t="inlineStr">
        <is>
          <t>Equipo de rayos X móvil, marca Primax, modelo Raybow dR</t>
        </is>
      </c>
      <c r="I110" s="339" t="inlineStr">
        <is>
          <t>Primax</t>
        </is>
      </c>
      <c r="J110" s="339" t="inlineStr">
        <is>
          <t>Raybow dR</t>
        </is>
      </c>
      <c r="K110" s="336" t="inlineStr">
        <is>
          <t>10116715</t>
        </is>
      </c>
      <c r="L110" s="336" t="inlineStr">
        <is>
          <t>IMAGEN</t>
        </is>
      </c>
      <c r="M110" s="339" t="inlineStr">
        <is>
          <t>Médica Dimegar</t>
        </is>
      </c>
      <c r="N110" s="336" t="n">
        <v>1</v>
      </c>
      <c r="O110" s="336" t="n">
        <v>2</v>
      </c>
      <c r="P110" s="337">
        <f>N110+O110</f>
        <v/>
      </c>
    </row>
    <row r="111" ht="19.95" customHeight="1" s="227">
      <c r="A111" s="331" t="n">
        <v>95</v>
      </c>
      <c r="B111" s="332" t="inlineStr">
        <is>
          <t>BM-120</t>
        </is>
      </c>
      <c r="C111" s="332" t="n">
        <v>175</v>
      </c>
      <c r="D111" s="333" t="inlineStr">
        <is>
          <t>Ing. Rogelio Ramos Centeno</t>
        </is>
      </c>
      <c r="E111" s="341" t="inlineStr">
        <is>
          <t>● DORADO</t>
        </is>
      </c>
      <c r="F111" s="335" t="inlineStr">
        <is>
          <t>H.M.R. El Ciprés</t>
        </is>
      </c>
      <c r="G111" s="341" t="inlineStr">
        <is>
          <t>BAJA CALIFORNIA</t>
        </is>
      </c>
      <c r="H111" s="335" t="inlineStr">
        <is>
          <t>Equipo de rayos X móvil, marca Technix, modelo TMS 320</t>
        </is>
      </c>
      <c r="I111" s="335" t="inlineStr">
        <is>
          <t>Technix</t>
        </is>
      </c>
      <c r="J111" s="335" t="inlineStr">
        <is>
          <t>TMS 320</t>
        </is>
      </c>
      <c r="K111" s="331" t="inlineStr">
        <is>
          <t>80-16-81-152</t>
        </is>
      </c>
      <c r="L111" s="331" t="inlineStr">
        <is>
          <t>IMAGEN</t>
        </is>
      </c>
      <c r="M111" s="335" t="inlineStr">
        <is>
          <t>Médica Dimegar</t>
        </is>
      </c>
      <c r="N111" s="331" t="n">
        <v>1</v>
      </c>
      <c r="O111" s="331" t="n">
        <v>2</v>
      </c>
      <c r="P111" s="332">
        <f>N111+O111</f>
        <v/>
      </c>
    </row>
    <row r="112" ht="19.95" customHeight="1" s="227">
      <c r="A112" s="336" t="n">
        <v>96</v>
      </c>
      <c r="B112" s="337" t="inlineStr">
        <is>
          <t>BM-116</t>
        </is>
      </c>
      <c r="C112" s="337" t="n">
        <v>167</v>
      </c>
      <c r="D112" s="338" t="inlineStr">
        <is>
          <t>Ing. Rogelio Ramos Centeno</t>
        </is>
      </c>
      <c r="E112" s="341" t="inlineStr">
        <is>
          <t>● DORADO</t>
        </is>
      </c>
      <c r="F112" s="339" t="inlineStr">
        <is>
          <t>H.M.R. Hermosillo</t>
        </is>
      </c>
      <c r="G112" s="341" t="inlineStr">
        <is>
          <t>SONORA</t>
        </is>
      </c>
      <c r="H112" s="339" t="inlineStr">
        <is>
          <t>Equipo de rayos X móvil, marca Technix, modelo TMS 320</t>
        </is>
      </c>
      <c r="I112" s="339" t="inlineStr">
        <is>
          <t>Technix</t>
        </is>
      </c>
      <c r="J112" s="339" t="inlineStr">
        <is>
          <t>TMS 320</t>
        </is>
      </c>
      <c r="K112" s="336" t="inlineStr">
        <is>
          <t>80-16-80-151</t>
        </is>
      </c>
      <c r="L112" s="336" t="inlineStr">
        <is>
          <t>IMAGEN</t>
        </is>
      </c>
      <c r="M112" s="339" t="inlineStr">
        <is>
          <t>Médica Dimegar</t>
        </is>
      </c>
      <c r="N112" s="336" t="n">
        <v>1</v>
      </c>
      <c r="O112" s="336" t="n">
        <v>2</v>
      </c>
      <c r="P112" s="337">
        <f>N112+O112</f>
        <v/>
      </c>
    </row>
    <row r="113" ht="19.95" customHeight="1" s="227">
      <c r="A113" s="331" t="n">
        <v>97</v>
      </c>
      <c r="B113" s="332" t="inlineStr">
        <is>
          <t>BM-136</t>
        </is>
      </c>
      <c r="C113" s="332" t="n">
        <v>309</v>
      </c>
      <c r="D113" s="333" t="inlineStr">
        <is>
          <t>Ing. Rogelio Ramos Centeno</t>
        </is>
      </c>
      <c r="E113" s="341" t="inlineStr">
        <is>
          <t>● DORADO</t>
        </is>
      </c>
      <c r="F113" s="335" t="inlineStr">
        <is>
          <t>H.M.R. La Paz</t>
        </is>
      </c>
      <c r="G113" s="341" t="inlineStr">
        <is>
          <t>BAJA CALIFORNIA</t>
        </is>
      </c>
      <c r="H113" s="335" t="inlineStr">
        <is>
          <t>Equipo de rayos X móvil, marca Technix, modelo TMS 320</t>
        </is>
      </c>
      <c r="I113" s="335" t="inlineStr">
        <is>
          <t>Technix</t>
        </is>
      </c>
      <c r="J113" s="335" t="inlineStr">
        <is>
          <t>TMS 320</t>
        </is>
      </c>
      <c r="K113" s="331" t="inlineStr">
        <is>
          <t>80-16-82-153</t>
        </is>
      </c>
      <c r="L113" s="331" t="inlineStr">
        <is>
          <t>IMAGEN</t>
        </is>
      </c>
      <c r="M113" s="335" t="inlineStr">
        <is>
          <t>Médica Dimegar</t>
        </is>
      </c>
      <c r="N113" s="331" t="n">
        <v>1</v>
      </c>
      <c r="O113" s="331" t="n">
        <v>2</v>
      </c>
      <c r="P113" s="332">
        <f>N113+O113</f>
        <v/>
      </c>
    </row>
    <row r="114" ht="19.95" customHeight="1" s="227">
      <c r="A114" s="336" t="n">
        <v>98</v>
      </c>
      <c r="B114" s="337" t="inlineStr">
        <is>
          <t>BM-093</t>
        </is>
      </c>
      <c r="C114" s="337" t="n">
        <v>310</v>
      </c>
      <c r="D114" s="338" t="inlineStr">
        <is>
          <t>Ing. Rogelio Ramos Centeno</t>
        </is>
      </c>
      <c r="E114" s="341" t="inlineStr">
        <is>
          <t>● DORADO</t>
        </is>
      </c>
      <c r="F114" s="339" t="inlineStr">
        <is>
          <t>H.M.R. La Paz</t>
        </is>
      </c>
      <c r="G114" s="341" t="inlineStr">
        <is>
          <t>BAJA CALIFORNIA</t>
        </is>
      </c>
      <c r="H114" s="339" t="inlineStr">
        <is>
          <t>Fotocoagulador láser , marca Quantel Medical, modelo Supra Scan</t>
        </is>
      </c>
      <c r="I114" s="339" t="inlineStr">
        <is>
          <t>Quantel Medical</t>
        </is>
      </c>
      <c r="J114" s="339" t="inlineStr">
        <is>
          <t>Supra Scan</t>
        </is>
      </c>
      <c r="K114" s="336" t="inlineStr">
        <is>
          <t>454</t>
        </is>
      </c>
      <c r="L114" s="336" t="inlineStr">
        <is>
          <t>OFTALMO</t>
        </is>
      </c>
      <c r="M114" s="339" t="inlineStr">
        <is>
          <t>ARFAMEX</t>
        </is>
      </c>
      <c r="N114" s="336" t="n">
        <v>1</v>
      </c>
      <c r="O114" s="336" t="n">
        <v>2</v>
      </c>
      <c r="P114" s="337">
        <f>N114+O114</f>
        <v/>
      </c>
    </row>
    <row r="115" ht="19.95" customHeight="1" s="227">
      <c r="A115" s="331" t="n">
        <v>99</v>
      </c>
      <c r="B115" s="332" t="inlineStr">
        <is>
          <t>BM-121</t>
        </is>
      </c>
      <c r="C115" s="332" t="n">
        <v>179</v>
      </c>
      <c r="D115" s="333" t="inlineStr">
        <is>
          <t>Ing. Rogelio Ramos Centeno</t>
        </is>
      </c>
      <c r="E115" s="341" t="inlineStr">
        <is>
          <t>● DORADO</t>
        </is>
      </c>
      <c r="F115" s="335" t="inlineStr">
        <is>
          <t>H.M.R.E. Guadalajara</t>
        </is>
      </c>
      <c r="G115" s="341" t="inlineStr">
        <is>
          <t>JALISCO</t>
        </is>
      </c>
      <c r="H115" s="335" t="inlineStr">
        <is>
          <t>Equipo de rayos X móvil, marca Technix, modelo TMS 320</t>
        </is>
      </c>
      <c r="I115" s="335" t="inlineStr">
        <is>
          <t>Technix</t>
        </is>
      </c>
      <c r="J115" s="335" t="inlineStr">
        <is>
          <t>TMS 320</t>
        </is>
      </c>
      <c r="K115" s="331" t="inlineStr">
        <is>
          <t>80-16-91-162</t>
        </is>
      </c>
      <c r="L115" s="331" t="inlineStr">
        <is>
          <t>IMAGEN</t>
        </is>
      </c>
      <c r="M115" s="335" t="inlineStr">
        <is>
          <t>Médica Dimegar</t>
        </is>
      </c>
      <c r="N115" s="331" t="n">
        <v>1</v>
      </c>
      <c r="O115" s="331" t="n">
        <v>2</v>
      </c>
      <c r="P115" s="332">
        <f>N115+O115</f>
        <v/>
      </c>
    </row>
    <row r="116" ht="19.95" customHeight="1" s="227">
      <c r="A116" s="336" t="n">
        <v>100</v>
      </c>
      <c r="B116" s="337" t="inlineStr">
        <is>
          <t>BM-099</t>
        </is>
      </c>
      <c r="C116" s="337" t="n">
        <v>358</v>
      </c>
      <c r="D116" s="338" t="inlineStr">
        <is>
          <t>Ing. Rogelio Ramos Centeno</t>
        </is>
      </c>
      <c r="E116" s="341" t="inlineStr">
        <is>
          <t>● DORADO</t>
        </is>
      </c>
      <c r="F116" s="339" t="inlineStr">
        <is>
          <t>H.M.R.E. Guadalajara</t>
        </is>
      </c>
      <c r="G116" s="341" t="inlineStr">
        <is>
          <t>JALISCO</t>
        </is>
      </c>
      <c r="H116" s="339" t="inlineStr">
        <is>
          <t>Microscopio, marca Carl Zeiss, modelo OPMI Visu 160</t>
        </is>
      </c>
      <c r="I116" s="339" t="inlineStr">
        <is>
          <t>Carl Zeiss</t>
        </is>
      </c>
      <c r="J116" s="339" t="inlineStr">
        <is>
          <t>OPMI Visu 160</t>
        </is>
      </c>
      <c r="K116" s="336" t="inlineStr">
        <is>
          <t>6213404030</t>
        </is>
      </c>
      <c r="L116" s="336" t="inlineStr">
        <is>
          <t>OFTALMO</t>
        </is>
      </c>
      <c r="M116" s="339" t="inlineStr">
        <is>
          <t>ZEISS</t>
        </is>
      </c>
      <c r="N116" s="336" t="n">
        <v>1</v>
      </c>
      <c r="O116" s="336" t="n">
        <v>2</v>
      </c>
      <c r="P116" s="337">
        <f>N116+O116</f>
        <v/>
      </c>
    </row>
    <row r="117" ht="19.95" customHeight="1" s="227">
      <c r="A117" s="331" t="n">
        <v>101</v>
      </c>
      <c r="B117" s="332" t="inlineStr">
        <is>
          <t>BM-110</t>
        </is>
      </c>
      <c r="C117" s="332" t="n">
        <v>152</v>
      </c>
      <c r="D117" s="333" t="inlineStr">
        <is>
          <t>Ing. Rogelio Ramos Centeno</t>
        </is>
      </c>
      <c r="E117" s="341" t="inlineStr">
        <is>
          <t>● DORADO</t>
        </is>
      </c>
      <c r="F117" s="335" t="inlineStr">
        <is>
          <t>H.M.R.E. Mazatlán</t>
        </is>
      </c>
      <c r="G117" s="341" t="inlineStr">
        <is>
          <t>SINALOA</t>
        </is>
      </c>
      <c r="H117" s="335" t="inlineStr">
        <is>
          <t>Impresora para placas radiográficas, marca Codonics, modelo Horizon Ci</t>
        </is>
      </c>
      <c r="I117" s="335" t="inlineStr">
        <is>
          <t>Codonics</t>
        </is>
      </c>
      <c r="J117" s="335" t="inlineStr">
        <is>
          <t>Horizon Ci</t>
        </is>
      </c>
      <c r="K117" s="331" t="inlineStr">
        <is>
          <t>50C00404C</t>
        </is>
      </c>
      <c r="L117" s="331" t="inlineStr">
        <is>
          <t>IMAGEN</t>
        </is>
      </c>
      <c r="M117" s="335" t="inlineStr">
        <is>
          <t>Médica Dimegar</t>
        </is>
      </c>
      <c r="N117" s="331" t="n">
        <v>1</v>
      </c>
      <c r="O117" s="331" t="n">
        <v>2</v>
      </c>
      <c r="P117" s="332">
        <f>N117+O117</f>
        <v/>
      </c>
    </row>
    <row r="118" ht="19.95" customHeight="1" s="227">
      <c r="A118" s="336" t="n">
        <v>102</v>
      </c>
      <c r="B118" s="337" t="inlineStr">
        <is>
          <t>BM-068</t>
        </is>
      </c>
      <c r="C118" s="337" t="n">
        <v>154</v>
      </c>
      <c r="D118" s="338" t="inlineStr">
        <is>
          <t>Ing. Rogelio Ramos Centeno</t>
        </is>
      </c>
      <c r="E118" s="341" t="inlineStr">
        <is>
          <t>● DORADO</t>
        </is>
      </c>
      <c r="F118" s="339" t="inlineStr">
        <is>
          <t>H.M.R.E. Mazatlán</t>
        </is>
      </c>
      <c r="G118" s="341" t="inlineStr">
        <is>
          <t>SINALOA</t>
        </is>
      </c>
      <c r="H118" s="339" t="inlineStr">
        <is>
          <t>Microscopio para cirugía, marca Haag-Streit Surgical, modelo Moller Wedel</t>
        </is>
      </c>
      <c r="I118" s="339" t="inlineStr">
        <is>
          <t>Haag-Streit Surgical</t>
        </is>
      </c>
      <c r="J118" s="339" t="inlineStr">
        <is>
          <t>Moller Wedel</t>
        </is>
      </c>
      <c r="K118" s="336" t="inlineStr">
        <is>
          <t>30155514</t>
        </is>
      </c>
      <c r="L118" s="336" t="inlineStr">
        <is>
          <t>OFTALMO</t>
        </is>
      </c>
      <c r="M118" s="339" t="inlineStr">
        <is>
          <t>DEWIMED</t>
        </is>
      </c>
      <c r="N118" s="336" t="n">
        <v>1</v>
      </c>
      <c r="O118" s="336" t="n">
        <v>2</v>
      </c>
      <c r="P118" s="337">
        <f>N118+O118</f>
        <v/>
      </c>
    </row>
    <row r="119" ht="19.95" customHeight="1" s="227">
      <c r="A119" s="331" t="n">
        <v>103</v>
      </c>
      <c r="B119" s="332" t="inlineStr">
        <is>
          <t>BM-122</t>
        </is>
      </c>
      <c r="C119" s="332" t="n">
        <v>183</v>
      </c>
      <c r="D119" s="333" t="inlineStr">
        <is>
          <t>Ing. Rogelio Ramos Centeno</t>
        </is>
      </c>
      <c r="E119" s="341" t="inlineStr">
        <is>
          <t>● DORADO</t>
        </is>
      </c>
      <c r="F119" s="335" t="inlineStr">
        <is>
          <t>H.M.R.E. Mazatlán</t>
        </is>
      </c>
      <c r="G119" s="341" t="inlineStr">
        <is>
          <t>SINALOA</t>
        </is>
      </c>
      <c r="H119" s="335" t="inlineStr">
        <is>
          <t>Impresora para placas radiográficas, marca Fujifilm, modelo Drypix Smart</t>
        </is>
      </c>
      <c r="I119" s="335" t="inlineStr">
        <is>
          <t>Fujifilm</t>
        </is>
      </c>
      <c r="J119" s="335" t="inlineStr">
        <is>
          <t>Drypix Smart</t>
        </is>
      </c>
      <c r="K119" s="331" t="inlineStr">
        <is>
          <t>56728475</t>
        </is>
      </c>
      <c r="L119" s="331" t="inlineStr">
        <is>
          <t>IMAGEN</t>
        </is>
      </c>
      <c r="M119" s="335" t="inlineStr">
        <is>
          <t>Médica Dimegar</t>
        </is>
      </c>
      <c r="N119" s="331" t="n">
        <v>1</v>
      </c>
      <c r="O119" s="331" t="n">
        <v>2</v>
      </c>
      <c r="P119" s="332">
        <f>N119+O119</f>
        <v/>
      </c>
    </row>
    <row r="120" ht="19.95" customHeight="1" s="227">
      <c r="A120" s="336" t="n">
        <v>104</v>
      </c>
      <c r="B120" s="337" t="inlineStr">
        <is>
          <t>BM-123</t>
        </is>
      </c>
      <c r="C120" s="337" t="n">
        <v>184</v>
      </c>
      <c r="D120" s="338" t="inlineStr">
        <is>
          <t>Ing. Rogelio Ramos Centeno</t>
        </is>
      </c>
      <c r="E120" s="341" t="inlineStr">
        <is>
          <t>● DORADO</t>
        </is>
      </c>
      <c r="F120" s="339" t="inlineStr">
        <is>
          <t>H.M.R.E. Mazatlán</t>
        </is>
      </c>
      <c r="G120" s="341" t="inlineStr">
        <is>
          <t>SINALOA</t>
        </is>
      </c>
      <c r="H120" s="339" t="inlineStr">
        <is>
          <t>Impresora para placas radiográficas, marca Fujifilm, modelo Drypix Smart</t>
        </is>
      </c>
      <c r="I120" s="339" t="inlineStr">
        <is>
          <t>Fujifilm</t>
        </is>
      </c>
      <c r="J120" s="339" t="inlineStr">
        <is>
          <t>Drypix Smart</t>
        </is>
      </c>
      <c r="K120" s="336" t="inlineStr">
        <is>
          <t>66131122</t>
        </is>
      </c>
      <c r="L120" s="336" t="inlineStr">
        <is>
          <t>IMAGEN</t>
        </is>
      </c>
      <c r="M120" s="339" t="inlineStr">
        <is>
          <t>Médica Dimegar</t>
        </is>
      </c>
      <c r="N120" s="336" t="n">
        <v>1</v>
      </c>
      <c r="O120" s="336" t="n">
        <v>2</v>
      </c>
      <c r="P120" s="337">
        <f>N120+O120</f>
        <v/>
      </c>
    </row>
    <row r="121" ht="19.95" customHeight="1" s="227">
      <c r="A121" s="331" t="n">
        <v>105</v>
      </c>
      <c r="B121" s="332" t="inlineStr">
        <is>
          <t>BM-137</t>
        </is>
      </c>
      <c r="C121" s="332" t="n">
        <v>313</v>
      </c>
      <c r="D121" s="333" t="inlineStr">
        <is>
          <t>Ing. Rogelio Ramos Centeno</t>
        </is>
      </c>
      <c r="E121" s="341" t="inlineStr">
        <is>
          <t>● DORADO</t>
        </is>
      </c>
      <c r="F121" s="335" t="inlineStr">
        <is>
          <t>H.M.R.E. Mazatlán</t>
        </is>
      </c>
      <c r="G121" s="341" t="inlineStr">
        <is>
          <t>SINALOA</t>
        </is>
      </c>
      <c r="H121" s="335" t="inlineStr">
        <is>
          <t>Rayos X móvil, marca Villa Sistemi Medicali, modelo Visitor T30 M-DR</t>
        </is>
      </c>
      <c r="I121" s="335" t="inlineStr">
        <is>
          <t>Villa Sistemi Medicali</t>
        </is>
      </c>
      <c r="J121" s="335" t="inlineStr">
        <is>
          <t>Visitor T30 M-DR</t>
        </is>
      </c>
      <c r="K121" s="331" t="inlineStr">
        <is>
          <t>14-11-1038</t>
        </is>
      </c>
      <c r="L121" s="331" t="inlineStr">
        <is>
          <t>IMAGEN</t>
        </is>
      </c>
      <c r="M121" s="335" t="inlineStr">
        <is>
          <t>Médica Dimegar</t>
        </is>
      </c>
      <c r="N121" s="331" t="n">
        <v>1</v>
      </c>
      <c r="O121" s="331" t="n">
        <v>2</v>
      </c>
      <c r="P121" s="332">
        <f>N121+O121</f>
        <v/>
      </c>
    </row>
    <row r="122" ht="19.95" customHeight="1" s="227">
      <c r="A122" s="336" t="n">
        <v>106</v>
      </c>
      <c r="B122" s="337" t="inlineStr">
        <is>
          <t>BM-119</t>
        </is>
      </c>
      <c r="C122" s="337" t="n">
        <v>172</v>
      </c>
      <c r="D122" s="338" t="inlineStr">
        <is>
          <t>Ing. Rogelio Ramos Centeno</t>
        </is>
      </c>
      <c r="E122" s="341" t="inlineStr">
        <is>
          <t>● DORADO</t>
        </is>
      </c>
      <c r="F122" s="339" t="inlineStr">
        <is>
          <t>H.M.Z. Mexicali</t>
        </is>
      </c>
      <c r="G122" s="341" t="inlineStr">
        <is>
          <t>BAJA CALIFORNIA</t>
        </is>
      </c>
      <c r="H122" s="339" t="inlineStr">
        <is>
          <t>Equipo de rayos X móvil, marca Technix, modelo TMS 320</t>
        </is>
      </c>
      <c r="I122" s="339" t="inlineStr">
        <is>
          <t>Technix</t>
        </is>
      </c>
      <c r="J122" s="339" t="inlineStr">
        <is>
          <t>TMS 320</t>
        </is>
      </c>
      <c r="K122" s="336" t="inlineStr">
        <is>
          <t>80-16-83-154</t>
        </is>
      </c>
      <c r="L122" s="336" t="inlineStr">
        <is>
          <t>IMAGEN</t>
        </is>
      </c>
      <c r="M122" s="339" t="inlineStr">
        <is>
          <t>Médica Dimegar</t>
        </is>
      </c>
      <c r="N122" s="336" t="n">
        <v>1</v>
      </c>
      <c r="O122" s="336" t="n">
        <v>2</v>
      </c>
      <c r="P122" s="337">
        <f>N122+O122</f>
        <v/>
      </c>
    </row>
    <row r="123" ht="19.95" customHeight="1" s="227">
      <c r="A123" s="331" t="n">
        <v>107</v>
      </c>
      <c r="B123" s="332" t="inlineStr">
        <is>
          <t>BM-113</t>
        </is>
      </c>
      <c r="C123" s="332" t="n">
        <v>164</v>
      </c>
      <c r="D123" s="333" t="inlineStr">
        <is>
          <t>Ing. Rogelio Ramos Centeno</t>
        </is>
      </c>
      <c r="E123" s="341" t="inlineStr">
        <is>
          <t>● DORADO</t>
        </is>
      </c>
      <c r="F123" s="335" t="inlineStr">
        <is>
          <t>H.M.Z. Zapopan</t>
        </is>
      </c>
      <c r="G123" s="341" t="inlineStr">
        <is>
          <t>JALISCO</t>
        </is>
      </c>
      <c r="H123" s="335" t="inlineStr">
        <is>
          <t>Equipo de rayos X móvil, marca Technix, modelo TMS 320</t>
        </is>
      </c>
      <c r="I123" s="335" t="inlineStr">
        <is>
          <t>Technix</t>
        </is>
      </c>
      <c r="J123" s="335" t="inlineStr">
        <is>
          <t>TMS 320</t>
        </is>
      </c>
      <c r="K123" s="331" t="inlineStr">
        <is>
          <t>80-16-95-166</t>
        </is>
      </c>
      <c r="L123" s="331" t="inlineStr">
        <is>
          <t>IMAGEN</t>
        </is>
      </c>
      <c r="M123" s="335" t="inlineStr">
        <is>
          <t>Médica Dimegar</t>
        </is>
      </c>
      <c r="N123" s="331" t="n">
        <v>1</v>
      </c>
      <c r="O123" s="331" t="n">
        <v>2</v>
      </c>
      <c r="P123" s="332">
        <f>N123+O123</f>
        <v/>
      </c>
    </row>
    <row r="124" ht="19.95" customHeight="1" s="227">
      <c r="A124" s="336" t="n">
        <v>108</v>
      </c>
      <c r="B124" s="337" t="inlineStr">
        <is>
          <t>BM-095</t>
        </is>
      </c>
      <c r="C124" s="337" t="n">
        <v>321</v>
      </c>
      <c r="D124" s="338" t="inlineStr">
        <is>
          <t>Ing. Rogelio Ramos Centeno</t>
        </is>
      </c>
      <c r="E124" s="341" t="inlineStr">
        <is>
          <t>● DORADO</t>
        </is>
      </c>
      <c r="F124" s="339" t="inlineStr">
        <is>
          <t>H.M.Z. Zapopan</t>
        </is>
      </c>
      <c r="G124" s="341" t="inlineStr">
        <is>
          <t>JALISCO</t>
        </is>
      </c>
      <c r="H124" s="339" t="inlineStr">
        <is>
          <t>Microscopio quirúrgico oftalmológico, marca Leica, modelo M822 F40</t>
        </is>
      </c>
      <c r="I124" s="339" t="inlineStr">
        <is>
          <t>Leica</t>
        </is>
      </c>
      <c r="J124" s="339" t="inlineStr">
        <is>
          <t>M822 F40</t>
        </is>
      </c>
      <c r="K124" s="336" t="inlineStr">
        <is>
          <t>160219002</t>
        </is>
      </c>
      <c r="L124" s="336" t="inlineStr">
        <is>
          <t>OFTALMO</t>
        </is>
      </c>
      <c r="M124" s="339" t="inlineStr">
        <is>
          <t>COINDISA</t>
        </is>
      </c>
      <c r="N124" s="336" t="n">
        <v>1</v>
      </c>
      <c r="O124" s="336" t="n">
        <v>2</v>
      </c>
      <c r="P124" s="337">
        <f>N124+O124</f>
        <v/>
      </c>
    </row>
    <row r="125" ht="19.95" customHeight="1" s="227">
      <c r="A125" s="331" t="n">
        <v>109</v>
      </c>
      <c r="B125" s="332" t="inlineStr">
        <is>
          <t>BM-082</t>
        </is>
      </c>
      <c r="C125" s="332" t="n">
        <v>232</v>
      </c>
      <c r="D125" s="333" t="inlineStr">
        <is>
          <t>Ing. Jose Jorge Olivares Velazquez</t>
        </is>
      </c>
      <c r="E125" s="342" t="inlineStr">
        <is>
          <t>● AZUL</t>
        </is>
      </c>
      <c r="F125" s="335" t="inlineStr">
        <is>
          <t>H.M.R. Acapulco</t>
        </is>
      </c>
      <c r="G125" s="342" t="inlineStr">
        <is>
          <t>GUERRERO</t>
        </is>
      </c>
      <c r="H125" s="335" t="inlineStr">
        <is>
          <t>Digitalizador de placas radiográficas, marca Fujifilm, modelo CR-IR359</t>
        </is>
      </c>
      <c r="I125" s="335" t="inlineStr">
        <is>
          <t>Fujifilm</t>
        </is>
      </c>
      <c r="J125" s="335" t="inlineStr">
        <is>
          <t>CR-IR359</t>
        </is>
      </c>
      <c r="K125" s="331" t="inlineStr">
        <is>
          <t>46270262</t>
        </is>
      </c>
      <c r="L125" s="331" t="inlineStr">
        <is>
          <t>IMAGEN</t>
        </is>
      </c>
      <c r="M125" s="335" t="inlineStr">
        <is>
          <t>Médica Dimegar</t>
        </is>
      </c>
      <c r="N125" s="331" t="n">
        <v>1</v>
      </c>
      <c r="O125" s="331" t="n">
        <v>2</v>
      </c>
      <c r="P125" s="332">
        <f>N125+O125</f>
        <v/>
      </c>
    </row>
    <row r="126" ht="19.95" customHeight="1" s="227">
      <c r="A126" s="336" t="n">
        <v>110</v>
      </c>
      <c r="B126" s="337" t="inlineStr">
        <is>
          <t>BM-125</t>
        </is>
      </c>
      <c r="C126" s="337" t="n">
        <v>200</v>
      </c>
      <c r="D126" s="338" t="inlineStr">
        <is>
          <t>Ing. Jose Jorge Olivares Velazquez</t>
        </is>
      </c>
      <c r="E126" s="342" t="inlineStr">
        <is>
          <t>● AZUL</t>
        </is>
      </c>
      <c r="F126" s="339" t="inlineStr">
        <is>
          <t>H.M.R. Chihuahua</t>
        </is>
      </c>
      <c r="G126" s="342" t="inlineStr">
        <is>
          <t>CHIHUAHUA</t>
        </is>
      </c>
      <c r="H126" s="339" t="inlineStr">
        <is>
          <t>Arco en C, marca Ziehm Imaging, modelo Vision R</t>
        </is>
      </c>
      <c r="I126" s="339" t="inlineStr">
        <is>
          <t>Ziehm Imaging</t>
        </is>
      </c>
      <c r="J126" s="339" t="inlineStr">
        <is>
          <t>Vision R</t>
        </is>
      </c>
      <c r="K126" s="336" t="inlineStr">
        <is>
          <t>10703</t>
        </is>
      </c>
      <c r="L126" s="336" t="inlineStr">
        <is>
          <t>IMAGEN</t>
        </is>
      </c>
      <c r="M126" s="339" t="inlineStr">
        <is>
          <t>Médica Dimegar</t>
        </is>
      </c>
      <c r="N126" s="336" t="n">
        <v>1</v>
      </c>
      <c r="O126" s="336" t="n">
        <v>2</v>
      </c>
      <c r="P126" s="337">
        <f>N126+O126</f>
        <v/>
      </c>
    </row>
    <row r="127" ht="19.95" customHeight="1" s="227">
      <c r="A127" s="331" t="n">
        <v>111</v>
      </c>
      <c r="B127" s="332" t="inlineStr">
        <is>
          <t>BM-130</t>
        </is>
      </c>
      <c r="C127" s="332" t="n">
        <v>226</v>
      </c>
      <c r="D127" s="333" t="inlineStr">
        <is>
          <t>Ing. Jose Jorge Olivares Velazquez</t>
        </is>
      </c>
      <c r="E127" s="342" t="inlineStr">
        <is>
          <t>● AZUL</t>
        </is>
      </c>
      <c r="F127" s="335" t="inlineStr">
        <is>
          <t>H.M.R. Chihuahua</t>
        </is>
      </c>
      <c r="G127" s="342" t="inlineStr">
        <is>
          <t>CHIHUAHUA</t>
        </is>
      </c>
      <c r="H127" s="335" t="inlineStr">
        <is>
          <t>Sistema de digitalización de imágenes, marca Fujifilm, modelo Digitalizador: FCR Capsula XLII (CR-IR 359) Impresora: Drypix 4000</t>
        </is>
      </c>
      <c r="I127" s="335" t="inlineStr">
        <is>
          <t>Fujifilm</t>
        </is>
      </c>
      <c r="J127" s="335" t="inlineStr">
        <is>
          <t>Digitalizador: FCR Capsula XLII (CR-IR 359) Impresora: Drypix 4000</t>
        </is>
      </c>
      <c r="K127" s="331" t="inlineStr">
        <is>
          <t>Digitalizador: 37240106 Impresora: 36653761</t>
        </is>
      </c>
      <c r="L127" s="331" t="inlineStr">
        <is>
          <t>IMAGEN</t>
        </is>
      </c>
      <c r="M127" s="335" t="inlineStr">
        <is>
          <t>Médica Dimegar</t>
        </is>
      </c>
      <c r="N127" s="331" t="n">
        <v>1</v>
      </c>
      <c r="O127" s="331" t="n">
        <v>2</v>
      </c>
      <c r="P127" s="332">
        <f>N127+O127</f>
        <v/>
      </c>
    </row>
    <row r="128" ht="19.95" customHeight="1" s="227">
      <c r="A128" s="336" t="n">
        <v>112</v>
      </c>
      <c r="B128" s="337" t="inlineStr">
        <is>
          <t>BM-128</t>
        </is>
      </c>
      <c r="C128" s="337" t="n">
        <v>223</v>
      </c>
      <c r="D128" s="338" t="inlineStr">
        <is>
          <t>Ing. Jose Jorge Olivares Velazquez</t>
        </is>
      </c>
      <c r="E128" s="342" t="inlineStr">
        <is>
          <t>● AZUL</t>
        </is>
      </c>
      <c r="F128" s="339" t="inlineStr">
        <is>
          <t>H.M.R. Chilpancingo</t>
        </is>
      </c>
      <c r="G128" s="342" t="inlineStr">
        <is>
          <t>GUERRERO</t>
        </is>
      </c>
      <c r="H128" s="339" t="inlineStr">
        <is>
          <t>Rayos X móvil, marca Shimadzu, modelo MobileArt Evolution</t>
        </is>
      </c>
      <c r="I128" s="339" t="inlineStr">
        <is>
          <t>Shimadzu</t>
        </is>
      </c>
      <c r="J128" s="339" t="inlineStr">
        <is>
          <t>MobileArt Evolution</t>
        </is>
      </c>
      <c r="K128" s="336" t="inlineStr">
        <is>
          <t>41000333B017</t>
        </is>
      </c>
      <c r="L128" s="336" t="inlineStr">
        <is>
          <t>IMAGEN</t>
        </is>
      </c>
      <c r="M128" s="339" t="inlineStr">
        <is>
          <t>Médica Dimegar</t>
        </is>
      </c>
      <c r="N128" s="336" t="n">
        <v>1</v>
      </c>
      <c r="O128" s="336" t="n">
        <v>2</v>
      </c>
      <c r="P128" s="337">
        <f>N128+O128</f>
        <v/>
      </c>
    </row>
    <row r="129" ht="19.95" customHeight="1" s="227">
      <c r="A129" s="331" t="n">
        <v>113</v>
      </c>
      <c r="B129" s="332" t="inlineStr">
        <is>
          <t>BM-064</t>
        </is>
      </c>
      <c r="C129" s="332" t="n">
        <v>87</v>
      </c>
      <c r="D129" s="333" t="inlineStr">
        <is>
          <t>Ing. Jose Jorge Olivares Velazquez</t>
        </is>
      </c>
      <c r="E129" s="342" t="inlineStr">
        <is>
          <t>● AZUL</t>
        </is>
      </c>
      <c r="F129" s="335" t="inlineStr">
        <is>
          <t>H.M.R. Santa Lucía</t>
        </is>
      </c>
      <c r="G129" s="342" t="inlineStr">
        <is>
          <t>EDO DE MEX</t>
        </is>
      </c>
      <c r="H129" s="335" t="inlineStr">
        <is>
          <t>Autoqueratorrefractor, marca Nidek, modelo ARK-F</t>
        </is>
      </c>
      <c r="I129" s="335" t="inlineStr">
        <is>
          <t>Nidek</t>
        </is>
      </c>
      <c r="J129" s="335" t="inlineStr">
        <is>
          <t>ARK-F</t>
        </is>
      </c>
      <c r="K129" s="331" t="inlineStr">
        <is>
          <t>270010</t>
        </is>
      </c>
      <c r="L129" s="331" t="inlineStr">
        <is>
          <t>OFTALMO</t>
        </is>
      </c>
      <c r="M129" s="335" t="inlineStr">
        <is>
          <t>S4</t>
        </is>
      </c>
      <c r="N129" s="331" t="n">
        <v>1</v>
      </c>
      <c r="O129" s="331" t="n">
        <v>2</v>
      </c>
      <c r="P129" s="332">
        <f>N129+O129</f>
        <v/>
      </c>
    </row>
    <row r="130" ht="19.95" customHeight="1" s="227">
      <c r="A130" s="336" t="n">
        <v>114</v>
      </c>
      <c r="B130" s="337" t="inlineStr">
        <is>
          <t>BM-065</t>
        </is>
      </c>
      <c r="C130" s="337" t="n">
        <v>88</v>
      </c>
      <c r="D130" s="338" t="inlineStr">
        <is>
          <t>Ing. Jose Jorge Olivares Velazquez</t>
        </is>
      </c>
      <c r="E130" s="342" t="inlineStr">
        <is>
          <t>● AZUL</t>
        </is>
      </c>
      <c r="F130" s="339" t="inlineStr">
        <is>
          <t>H.M.R. Santa Lucía</t>
        </is>
      </c>
      <c r="G130" s="342" t="inlineStr">
        <is>
          <t>EDO DE MEX</t>
        </is>
      </c>
      <c r="H130" s="339" t="inlineStr">
        <is>
          <t>Tomógrafo-topógrafo corneal, marca CSO, modelo Sirius</t>
        </is>
      </c>
      <c r="I130" s="339" t="inlineStr">
        <is>
          <t>CSO</t>
        </is>
      </c>
      <c r="J130" s="339" t="inlineStr">
        <is>
          <t>Sirius</t>
        </is>
      </c>
      <c r="K130" s="336" t="inlineStr">
        <is>
          <t>21091186</t>
        </is>
      </c>
      <c r="L130" s="336" t="inlineStr">
        <is>
          <t>OFTALMO</t>
        </is>
      </c>
      <c r="M130" s="339" t="inlineStr">
        <is>
          <t>S4</t>
        </is>
      </c>
      <c r="N130" s="336" t="n">
        <v>1</v>
      </c>
      <c r="O130" s="336" t="n">
        <v>2</v>
      </c>
      <c r="P130" s="337">
        <f>N130+O130</f>
        <v/>
      </c>
    </row>
    <row r="131" ht="19.95" customHeight="1" s="227">
      <c r="A131" s="331" t="n">
        <v>115</v>
      </c>
      <c r="B131" s="332" t="inlineStr">
        <is>
          <t>BM-066</t>
        </is>
      </c>
      <c r="C131" s="332" t="n">
        <v>94</v>
      </c>
      <c r="D131" s="333" t="inlineStr">
        <is>
          <t>Ing. Jose Jorge Olivares Velazquez</t>
        </is>
      </c>
      <c r="E131" s="342" t="inlineStr">
        <is>
          <t>● AZUL</t>
        </is>
      </c>
      <c r="F131" s="335" t="inlineStr">
        <is>
          <t>H.M.R. Santa Lucía</t>
        </is>
      </c>
      <c r="G131" s="342" t="inlineStr">
        <is>
          <t>EDO DE MEX</t>
        </is>
      </c>
      <c r="H131" s="335" t="inlineStr">
        <is>
          <t>Fotocoagulador láser, marca Topcon, modelo Pascal Synthesis</t>
        </is>
      </c>
      <c r="I131" s="335" t="inlineStr">
        <is>
          <t>Topcon</t>
        </is>
      </c>
      <c r="J131" s="335" t="inlineStr">
        <is>
          <t>Pascal Synthesis</t>
        </is>
      </c>
      <c r="K131" s="331" t="inlineStr">
        <is>
          <t>79140219</t>
        </is>
      </c>
      <c r="L131" s="331" t="inlineStr">
        <is>
          <t>OFTALMO</t>
        </is>
      </c>
      <c r="M131" s="335" t="inlineStr">
        <is>
          <t>TOPCON</t>
        </is>
      </c>
      <c r="N131" s="331" t="n">
        <v>1</v>
      </c>
      <c r="O131" s="331" t="n">
        <v>2</v>
      </c>
      <c r="P131" s="332">
        <f>N131+O131</f>
        <v/>
      </c>
    </row>
    <row r="132" ht="19.95" customHeight="1" s="227">
      <c r="A132" s="336" t="n">
        <v>116</v>
      </c>
      <c r="B132" s="337" t="inlineStr">
        <is>
          <t>BM-118</t>
        </is>
      </c>
      <c r="C132" s="337" t="n">
        <v>171</v>
      </c>
      <c r="D132" s="338" t="inlineStr">
        <is>
          <t>Ing. Jose Jorge Olivares Velazquez</t>
        </is>
      </c>
      <c r="E132" s="342" t="inlineStr">
        <is>
          <t>● AZUL</t>
        </is>
      </c>
      <c r="F132" s="339" t="inlineStr">
        <is>
          <t>H.M.Z. Cuernavaca</t>
        </is>
      </c>
      <c r="G132" s="342" t="inlineStr">
        <is>
          <t>MORELOS</t>
        </is>
      </c>
      <c r="H132" s="339" t="inlineStr">
        <is>
          <t>Equipo de rayos X móvil, marca Technix, modelo TMS 320</t>
        </is>
      </c>
      <c r="I132" s="339" t="inlineStr">
        <is>
          <t>Technix</t>
        </is>
      </c>
      <c r="J132" s="339" t="inlineStr">
        <is>
          <t>TMS 320</t>
        </is>
      </c>
      <c r="K132" s="336" t="inlineStr">
        <is>
          <t>80-16-88-159</t>
        </is>
      </c>
      <c r="L132" s="336" t="inlineStr">
        <is>
          <t>IMAGEN</t>
        </is>
      </c>
      <c r="M132" s="339" t="inlineStr">
        <is>
          <t>Médica Dimegar</t>
        </is>
      </c>
      <c r="N132" s="336" t="n">
        <v>1</v>
      </c>
      <c r="O132" s="336" t="n">
        <v>2</v>
      </c>
      <c r="P132" s="337">
        <f>N132+O132</f>
        <v/>
      </c>
    </row>
    <row r="133" ht="19.95" customHeight="1" s="227">
      <c r="A133" s="331" t="n">
        <v>117</v>
      </c>
      <c r="B133" s="332" t="inlineStr">
        <is>
          <t>BM-081</t>
        </is>
      </c>
      <c r="C133" s="332" t="n">
        <v>231</v>
      </c>
      <c r="D133" s="333" t="inlineStr">
        <is>
          <t>Ing. Jose Jorge Olivares Velazquez</t>
        </is>
      </c>
      <c r="E133" s="342" t="inlineStr">
        <is>
          <t>● AZUL</t>
        </is>
      </c>
      <c r="F133" s="335" t="inlineStr">
        <is>
          <t>H.M.Z. Cuernavaca</t>
        </is>
      </c>
      <c r="G133" s="342" t="inlineStr">
        <is>
          <t>MORELOS</t>
        </is>
      </c>
      <c r="H133" s="335" t="inlineStr">
        <is>
          <t>Sistema de digitalización de imágenes, marca Fujifilm, modelo Digitalizador: FCR Capsula XLII (CR-IR 359) Impresora: Drypix 4000</t>
        </is>
      </c>
      <c r="I133" s="335" t="inlineStr">
        <is>
          <t>Fujifilm</t>
        </is>
      </c>
      <c r="J133" s="335" t="inlineStr">
        <is>
          <t>Digitalizador: FCR Capsula XLII (CR-IR 359) Impresora: Drypix 4000</t>
        </is>
      </c>
      <c r="K133" s="331" t="inlineStr">
        <is>
          <t>Digitalizador: 46770614 Impresora: 36653758</t>
        </is>
      </c>
      <c r="L133" s="331" t="inlineStr">
        <is>
          <t>IMAGEN</t>
        </is>
      </c>
      <c r="M133" s="335" t="inlineStr">
        <is>
          <t>Médica Dimegar</t>
        </is>
      </c>
      <c r="N133" s="331" t="n">
        <v>1</v>
      </c>
      <c r="O133" s="331" t="n">
        <v>2</v>
      </c>
      <c r="P133" s="332">
        <f>N133+O133</f>
        <v/>
      </c>
    </row>
    <row r="134" ht="19.95" customHeight="1" s="227">
      <c r="A134" s="336" t="n">
        <v>118</v>
      </c>
      <c r="B134" s="337" t="inlineStr">
        <is>
          <t>BM-101</t>
        </is>
      </c>
      <c r="C134" s="337" t="n">
        <v>367</v>
      </c>
      <c r="D134" s="338" t="inlineStr">
        <is>
          <t>Ing. Jose Jorge Olivares Velazquez</t>
        </is>
      </c>
      <c r="E134" s="342" t="inlineStr">
        <is>
          <t>● AZUL</t>
        </is>
      </c>
      <c r="F134" s="339" t="inlineStr">
        <is>
          <t>H.M.Z. Santa Gertrudis</t>
        </is>
      </c>
      <c r="G134" s="342" t="inlineStr">
        <is>
          <t>CHIHUAHUA</t>
        </is>
      </c>
      <c r="H134" s="339" t="inlineStr">
        <is>
          <t>Equipo de rayos X móvil, marca Primax, modelo Raybow dR</t>
        </is>
      </c>
      <c r="I134" s="339" t="inlineStr">
        <is>
          <t>Primax</t>
        </is>
      </c>
      <c r="J134" s="339" t="inlineStr">
        <is>
          <t>Raybow dR</t>
        </is>
      </c>
      <c r="K134" s="336" t="inlineStr">
        <is>
          <t>10076715</t>
        </is>
      </c>
      <c r="L134" s="336" t="inlineStr">
        <is>
          <t>IMAGEN</t>
        </is>
      </c>
      <c r="M134" s="339" t="inlineStr">
        <is>
          <t>Médica Dimegar</t>
        </is>
      </c>
      <c r="N134" s="336" t="n">
        <v>1</v>
      </c>
      <c r="O134" s="336" t="n">
        <v>2</v>
      </c>
      <c r="P134" s="337">
        <f>N134+O134</f>
        <v/>
      </c>
    </row>
    <row r="135" ht="19.95" customHeight="1" s="227">
      <c r="A135" s="331" t="n">
        <v>119</v>
      </c>
      <c r="B135" s="332" t="inlineStr">
        <is>
          <t>BM-114</t>
        </is>
      </c>
      <c r="C135" s="332" t="n">
        <v>165</v>
      </c>
      <c r="D135" s="333" t="inlineStr">
        <is>
          <t>Ing. Jose Jorge Olivares Velazquez</t>
        </is>
      </c>
      <c r="E135" s="342" t="inlineStr">
        <is>
          <t>● AZUL</t>
        </is>
      </c>
      <c r="F135" s="335" t="inlineStr">
        <is>
          <t>H.M.Z. Temamatla</t>
        </is>
      </c>
      <c r="G135" s="342" t="inlineStr">
        <is>
          <t>EDO DE MEX</t>
        </is>
      </c>
      <c r="H135" s="335" t="inlineStr">
        <is>
          <t>Equipo de rayos X móvil, marca Technix, modelo TMS 320</t>
        </is>
      </c>
      <c r="I135" s="335" t="inlineStr">
        <is>
          <t>Technix</t>
        </is>
      </c>
      <c r="J135" s="335" t="inlineStr">
        <is>
          <t>TMS 320</t>
        </is>
      </c>
      <c r="K135" s="331" t="inlineStr">
        <is>
          <t>80-16-105-176</t>
        </is>
      </c>
      <c r="L135" s="331" t="inlineStr">
        <is>
          <t>IMAGEN</t>
        </is>
      </c>
      <c r="M135" s="335" t="inlineStr">
        <is>
          <t>Médica Dimegar</t>
        </is>
      </c>
      <c r="N135" s="331" t="n">
        <v>1</v>
      </c>
      <c r="O135" s="331" t="n">
        <v>2</v>
      </c>
      <c r="P135" s="332">
        <f>N135+O135</f>
        <v/>
      </c>
    </row>
    <row r="136" ht="19.95" customHeight="1" s="227">
      <c r="A136" s="336" t="n">
        <v>120</v>
      </c>
      <c r="B136" s="337" t="inlineStr">
        <is>
          <t>BM-079</t>
        </is>
      </c>
      <c r="C136" s="337" t="n">
        <v>227</v>
      </c>
      <c r="D136" s="338" t="inlineStr">
        <is>
          <t>Ing. Jose Jorge Olivares Velazquez</t>
        </is>
      </c>
      <c r="E136" s="342" t="inlineStr">
        <is>
          <t>● AZUL</t>
        </is>
      </c>
      <c r="F136" s="339" t="inlineStr">
        <is>
          <t>H.M.Z. Temamatla</t>
        </is>
      </c>
      <c r="G136" s="342" t="inlineStr">
        <is>
          <t>EDO DE MEX</t>
        </is>
      </c>
      <c r="H136" s="339" t="inlineStr">
        <is>
          <t>Sistema de digitalización de imágenes, marca Fujifilm, modelo Digitalizador: FCR Capsula XLII (CR-IR 359) Impresora: Drypix 4000</t>
        </is>
      </c>
      <c r="I136" s="339" t="inlineStr">
        <is>
          <t>Fujifilm</t>
        </is>
      </c>
      <c r="J136" s="339" t="inlineStr">
        <is>
          <t>Digitalizador: FCR Capsula XLII (CR-IR 359) Impresora: Drypix 4000</t>
        </is>
      </c>
      <c r="K136" s="336" t="inlineStr">
        <is>
          <t>Digitalizador: 46370281 Impresora: 36753805</t>
        </is>
      </c>
      <c r="L136" s="336" t="inlineStr">
        <is>
          <t>IMAGEN</t>
        </is>
      </c>
      <c r="M136" s="339" t="inlineStr">
        <is>
          <t>Médica Dimegar</t>
        </is>
      </c>
      <c r="N136" s="336" t="n">
        <v>1</v>
      </c>
      <c r="O136" s="336" t="n">
        <v>2</v>
      </c>
      <c r="P136" s="337">
        <f>N136+O136</f>
        <v/>
      </c>
    </row>
    <row r="137" ht="19.95" customHeight="1" s="227">
      <c r="A137" s="331" t="n">
        <v>121</v>
      </c>
      <c r="B137" s="332" t="inlineStr">
        <is>
          <t>BM-080</t>
        </is>
      </c>
      <c r="C137" s="332" t="n">
        <v>228</v>
      </c>
      <c r="D137" s="333" t="inlineStr">
        <is>
          <t>Ing. Jose Jorge Olivares Velazquez</t>
        </is>
      </c>
      <c r="E137" s="342" t="inlineStr">
        <is>
          <t>● AZUL</t>
        </is>
      </c>
      <c r="F137" s="335" t="inlineStr">
        <is>
          <t>H.M.Z. Temamatla</t>
        </is>
      </c>
      <c r="G137" s="342" t="inlineStr">
        <is>
          <t>EDO DE MEX</t>
        </is>
      </c>
      <c r="H137" s="335" t="inlineStr">
        <is>
          <t>Impresora para placas radiográficas, marca Konica Minolta, modelo DryPro 873</t>
        </is>
      </c>
      <c r="I137" s="335" t="inlineStr">
        <is>
          <t>Konica Minolta</t>
        </is>
      </c>
      <c r="J137" s="335" t="inlineStr">
        <is>
          <t>DryPro 873</t>
        </is>
      </c>
      <c r="K137" s="331" t="inlineStr">
        <is>
          <t>0992-50128</t>
        </is>
      </c>
      <c r="L137" s="331" t="inlineStr">
        <is>
          <t>IMAGEN</t>
        </is>
      </c>
      <c r="M137" s="335" t="inlineStr">
        <is>
          <t>Médica Dimegar</t>
        </is>
      </c>
      <c r="N137" s="331" t="n">
        <v>1</v>
      </c>
      <c r="O137" s="331" t="n">
        <v>2</v>
      </c>
      <c r="P137" s="332">
        <f>N137+O137</f>
        <v/>
      </c>
    </row>
    <row r="138" ht="19.95" customHeight="1" s="227">
      <c r="A138" s="336" t="n">
        <v>122</v>
      </c>
      <c r="B138" s="337" t="inlineStr">
        <is>
          <t>BM-138</t>
        </is>
      </c>
      <c r="C138" s="337" t="n">
        <v>314</v>
      </c>
      <c r="D138" s="338" t="inlineStr">
        <is>
          <t>Ing. Jose Paris Mendoza Cortes</t>
        </is>
      </c>
      <c r="E138" s="343" t="inlineStr">
        <is>
          <t>● VINO</t>
        </is>
      </c>
      <c r="F138" s="339" t="inlineStr">
        <is>
          <t>H.M.R. Puebla</t>
        </is>
      </c>
      <c r="G138" s="343" t="inlineStr">
        <is>
          <t>PUEBLA</t>
        </is>
      </c>
      <c r="H138" s="339" t="inlineStr">
        <is>
          <t>Equipo de rayos X móvil, marca Technix, modelo TMS 320</t>
        </is>
      </c>
      <c r="I138" s="339" t="inlineStr">
        <is>
          <t>Technix</t>
        </is>
      </c>
      <c r="J138" s="339" t="inlineStr">
        <is>
          <t>TMS 320</t>
        </is>
      </c>
      <c r="K138" s="336" t="inlineStr">
        <is>
          <t>80-16-101-172</t>
        </is>
      </c>
      <c r="L138" s="336" t="inlineStr">
        <is>
          <t>IMAGEN</t>
        </is>
      </c>
      <c r="M138" s="339" t="inlineStr">
        <is>
          <t>Médica Dimegar</t>
        </is>
      </c>
      <c r="N138" s="336" t="n">
        <v>1</v>
      </c>
      <c r="O138" s="336" t="n">
        <v>2</v>
      </c>
      <c r="P138" s="337">
        <f>N138+O138</f>
        <v/>
      </c>
    </row>
    <row r="139" ht="19.95" customHeight="1" s="227">
      <c r="A139" s="331" t="n">
        <v>123</v>
      </c>
      <c r="B139" s="332" t="inlineStr">
        <is>
          <t>BM-139</t>
        </is>
      </c>
      <c r="C139" s="332" t="n">
        <v>316</v>
      </c>
      <c r="D139" s="333" t="inlineStr">
        <is>
          <t>Ing. Jose Paris Mendoza Cortes</t>
        </is>
      </c>
      <c r="E139" s="343" t="inlineStr">
        <is>
          <t>● VINO</t>
        </is>
      </c>
      <c r="F139" s="335" t="inlineStr">
        <is>
          <t>H.M.R. Puebla</t>
        </is>
      </c>
      <c r="G139" s="343" t="inlineStr">
        <is>
          <t>PUEBLA</t>
        </is>
      </c>
      <c r="H139" s="335" t="inlineStr">
        <is>
          <t>Equipo de rayos X móvil, marca Mindray, modelo MobiEye 700</t>
        </is>
      </c>
      <c r="I139" s="335" t="inlineStr">
        <is>
          <t>Mindray</t>
        </is>
      </c>
      <c r="J139" s="335" t="inlineStr">
        <is>
          <t>MobiEye 700</t>
        </is>
      </c>
      <c r="K139" s="331" t="inlineStr">
        <is>
          <t>C8-05002378T</t>
        </is>
      </c>
      <c r="L139" s="331" t="inlineStr">
        <is>
          <t>IMAGEN</t>
        </is>
      </c>
      <c r="M139" s="335" t="inlineStr">
        <is>
          <t>Médica Dimegar</t>
        </is>
      </c>
      <c r="N139" s="331" t="n">
        <v>1</v>
      </c>
      <c r="O139" s="331" t="n">
        <v>2</v>
      </c>
      <c r="P139" s="332">
        <f>N139+O139</f>
        <v/>
      </c>
    </row>
    <row r="140" ht="19.95" customHeight="1" s="227">
      <c r="A140" s="336" t="n">
        <v>124</v>
      </c>
      <c r="B140" s="337" t="inlineStr">
        <is>
          <t>BM-109</t>
        </is>
      </c>
      <c r="C140" s="337" t="n">
        <v>149</v>
      </c>
      <c r="D140" s="338" t="inlineStr">
        <is>
          <t>Ing. Jose Paris Mendoza Cortes</t>
        </is>
      </c>
      <c r="E140" s="343" t="inlineStr">
        <is>
          <t>● VINO</t>
        </is>
      </c>
      <c r="F140" s="339" t="inlineStr">
        <is>
          <t>H.M.R. San Luis Potosí</t>
        </is>
      </c>
      <c r="G140" s="343" t="inlineStr">
        <is>
          <t>SAN LUIS POTOSI</t>
        </is>
      </c>
      <c r="H140" s="339" t="inlineStr">
        <is>
          <t>Equipo de rayos X móvil, marca Technix, modelo TMS 320</t>
        </is>
      </c>
      <c r="I140" s="339" t="inlineStr">
        <is>
          <t>Technix</t>
        </is>
      </c>
      <c r="J140" s="339" t="inlineStr">
        <is>
          <t>TMS 320</t>
        </is>
      </c>
      <c r="K140" s="336" t="inlineStr">
        <is>
          <t>80-16-87-158</t>
        </is>
      </c>
      <c r="L140" s="336" t="inlineStr">
        <is>
          <t>IMAGEN</t>
        </is>
      </c>
      <c r="M140" s="339" t="inlineStr">
        <is>
          <t>Médica Dimegar</t>
        </is>
      </c>
      <c r="N140" s="336" t="n">
        <v>1</v>
      </c>
      <c r="O140" s="336" t="n">
        <v>2</v>
      </c>
      <c r="P140" s="337">
        <f>N140+O140</f>
        <v/>
      </c>
    </row>
    <row r="141" ht="19.95" customHeight="1" s="227">
      <c r="A141" s="331" t="n">
        <v>125</v>
      </c>
      <c r="B141" s="332" t="inlineStr">
        <is>
          <t>BM-131</t>
        </is>
      </c>
      <c r="C141" s="332" t="n">
        <v>230</v>
      </c>
      <c r="D141" s="333" t="inlineStr">
        <is>
          <t>Ing. Jose Paris Mendoza Cortes</t>
        </is>
      </c>
      <c r="E141" s="343" t="inlineStr">
        <is>
          <t>● VINO</t>
        </is>
      </c>
      <c r="F141" s="335" t="inlineStr">
        <is>
          <t>H.M.R., Irapuato</t>
        </is>
      </c>
      <c r="G141" s="343" t="inlineStr">
        <is>
          <t>GUANAJUATO</t>
        </is>
      </c>
      <c r="H141" s="335" t="inlineStr">
        <is>
          <t>Equipo de rayos X móvil, marca Technix, modelo TMS 320</t>
        </is>
      </c>
      <c r="I141" s="335" t="inlineStr">
        <is>
          <t>Technix</t>
        </is>
      </c>
      <c r="J141" s="335" t="inlineStr">
        <is>
          <t>TMS 320</t>
        </is>
      </c>
      <c r="K141" s="331" t="inlineStr">
        <is>
          <t>80-16-85-156</t>
        </is>
      </c>
      <c r="L141" s="331" t="inlineStr">
        <is>
          <t>IMAGEN</t>
        </is>
      </c>
      <c r="M141" s="335" t="inlineStr">
        <is>
          <t>Médica Dimegar</t>
        </is>
      </c>
      <c r="N141" s="331" t="n">
        <v>1</v>
      </c>
      <c r="O141" s="331" t="n">
        <v>2</v>
      </c>
      <c r="P141" s="332">
        <f>N141+O141</f>
        <v/>
      </c>
    </row>
    <row r="142" ht="19.95" customHeight="1" s="227">
      <c r="A142" s="336" t="n">
        <v>126</v>
      </c>
      <c r="B142" s="337" t="inlineStr">
        <is>
          <t>BM-102</t>
        </is>
      </c>
      <c r="C142" s="337" t="n">
        <v>99</v>
      </c>
      <c r="D142" s="338" t="inlineStr">
        <is>
          <t>Ing. Jose Paris Mendoza Cortes</t>
        </is>
      </c>
      <c r="E142" s="343" t="inlineStr">
        <is>
          <t>● VINO</t>
        </is>
      </c>
      <c r="F142" s="339" t="inlineStr">
        <is>
          <t>H.M.Z. Cinco de Mayo</t>
        </is>
      </c>
      <c r="G142" s="343" t="inlineStr">
        <is>
          <t>DURANGO</t>
        </is>
      </c>
      <c r="H142" s="339" t="inlineStr">
        <is>
          <t>Rayos X fijo, marca Del Medical, modelo EV 800</t>
        </is>
      </c>
      <c r="I142" s="339" t="inlineStr">
        <is>
          <t>Del Medical</t>
        </is>
      </c>
      <c r="J142" s="339" t="inlineStr">
        <is>
          <t>EV 800</t>
        </is>
      </c>
      <c r="K142" s="336" t="inlineStr">
        <is>
          <t>02776-1019-W</t>
        </is>
      </c>
      <c r="L142" s="336" t="inlineStr">
        <is>
          <t>IMAGEN</t>
        </is>
      </c>
      <c r="M142" s="339" t="inlineStr">
        <is>
          <t>Médica Dimegar</t>
        </is>
      </c>
      <c r="N142" s="336" t="n">
        <v>1</v>
      </c>
      <c r="O142" s="336" t="n">
        <v>2</v>
      </c>
      <c r="P142" s="337">
        <f>N142+O142</f>
        <v/>
      </c>
    </row>
    <row r="143" ht="19.95" customHeight="1" s="227">
      <c r="A143" s="331" t="n">
        <v>127</v>
      </c>
      <c r="B143" s="332" t="inlineStr">
        <is>
          <t>BM-112</t>
        </is>
      </c>
      <c r="C143" s="332" t="n">
        <v>163</v>
      </c>
      <c r="D143" s="333" t="inlineStr">
        <is>
          <t>Ing. Jose Paris Mendoza Cortes</t>
        </is>
      </c>
      <c r="E143" s="343" t="inlineStr">
        <is>
          <t>● VINO</t>
        </is>
      </c>
      <c r="F143" s="335" t="inlineStr">
        <is>
          <t>H.M.Z. El Vergel, Iztapalapa</t>
        </is>
      </c>
      <c r="G143" s="343" t="inlineStr">
        <is>
          <t>CDMX</t>
        </is>
      </c>
      <c r="H143" s="335" t="inlineStr">
        <is>
          <t>Equipo de rayos X móvil, marca Technix, modelo TMS 320</t>
        </is>
      </c>
      <c r="I143" s="335" t="inlineStr">
        <is>
          <t>Technix</t>
        </is>
      </c>
      <c r="J143" s="335" t="inlineStr">
        <is>
          <t>TMS 320</t>
        </is>
      </c>
      <c r="K143" s="331" t="inlineStr">
        <is>
          <t>80-16-90-161</t>
        </is>
      </c>
      <c r="L143" s="331" t="inlineStr">
        <is>
          <t>IMAGEN</t>
        </is>
      </c>
      <c r="M143" s="335" t="inlineStr">
        <is>
          <t>Médica Dimegar</t>
        </is>
      </c>
      <c r="N143" s="331" t="n">
        <v>1</v>
      </c>
      <c r="O143" s="331" t="n">
        <v>2</v>
      </c>
      <c r="P143" s="332">
        <f>N143+O143</f>
        <v/>
      </c>
    </row>
    <row r="144" ht="19.95" customHeight="1" s="227">
      <c r="A144" s="336" t="n">
        <v>128</v>
      </c>
      <c r="B144" s="337" t="inlineStr">
        <is>
          <t>BM-129</t>
        </is>
      </c>
      <c r="C144" s="337" t="n">
        <v>225</v>
      </c>
      <c r="D144" s="338" t="inlineStr">
        <is>
          <t>Ing. Jose Paris Mendoza Cortes</t>
        </is>
      </c>
      <c r="E144" s="343" t="inlineStr">
        <is>
          <t>● VINO</t>
        </is>
      </c>
      <c r="F144" s="339" t="inlineStr">
        <is>
          <t>H.M.Z. Guadalupe</t>
        </is>
      </c>
      <c r="G144" s="343" t="inlineStr">
        <is>
          <t>ZACATECAS</t>
        </is>
      </c>
      <c r="H144" s="339" t="inlineStr">
        <is>
          <t>Equipo de rayos X móvil, marca Technix, modelo TMS 320</t>
        </is>
      </c>
      <c r="I144" s="339" t="inlineStr">
        <is>
          <t>Technix</t>
        </is>
      </c>
      <c r="J144" s="339" t="inlineStr">
        <is>
          <t>TMS 320</t>
        </is>
      </c>
      <c r="K144" s="336" t="inlineStr">
        <is>
          <t>80-16-86-157</t>
        </is>
      </c>
      <c r="L144" s="336" t="inlineStr">
        <is>
          <t>IMAGEN</t>
        </is>
      </c>
      <c r="M144" s="339" t="inlineStr">
        <is>
          <t>Médica Dimegar</t>
        </is>
      </c>
      <c r="N144" s="336" t="n">
        <v>1</v>
      </c>
      <c r="O144" s="336" t="n">
        <v>2</v>
      </c>
      <c r="P144" s="337">
        <f>N144+O144</f>
        <v/>
      </c>
    </row>
    <row r="145" ht="19.95" customHeight="1" s="227">
      <c r="A145" s="331" t="n">
        <v>129</v>
      </c>
      <c r="B145" s="332" t="inlineStr">
        <is>
          <t>BM-132</t>
        </is>
      </c>
      <c r="C145" s="332" t="n">
        <v>265</v>
      </c>
      <c r="D145" s="333" t="inlineStr">
        <is>
          <t>Ing. Jose Paris Mendoza Cortes</t>
        </is>
      </c>
      <c r="E145" s="343" t="inlineStr">
        <is>
          <t>● VINO</t>
        </is>
      </c>
      <c r="F145" s="335" t="inlineStr">
        <is>
          <t>H.M.Z. Santa María Rayón</t>
        </is>
      </c>
      <c r="G145" s="343" t="inlineStr">
        <is>
          <t>EDO DE MEX</t>
        </is>
      </c>
      <c r="H145" s="335" t="inlineStr">
        <is>
          <t>Rayos X móvil, marca Listem, modelo MOBIX-1000</t>
        </is>
      </c>
      <c r="I145" s="335" t="inlineStr">
        <is>
          <t>Listem</t>
        </is>
      </c>
      <c r="J145" s="335" t="inlineStr">
        <is>
          <t>MOBIX-1000</t>
        </is>
      </c>
      <c r="K145" s="331" t="inlineStr">
        <is>
          <t>10 0155</t>
        </is>
      </c>
      <c r="L145" s="331" t="inlineStr">
        <is>
          <t>IMAGEN</t>
        </is>
      </c>
      <c r="M145" s="335" t="inlineStr">
        <is>
          <t>Médica Dimegar</t>
        </is>
      </c>
      <c r="N145" s="331" t="n">
        <v>1</v>
      </c>
      <c r="O145" s="331" t="n">
        <v>2</v>
      </c>
      <c r="P145" s="332">
        <f>N145+O145</f>
        <v/>
      </c>
    </row>
    <row r="146" ht="19.95" customHeight="1" s="227">
      <c r="A146" s="336" t="n">
        <v>130</v>
      </c>
      <c r="B146" s="337" t="inlineStr">
        <is>
          <t>BM-142</t>
        </is>
      </c>
      <c r="C146" s="337" t="n">
        <v>353</v>
      </c>
      <c r="D146" s="338" t="inlineStr">
        <is>
          <t>Ing. Jose Paris Mendoza Cortes</t>
        </is>
      </c>
      <c r="E146" s="343" t="inlineStr">
        <is>
          <t>● VINO</t>
        </is>
      </c>
      <c r="F146" s="339" t="inlineStr">
        <is>
          <t>U.M.C.E. Tlalpan</t>
        </is>
      </c>
      <c r="G146" s="343" t="inlineStr">
        <is>
          <t>CDMX</t>
        </is>
      </c>
      <c r="H146" s="339" t="inlineStr">
        <is>
          <t>Rayos X portátil, marca Carestream, modelo DRX Revolution</t>
        </is>
      </c>
      <c r="I146" s="339" t="inlineStr">
        <is>
          <t>Carestream</t>
        </is>
      </c>
      <c r="J146" s="339" t="inlineStr">
        <is>
          <t>DRX Revolution</t>
        </is>
      </c>
      <c r="K146" s="336" t="inlineStr">
        <is>
          <t>21F0363</t>
        </is>
      </c>
      <c r="L146" s="336" t="inlineStr">
        <is>
          <t>IMAGEN</t>
        </is>
      </c>
      <c r="M146" s="339" t="inlineStr">
        <is>
          <t>Médica Dimegar</t>
        </is>
      </c>
      <c r="N146" s="336" t="n">
        <v>1</v>
      </c>
      <c r="O146" s="336" t="n">
        <v>2</v>
      </c>
      <c r="P146" s="337">
        <f>N146+O146</f>
        <v/>
      </c>
    </row>
    <row r="147" ht="19.95" customHeight="1" s="227">
      <c r="A147" s="331" t="n">
        <v>131</v>
      </c>
      <c r="B147" s="332" t="inlineStr">
        <is>
          <t>BM-106</t>
        </is>
      </c>
      <c r="C147" s="332" t="n">
        <v>140</v>
      </c>
      <c r="D147" s="333" t="inlineStr">
        <is>
          <t>Ing. Jose Romero Najera</t>
        </is>
      </c>
      <c r="E147" s="344" t="inlineStr">
        <is>
          <t>● MORADO</t>
        </is>
      </c>
      <c r="F147" s="335" t="inlineStr">
        <is>
          <t>H.M.R. Tuxtla Gutiérrez</t>
        </is>
      </c>
      <c r="G147" s="344" t="inlineStr">
        <is>
          <t>CHIAPAS</t>
        </is>
      </c>
      <c r="H147" s="335" t="inlineStr">
        <is>
          <t>Rayos X móvil, marca Fujifilm, modelo FDR Go</t>
        </is>
      </c>
      <c r="I147" s="335" t="inlineStr">
        <is>
          <t>Fujifilm</t>
        </is>
      </c>
      <c r="J147" s="335" t="inlineStr">
        <is>
          <t>FDR Go</t>
        </is>
      </c>
      <c r="K147" s="331" t="inlineStr">
        <is>
          <t>41DBBA146046</t>
        </is>
      </c>
      <c r="L147" s="331" t="inlineStr">
        <is>
          <t>IMAGEN</t>
        </is>
      </c>
      <c r="M147" s="335" t="inlineStr">
        <is>
          <t>Médica Dimegar</t>
        </is>
      </c>
      <c r="N147" s="331" t="n">
        <v>1</v>
      </c>
      <c r="O147" s="331" t="n">
        <v>2</v>
      </c>
      <c r="P147" s="332">
        <f>N147+O147</f>
        <v/>
      </c>
    </row>
    <row r="148" ht="19.95" customHeight="1" s="227">
      <c r="A148" s="336" t="n">
        <v>132</v>
      </c>
      <c r="B148" s="337" t="inlineStr">
        <is>
          <t>BM-117</t>
        </is>
      </c>
      <c r="C148" s="337" t="n">
        <v>168</v>
      </c>
      <c r="D148" s="338" t="inlineStr">
        <is>
          <t>Ing. Jose Romero Najera</t>
        </is>
      </c>
      <c r="E148" s="344" t="inlineStr">
        <is>
          <t>● MORADO</t>
        </is>
      </c>
      <c r="F148" s="339" t="inlineStr">
        <is>
          <t>H.M.R. Tuxtla Gutiérrez</t>
        </is>
      </c>
      <c r="G148" s="344" t="inlineStr">
        <is>
          <t>CHIAPAS</t>
        </is>
      </c>
      <c r="H148" s="339" t="inlineStr">
        <is>
          <t>Equipo de rayos X móvil, marca Technix, modelo TMS 320</t>
        </is>
      </c>
      <c r="I148" s="339" t="inlineStr">
        <is>
          <t>Technix</t>
        </is>
      </c>
      <c r="J148" s="339" t="inlineStr">
        <is>
          <t>TMS 320</t>
        </is>
      </c>
      <c r="K148" s="336" t="inlineStr">
        <is>
          <t>80-16-102-173</t>
        </is>
      </c>
      <c r="L148" s="336" t="inlineStr">
        <is>
          <t>IMAGEN</t>
        </is>
      </c>
      <c r="M148" s="339" t="inlineStr">
        <is>
          <t>Médica Dimegar</t>
        </is>
      </c>
      <c r="N148" s="336" t="n">
        <v>1</v>
      </c>
      <c r="O148" s="336" t="n">
        <v>2</v>
      </c>
      <c r="P148" s="337">
        <f>N148+O148</f>
        <v/>
      </c>
    </row>
    <row r="149" ht="19.95" customHeight="1" s="227">
      <c r="A149" s="331" t="n">
        <v>133</v>
      </c>
      <c r="B149" s="332" t="inlineStr">
        <is>
          <t>BM-126</t>
        </is>
      </c>
      <c r="C149" s="332" t="n">
        <v>203</v>
      </c>
      <c r="D149" s="333" t="inlineStr">
        <is>
          <t>Ing. Jose Romero Najera</t>
        </is>
      </c>
      <c r="E149" s="344" t="inlineStr">
        <is>
          <t>● MORADO</t>
        </is>
      </c>
      <c r="F149" s="335" t="inlineStr">
        <is>
          <t>H.M.R. Tuxtla Gutiérrez</t>
        </is>
      </c>
      <c r="G149" s="344" t="inlineStr">
        <is>
          <t>CHIAPAS</t>
        </is>
      </c>
      <c r="H149" s="335" t="inlineStr">
        <is>
          <t>Topógrafo corneal , marca Bausch &amp; Lomb, modelo ORBSCAN lll</t>
        </is>
      </c>
      <c r="I149" s="335" t="inlineStr">
        <is>
          <t>Bausch &amp; Lomb</t>
        </is>
      </c>
      <c r="J149" s="335" t="inlineStr">
        <is>
          <t>ORBSCAN lll</t>
        </is>
      </c>
      <c r="K149" s="331" t="inlineStr">
        <is>
          <t>50004019-0093</t>
        </is>
      </c>
      <c r="L149" s="331" t="inlineStr">
        <is>
          <t>OFTALMO</t>
        </is>
      </c>
      <c r="M149" s="335" t="inlineStr">
        <is>
          <t>BAUSH</t>
        </is>
      </c>
      <c r="N149" s="331" t="n">
        <v>1</v>
      </c>
      <c r="O149" s="331" t="n">
        <v>2</v>
      </c>
      <c r="P149" s="332">
        <f>N149+O149</f>
        <v/>
      </c>
    </row>
    <row r="150" ht="19.95" customHeight="1" s="227">
      <c r="A150" s="336" t="n">
        <v>134</v>
      </c>
      <c r="B150" s="337" t="inlineStr">
        <is>
          <t>BM-002</t>
        </is>
      </c>
      <c r="C150" s="337" t="n">
        <v>16</v>
      </c>
      <c r="D150" s="338" t="inlineStr">
        <is>
          <t>Ing. Jose Romero Najera</t>
        </is>
      </c>
      <c r="E150" s="344" t="inlineStr">
        <is>
          <t>● MORADO</t>
        </is>
      </c>
      <c r="F150" s="339" t="inlineStr">
        <is>
          <t>H.M.Z. Ixcotel</t>
        </is>
      </c>
      <c r="G150" s="344" t="inlineStr">
        <is>
          <t>OAXACA</t>
        </is>
      </c>
      <c r="H150" s="339" t="inlineStr">
        <is>
          <t>Sistema de diagnóstico oftálmico avanzado, marca Heidelberg Engineering, modelo Anterion</t>
        </is>
      </c>
      <c r="I150" s="339" t="inlineStr">
        <is>
          <t>Heidelberg Engineering</t>
        </is>
      </c>
      <c r="J150" s="339" t="inlineStr">
        <is>
          <t>Anterion</t>
        </is>
      </c>
      <c r="K150" s="336" t="inlineStr">
        <is>
          <t>01827B0106</t>
        </is>
      </c>
      <c r="L150" s="336" t="inlineStr">
        <is>
          <t>OFTALMO</t>
        </is>
      </c>
      <c r="M150" s="339" t="inlineStr">
        <is>
          <t>ARFAMEX</t>
        </is>
      </c>
      <c r="N150" s="336" t="n">
        <v>1</v>
      </c>
      <c r="O150" s="336" t="n">
        <v>2</v>
      </c>
      <c r="P150" s="337">
        <f>N150+O150</f>
        <v/>
      </c>
    </row>
    <row r="151" ht="19.95" customHeight="1" s="227">
      <c r="A151" s="331" t="n">
        <v>135</v>
      </c>
      <c r="B151" s="332" t="inlineStr">
        <is>
          <t>BM-003</t>
        </is>
      </c>
      <c r="C151" s="332" t="n">
        <v>17</v>
      </c>
      <c r="D151" s="333" t="inlineStr">
        <is>
          <t>Ing. Jose Romero Najera</t>
        </is>
      </c>
      <c r="E151" s="344" t="inlineStr">
        <is>
          <t>● MORADO</t>
        </is>
      </c>
      <c r="F151" s="335" t="inlineStr">
        <is>
          <t>H.M.Z. Ixcotel</t>
        </is>
      </c>
      <c r="G151" s="344" t="inlineStr">
        <is>
          <t>OAXACA</t>
        </is>
      </c>
      <c r="H151" s="335" t="inlineStr">
        <is>
          <t>Sistema de diagnóstico oftálmico avanzado, marca Heidelberg Engineering, modelo Spectralis</t>
        </is>
      </c>
      <c r="I151" s="335" t="inlineStr">
        <is>
          <t>Heidelberg Engineering</t>
        </is>
      </c>
      <c r="J151" s="335" t="inlineStr">
        <is>
          <t>Spectralis</t>
        </is>
      </c>
      <c r="K151" s="331" t="inlineStr">
        <is>
          <t>SPEC-CAM-22694-S3610</t>
        </is>
      </c>
      <c r="L151" s="331" t="inlineStr">
        <is>
          <t>OFTALMO</t>
        </is>
      </c>
      <c r="M151" s="335" t="inlineStr">
        <is>
          <t>ARFAMEX</t>
        </is>
      </c>
      <c r="N151" s="331" t="n">
        <v>1</v>
      </c>
      <c r="O151" s="331" t="n">
        <v>2</v>
      </c>
      <c r="P151" s="332">
        <f>N151+O151</f>
        <v/>
      </c>
    </row>
    <row r="152" ht="19.95" customHeight="1" s="227">
      <c r="A152" s="336" t="n">
        <v>136</v>
      </c>
      <c r="B152" s="337" t="inlineStr">
        <is>
          <t>BM-115</t>
        </is>
      </c>
      <c r="C152" s="337" t="n">
        <v>166</v>
      </c>
      <c r="D152" s="338" t="inlineStr">
        <is>
          <t>Ing. Jose Romero Najera</t>
        </is>
      </c>
      <c r="E152" s="344" t="inlineStr">
        <is>
          <t>● MORADO</t>
        </is>
      </c>
      <c r="F152" s="339" t="inlineStr">
        <is>
          <t>H.M.Z. Ixcotel</t>
        </is>
      </c>
      <c r="G152" s="344" t="inlineStr">
        <is>
          <t>OAXACA</t>
        </is>
      </c>
      <c r="H152" s="339" t="inlineStr">
        <is>
          <t>Equipo de rayos X móvil, marca Technix, modelo TMS 320</t>
        </is>
      </c>
      <c r="I152" s="339" t="inlineStr">
        <is>
          <t>Technix</t>
        </is>
      </c>
      <c r="J152" s="339" t="inlineStr">
        <is>
          <t>TMS 320</t>
        </is>
      </c>
      <c r="K152" s="336" t="inlineStr">
        <is>
          <t>80-16-104-175</t>
        </is>
      </c>
      <c r="L152" s="336" t="inlineStr">
        <is>
          <t>IMAGEN</t>
        </is>
      </c>
      <c r="M152" s="339" t="inlineStr">
        <is>
          <t>Médica Dimegar</t>
        </is>
      </c>
      <c r="N152" s="336" t="n">
        <v>1</v>
      </c>
      <c r="O152" s="336" t="n">
        <v>2</v>
      </c>
      <c r="P152" s="337">
        <f>N152+O152</f>
        <v/>
      </c>
    </row>
    <row r="153" ht="19.95" customHeight="1" s="227">
      <c r="A153" s="331" t="n">
        <v>137</v>
      </c>
      <c r="B153" s="332" t="inlineStr">
        <is>
          <t>BM-083</t>
        </is>
      </c>
      <c r="C153" s="332" t="n">
        <v>268</v>
      </c>
      <c r="D153" s="333" t="inlineStr">
        <is>
          <t>Ing. Jose Romero Najera</t>
        </is>
      </c>
      <c r="E153" s="344" t="inlineStr">
        <is>
          <t>● MORADO</t>
        </is>
      </c>
      <c r="F153" s="335" t="inlineStr">
        <is>
          <t>H.M.Z. Ixcotel</t>
        </is>
      </c>
      <c r="G153" s="344" t="inlineStr">
        <is>
          <t>OAXACA</t>
        </is>
      </c>
      <c r="H153" s="335" t="inlineStr">
        <is>
          <t>Fotocoagulador láser , marca Meridian AG, modelo SLA-UNI</t>
        </is>
      </c>
      <c r="I153" s="335" t="inlineStr">
        <is>
          <t>Meridian AG</t>
        </is>
      </c>
      <c r="J153" s="335" t="inlineStr">
        <is>
          <t>SLA-UNI</t>
        </is>
      </c>
      <c r="K153" s="331" t="inlineStr">
        <is>
          <t>0069</t>
        </is>
      </c>
      <c r="L153" s="331" t="inlineStr">
        <is>
          <t>OFTALMO</t>
        </is>
      </c>
      <c r="M153" s="335" t="inlineStr">
        <is>
          <t>DEWIMED</t>
        </is>
      </c>
      <c r="N153" s="331" t="n">
        <v>1</v>
      </c>
      <c r="O153" s="331" t="n">
        <v>2</v>
      </c>
      <c r="P153" s="332">
        <f>N153+O153</f>
        <v/>
      </c>
    </row>
    <row r="154" ht="19.95" customHeight="1" s="227">
      <c r="A154" s="336" t="n">
        <v>138</v>
      </c>
      <c r="B154" s="337" t="inlineStr">
        <is>
          <t>BM-084</t>
        </is>
      </c>
      <c r="C154" s="337" t="n">
        <v>273</v>
      </c>
      <c r="D154" s="338" t="inlineStr">
        <is>
          <t>Ing. Jose Romero Najera</t>
        </is>
      </c>
      <c r="E154" s="344" t="inlineStr">
        <is>
          <t>● MORADO</t>
        </is>
      </c>
      <c r="F154" s="339" t="inlineStr">
        <is>
          <t>H.M.Z. Ixcotel</t>
        </is>
      </c>
      <c r="G154" s="344" t="inlineStr">
        <is>
          <t>OAXACA</t>
        </is>
      </c>
      <c r="H154" s="339" t="inlineStr">
        <is>
          <t>Láser oftálmico, marca Alcon, modelo 3000LE</t>
        </is>
      </c>
      <c r="I154" s="339" t="inlineStr">
        <is>
          <t>Alcon</t>
        </is>
      </c>
      <c r="J154" s="339" t="inlineStr">
        <is>
          <t>3000LE</t>
        </is>
      </c>
      <c r="K154" s="336" t="inlineStr">
        <is>
          <t>5342LX</t>
        </is>
      </c>
      <c r="L154" s="336" t="inlineStr">
        <is>
          <t>OFTALMO</t>
        </is>
      </c>
      <c r="M154" s="339" t="inlineStr">
        <is>
          <t>ALCON</t>
        </is>
      </c>
      <c r="N154" s="336" t="n">
        <v>1</v>
      </c>
      <c r="O154" s="336" t="n">
        <v>2</v>
      </c>
      <c r="P154" s="337">
        <f>N154+O154</f>
        <v/>
      </c>
    </row>
    <row r="155" ht="19.95" customHeight="1" s="227">
      <c r="A155" s="331" t="n">
        <v>139</v>
      </c>
      <c r="B155" s="332" t="inlineStr">
        <is>
          <t>BM-107</t>
        </is>
      </c>
      <c r="C155" s="332" t="n">
        <v>144</v>
      </c>
      <c r="D155" s="333" t="inlineStr">
        <is>
          <t>Ing. Fernando Javier Michel Euan</t>
        </is>
      </c>
      <c r="E155" s="345" t="inlineStr">
        <is>
          <t>● VERDE</t>
        </is>
      </c>
      <c r="F155" s="335" t="inlineStr">
        <is>
          <t>H.M.R.E. Mérida</t>
        </is>
      </c>
      <c r="G155" s="345" t="inlineStr">
        <is>
          <t>YUCATAN</t>
        </is>
      </c>
      <c r="H155" s="335" t="inlineStr">
        <is>
          <t>Rayos X móvil, marca Villa Sistemi Medicali, modelo Visitor T30 M-DR</t>
        </is>
      </c>
      <c r="I155" s="335" t="inlineStr">
        <is>
          <t>Villa Sistemi Medicali</t>
        </is>
      </c>
      <c r="J155" s="335" t="inlineStr">
        <is>
          <t>Visitor T30 M-DR</t>
        </is>
      </c>
      <c r="K155" s="331" t="inlineStr">
        <is>
          <t>17091017</t>
        </is>
      </c>
      <c r="L155" s="331" t="inlineStr">
        <is>
          <t>IMAGEN</t>
        </is>
      </c>
      <c r="M155" s="335" t="inlineStr">
        <is>
          <t>Médica Dimegar</t>
        </is>
      </c>
      <c r="N155" s="331" t="n">
        <v>1</v>
      </c>
      <c r="O155" s="331" t="n">
        <v>2</v>
      </c>
      <c r="P155" s="332">
        <f>N155+O155</f>
        <v/>
      </c>
    </row>
    <row r="156" ht="19.95" customHeight="1" s="227">
      <c r="A156" s="336" t="n">
        <v>140</v>
      </c>
      <c r="B156" s="337" t="inlineStr">
        <is>
          <t>BM-108</t>
        </is>
      </c>
      <c r="C156" s="337" t="n">
        <v>145</v>
      </c>
      <c r="D156" s="338" t="inlineStr">
        <is>
          <t>Ing. Fernando Javier Michel Euan</t>
        </is>
      </c>
      <c r="E156" s="345" t="inlineStr">
        <is>
          <t>● VERDE</t>
        </is>
      </c>
      <c r="F156" s="339" t="inlineStr">
        <is>
          <t>H.M.R.E. Mérida</t>
        </is>
      </c>
      <c r="G156" s="345" t="inlineStr">
        <is>
          <t>YUCATAN</t>
        </is>
      </c>
      <c r="H156" s="339" t="inlineStr">
        <is>
          <t>Equipo de rayos X móvil, marca Technix, modelo TMS 320</t>
        </is>
      </c>
      <c r="I156" s="339" t="inlineStr">
        <is>
          <t>Technix</t>
        </is>
      </c>
      <c r="J156" s="339" t="inlineStr">
        <is>
          <t>TMS 320</t>
        </is>
      </c>
      <c r="K156" s="336" t="inlineStr">
        <is>
          <t>80-16-103-174</t>
        </is>
      </c>
      <c r="L156" s="336" t="inlineStr">
        <is>
          <t>IMAGEN</t>
        </is>
      </c>
      <c r="M156" s="339" t="inlineStr">
        <is>
          <t>Médica Dimegar</t>
        </is>
      </c>
      <c r="N156" s="336" t="n">
        <v>1</v>
      </c>
      <c r="O156" s="336" t="n">
        <v>2</v>
      </c>
      <c r="P156" s="337">
        <f>N156+O156</f>
        <v/>
      </c>
    </row>
    <row r="157" ht="19.95" customHeight="1" s="227">
      <c r="A157" s="331" t="n">
        <v>141</v>
      </c>
      <c r="B157" s="332" t="inlineStr">
        <is>
          <t>BM-073</t>
        </is>
      </c>
      <c r="C157" s="332" t="n">
        <v>208</v>
      </c>
      <c r="D157" s="333" t="inlineStr">
        <is>
          <t>Ing. Fernando Javier Michel Euan</t>
        </is>
      </c>
      <c r="E157" s="345" t="inlineStr">
        <is>
          <t>● VERDE</t>
        </is>
      </c>
      <c r="F157" s="335" t="inlineStr">
        <is>
          <t>H.M.R.E. Mérida</t>
        </is>
      </c>
      <c r="G157" s="345" t="inlineStr">
        <is>
          <t>YUCATAN</t>
        </is>
      </c>
      <c r="H157" s="335" t="inlineStr">
        <is>
          <t>Microscopio para cirugía, marca Leica, modelo M844F40</t>
        </is>
      </c>
      <c r="I157" s="335" t="inlineStr">
        <is>
          <t>Leica</t>
        </is>
      </c>
      <c r="J157" s="335" t="inlineStr">
        <is>
          <t>M844F40</t>
        </is>
      </c>
      <c r="K157" s="331" t="inlineStr">
        <is>
          <t>160516003</t>
        </is>
      </c>
      <c r="L157" s="331" t="inlineStr">
        <is>
          <t>OFTALMO</t>
        </is>
      </c>
      <c r="M157" s="335" t="inlineStr">
        <is>
          <t>COINDISA</t>
        </is>
      </c>
      <c r="N157" s="331" t="n">
        <v>1</v>
      </c>
      <c r="O157" s="331" t="n">
        <v>2</v>
      </c>
      <c r="P157" s="332">
        <f>N157+O157</f>
        <v/>
      </c>
    </row>
    <row r="158" ht="19.95" customHeight="1" s="227">
      <c r="A158" s="336" t="n">
        <v>142</v>
      </c>
      <c r="B158" s="337" t="inlineStr">
        <is>
          <t>BM-088</t>
        </is>
      </c>
      <c r="C158" s="337" t="n">
        <v>298</v>
      </c>
      <c r="D158" s="338" t="inlineStr">
        <is>
          <t>Ing. Fernando Javier Michel Euan</t>
        </is>
      </c>
      <c r="E158" s="345" t="inlineStr">
        <is>
          <t>● VERDE</t>
        </is>
      </c>
      <c r="F158" s="339" t="inlineStr">
        <is>
          <t>H.M.Z. Chetumal</t>
        </is>
      </c>
      <c r="G158" s="345" t="inlineStr">
        <is>
          <t>QUINTANA ROO</t>
        </is>
      </c>
      <c r="H158" s="339" t="inlineStr">
        <is>
          <t>Sistema de digitalización de imágenes, marca Fujifilm, modelo Digitalizador: FCR Capsula XLII (CR-IR 359)</t>
        </is>
      </c>
      <c r="I158" s="339" t="inlineStr">
        <is>
          <t>Fujifilm</t>
        </is>
      </c>
      <c r="J158" s="339" t="inlineStr">
        <is>
          <t>Digitalizador: FCR Capsula XLII (CR-IR 359)</t>
        </is>
      </c>
      <c r="K158" s="336" t="inlineStr">
        <is>
          <t>46770608</t>
        </is>
      </c>
      <c r="L158" s="336" t="inlineStr">
        <is>
          <t>IMAGEN</t>
        </is>
      </c>
      <c r="M158" s="339" t="inlineStr">
        <is>
          <t>Médica Dimegar</t>
        </is>
      </c>
      <c r="N158" s="336" t="n">
        <v>1</v>
      </c>
      <c r="O158" s="336" t="n">
        <v>2</v>
      </c>
      <c r="P158" s="337">
        <f>N158+O158</f>
        <v/>
      </c>
    </row>
    <row r="159" ht="19.95" customHeight="1" s="227">
      <c r="A159" s="331" t="n">
        <v>143</v>
      </c>
      <c r="B159" s="332" t="inlineStr">
        <is>
          <t>BM-100</t>
        </is>
      </c>
      <c r="C159" s="332" t="n">
        <v>363</v>
      </c>
      <c r="D159" s="333" t="inlineStr">
        <is>
          <t>Ing. Fernando Javier Michel Euan</t>
        </is>
      </c>
      <c r="E159" s="345" t="inlineStr">
        <is>
          <t>● VERDE</t>
        </is>
      </c>
      <c r="F159" s="335" t="inlineStr">
        <is>
          <t>H.M.Z. Villahermosa</t>
        </is>
      </c>
      <c r="G159" s="345" t="inlineStr">
        <is>
          <t>TABASCO</t>
        </is>
      </c>
      <c r="H159" s="335" t="inlineStr">
        <is>
          <t>Campímetro, marca Carl Zeiss Meditec, modelo Humphrey 740I</t>
        </is>
      </c>
      <c r="I159" s="335" t="inlineStr">
        <is>
          <t>Carl Zeiss Meditec</t>
        </is>
      </c>
      <c r="J159" s="335" t="inlineStr">
        <is>
          <t>Humphrey 740I</t>
        </is>
      </c>
      <c r="K159" s="331" t="inlineStr">
        <is>
          <t>740I-14200</t>
        </is>
      </c>
      <c r="L159" s="331" t="inlineStr">
        <is>
          <t>OFTALMO</t>
        </is>
      </c>
      <c r="M159" s="335" t="inlineStr">
        <is>
          <t>ZEISS</t>
        </is>
      </c>
      <c r="N159" s="331" t="n">
        <v>1</v>
      </c>
      <c r="O159" s="331" t="n">
        <v>2</v>
      </c>
      <c r="P159" s="332">
        <f>N159+O159</f>
        <v/>
      </c>
    </row>
    <row r="160" ht="24" customHeight="1" s="227">
      <c r="A160" s="327" t="inlineStr">
        <is>
          <t>EQUIPOS ASIGNADOS (143 EQUIPOS EN 37 HOSPITALES):</t>
        </is>
      </c>
      <c r="B160" s="224" t="n"/>
      <c r="C160" s="224" t="n"/>
      <c r="D160" s="224" t="n"/>
      <c r="E160" s="224" t="n"/>
      <c r="F160" s="224" t="n"/>
      <c r="G160" s="224" t="n"/>
      <c r="H160" s="224" t="n"/>
      <c r="I160" s="224" t="n"/>
      <c r="J160" s="224" t="n"/>
      <c r="K160" s="224" t="n"/>
      <c r="L160" s="224" t="n"/>
      <c r="M160" s="225" t="n"/>
      <c r="N160" s="214">
        <f>SUM(N17:N159)</f>
        <v/>
      </c>
      <c r="O160" s="214">
        <f>SUM(O17:O159)</f>
        <v/>
      </c>
      <c r="P160" s="214">
        <f>SUM(P17:P159)</f>
        <v/>
      </c>
    </row>
    <row r="161" ht="24" customHeight="1" s="227"/>
  </sheetData>
  <autoFilter ref="A17:P160"/>
  <mergeCells count="6">
    <mergeCell ref="A15:P15"/>
    <mergeCell ref="A13:C13"/>
    <mergeCell ref="A1:P1"/>
    <mergeCell ref="A2:P2"/>
    <mergeCell ref="A4:I4"/>
    <mergeCell ref="A160:M1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B365D"/>
    <outlinePr summaryBelow="1" summaryRight="1"/>
    <pageSetUpPr/>
  </sheetPr>
  <dimension ref="A1:G39"/>
  <sheetViews>
    <sheetView topLeftCell="A36" workbookViewId="0">
      <selection activeCell="H39" sqref="H39"/>
    </sheetView>
  </sheetViews>
  <sheetFormatPr baseColWidth="10" defaultColWidth="8.88671875" defaultRowHeight="14.4"/>
  <cols>
    <col width="34" customWidth="1" style="227" min="1" max="1"/>
    <col width="26" customWidth="1" style="227" min="2" max="6"/>
    <col width="16" customWidth="1" style="227" min="7" max="7"/>
  </cols>
  <sheetData>
    <row r="1" ht="30" customHeight="1" s="227">
      <c r="A1" s="246" t="inlineStr">
        <is>
          <t>CALENDARIO OPERATIVO DE MANTENIMIENTO PREVENTIVO - SEDENA 2026</t>
        </is>
      </c>
    </row>
    <row r="2" ht="22.05" customHeight="1" s="227">
      <c r="A2" s="251" t="inlineStr">
        <is>
          <t>Ventana Operativa: 13 al 23 de Octubre de 2026 | Semana 1 Local y Sitios Leica | Semana 2 Foráneas (100% Imagen y Oftalmo) | 143 Equipos en 37 Sedes</t>
        </is>
      </c>
    </row>
    <row r="3" ht="10.05" customHeight="1" s="227"/>
    <row r="4" ht="18" customHeight="1" s="227">
      <c r="A4" s="280" t="inlineStr">
        <is>
          <t>UNIVERSO DE EQUIPOS</t>
        </is>
      </c>
      <c r="B4" s="243" t="n"/>
      <c r="C4" s="280" t="inlineStr">
        <is>
          <t>SEMANA 1 (13-16 OCT)</t>
        </is>
      </c>
      <c r="D4" s="243" t="n"/>
      <c r="E4" s="280" t="inlineStr">
        <is>
          <t>SEMANA 2 (19-23 OCT)</t>
        </is>
      </c>
      <c r="F4" s="243" t="n"/>
      <c r="G4" s="280" t="n"/>
    </row>
    <row r="5" ht="24" customHeight="1" s="227">
      <c r="A5" s="281" t="inlineStr">
        <is>
          <t>143 Equipos</t>
        </is>
      </c>
      <c r="B5" s="243" t="n"/>
      <c r="C5" s="282" t="inlineStr">
        <is>
          <t>64 Equipos</t>
        </is>
      </c>
      <c r="D5" s="243" t="n"/>
      <c r="E5" s="283" t="inlineStr">
        <is>
          <t>79 Equipos</t>
        </is>
      </c>
      <c r="F5" s="243" t="n"/>
      <c r="G5" s="284" t="n"/>
    </row>
    <row r="6" ht="18" customHeight="1" s="227">
      <c r="A6" s="285" t="inlineStr">
        <is>
          <t>37 Unidades Militares</t>
        </is>
      </c>
      <c r="B6" s="243" t="n"/>
      <c r="C6" s="285" t="inlineStr">
        <is>
          <t>44.8% de Avance Inicial</t>
        </is>
      </c>
      <c r="D6" s="243" t="n"/>
      <c r="E6" s="285" t="inlineStr">
        <is>
          <t>100% Cierre Operativo 23 de Octubre</t>
        </is>
      </c>
      <c r="F6" s="243" t="n"/>
      <c r="G6" s="285" t="n"/>
    </row>
    <row r="7" ht="12" customHeight="1" s="227"/>
    <row r="8" ht="24" customHeight="1" s="227">
      <c r="A8" s="247" t="inlineStr">
        <is>
          <t>SEMANA 1: DEL MARTES 13 AL VIERNES 16 DE OCTUBRE DE 2026 (64 EQUIPOS - BLOQUE LOCAL, PUEBLA, MORELOS Y SITIOS LEICA)</t>
        </is>
      </c>
    </row>
    <row r="9" ht="25.95" customHeight="1" s="227">
      <c r="A9" s="176" t="inlineStr">
        <is>
          <t>Frente / Ingeniero Responsable</t>
        </is>
      </c>
      <c r="B9" s="176" t="inlineStr">
        <is>
          <t>Martes 13 Oct</t>
        </is>
      </c>
      <c r="C9" s="176" t="inlineStr">
        <is>
          <t>Miércoles 14 Oct</t>
        </is>
      </c>
      <c r="D9" s="176" t="inlineStr">
        <is>
          <t>Jueves 15 Oct</t>
        </is>
      </c>
      <c r="E9" s="176" t="inlineStr">
        <is>
          <t>Viernes 16 Oct</t>
        </is>
      </c>
      <c r="F9" s="176" t="inlineStr">
        <is>
          <t>Sábado 17 Oct</t>
        </is>
      </c>
      <c r="G9" s="176" t="inlineStr">
        <is>
          <t>Equipos Sem 1</t>
        </is>
      </c>
    </row>
    <row r="10" ht="36" customHeight="1" s="227">
      <c r="A10" s="346" t="inlineStr">
        <is>
          <t>Ing. Sophia López Ramírez</t>
        </is>
      </c>
      <c r="B10" s="347" t="inlineStr">
        <is>
          <t>H.M.E.O. Constituyentes
[7 equipos | Bloque 1]</t>
        </is>
      </c>
      <c r="C10" s="347" t="inlineStr">
        <is>
          <t>H.M.E.O. Constituyentes
[7 equipos | Bloque 2]</t>
        </is>
      </c>
      <c r="D10" s="347" t="inlineStr">
        <is>
          <t>H.M.E.O. Constituyentes
[7 equipos | Bloque 3]</t>
        </is>
      </c>
      <c r="E10" s="347" t="inlineStr">
        <is>
          <t>H.M.E.O. Constituyentes
[7 equipos | Bloque 4]</t>
        </is>
      </c>
      <c r="F10" s="348" t="inlineStr">
        <is>
          <t>Base CDMX
Descanso programado</t>
        </is>
      </c>
      <c r="G10" s="332" t="n">
        <v>28</v>
      </c>
    </row>
    <row r="11" ht="36" customHeight="1" s="227">
      <c r="A11" s="349" t="inlineStr">
        <is>
          <t>Ing. Axel Evangelista Salinas</t>
        </is>
      </c>
      <c r="B11" s="347" t="inlineStr">
        <is>
          <t>H.C.M. Lomas de Sotelo
[4 equipos: 2 Oft + 2 Img]
Microscopio Leica</t>
        </is>
      </c>
      <c r="C11" s="347" t="inlineStr">
        <is>
          <t>H.M.E.M. Y N. Lomas de Sotelo
[4 equipos: 1 Oft + 3 Img]</t>
        </is>
      </c>
      <c r="D11" s="347" t="inlineStr">
        <is>
          <t>H.M.Z. Campo Militar No. 1-A
[1 equipo Imagen]</t>
        </is>
      </c>
      <c r="E11" s="347" t="inlineStr">
        <is>
          <t>Subcentro Evaluación CM 1-A
[7 equipos: 1 Oft + 6 Img]</t>
        </is>
      </c>
      <c r="F11" s="348" t="inlineStr">
        <is>
          <t>Base CDMX
Preparación ruta Golfo</t>
        </is>
      </c>
      <c r="G11" s="337" t="n">
        <v>16</v>
      </c>
    </row>
    <row r="12" ht="36" customHeight="1" s="227">
      <c r="A12" s="350" t="inlineStr">
        <is>
          <t>Ing. Rogelio Ramos Centeno</t>
        </is>
      </c>
      <c r="B12" s="348" t="inlineStr">
        <is>
          <t>Base Guadalajara
Logística Occidente</t>
        </is>
      </c>
      <c r="C12" s="347" t="inlineStr">
        <is>
          <t>H.M.Z. Zapopan
[2 equipos: 1 Oft + 1 Img]
Microscopio Leica</t>
        </is>
      </c>
      <c r="D12" s="348" t="inlineStr">
        <is>
          <t>Base Guadalajara
Revisión Instrumental</t>
        </is>
      </c>
      <c r="E12" s="347" t="inlineStr">
        <is>
          <t>H.M.R.E. Guadalajara
[2 equipos: 1 Oft + 1 Img]</t>
        </is>
      </c>
      <c r="F12" s="348" t="inlineStr">
        <is>
          <t>Base Guadalajara
Descanso</t>
        </is>
      </c>
      <c r="G12" s="332" t="n">
        <v>4</v>
      </c>
    </row>
    <row r="13" ht="36" customHeight="1" s="227">
      <c r="A13" s="351" t="inlineStr">
        <is>
          <t>Ing. Jose Jorge Olivares Velazquez</t>
        </is>
      </c>
      <c r="B13" s="347" t="inlineStr">
        <is>
          <t>H.M.R. Santa Lucía
[3 equipos Oftalmo]</t>
        </is>
      </c>
      <c r="C13" s="347" t="inlineStr">
        <is>
          <t>H.M.Z. Temamatla
[3 equipos Imagen]</t>
        </is>
      </c>
      <c r="D13" s="348" t="inlineStr">
        <is>
          <t>Base CDMX
Planificación Ruta Sur</t>
        </is>
      </c>
      <c r="E13" s="347" t="inlineStr">
        <is>
          <t>H.M.Z. Cuernavaca
[2 equipos Imagen]</t>
        </is>
      </c>
      <c r="F13" s="348" t="inlineStr">
        <is>
          <t>Base CDMX
Descanso</t>
        </is>
      </c>
      <c r="G13" s="337" t="n">
        <v>8</v>
      </c>
    </row>
    <row r="14" ht="36" customHeight="1" s="227">
      <c r="A14" s="352" t="inlineStr">
        <is>
          <t>Ing. Fernando Javier Michel Euan</t>
        </is>
      </c>
      <c r="B14" s="348" t="inlineStr">
        <is>
          <t>Base Mérida
Verificación Kits</t>
        </is>
      </c>
      <c r="C14" s="348" t="inlineStr">
        <is>
          <t>Base Mérida
Logística Peninsular</t>
        </is>
      </c>
      <c r="D14" s="347" t="inlineStr">
        <is>
          <t>H.M.R.E. Mérida
[3 equipos: 1 Oft + 2 Img]
Microscopio Leica</t>
        </is>
      </c>
      <c r="E14" s="348" t="inlineStr">
        <is>
          <t>Base Mérida
Prep. Salida Chetumal</t>
        </is>
      </c>
      <c r="F14" s="348" t="inlineStr">
        <is>
          <t>Base Mérida
Descanso</t>
        </is>
      </c>
      <c r="G14" s="337" t="n">
        <v>3</v>
      </c>
    </row>
    <row r="15" ht="36" customHeight="1" s="227">
      <c r="A15" s="353" t="inlineStr">
        <is>
          <t>Ing. Jose Romero Najera</t>
        </is>
      </c>
      <c r="B15" s="348" t="inlineStr">
        <is>
          <t>Base CDMX
Kits Oftalmológicos</t>
        </is>
      </c>
      <c r="C15" s="348" t="inlineStr">
        <is>
          <t>Base CDMX
Instrumental Quirófano</t>
        </is>
      </c>
      <c r="D15" s="348" t="inlineStr">
        <is>
          <t>Base CDMX
Calibradores Ópticos</t>
        </is>
      </c>
      <c r="E15" s="348" t="inlineStr">
        <is>
          <t>Base CDMX
Prep. Vuelo Oaxaca</t>
        </is>
      </c>
      <c r="F15" s="348" t="inlineStr">
        <is>
          <t>Base CDMX
Descanso</t>
        </is>
      </c>
      <c r="G15" s="332" t="n">
        <v>0</v>
      </c>
    </row>
    <row r="16" ht="36" customHeight="1" s="227">
      <c r="A16" s="354" t="inlineStr">
        <is>
          <t>Ing. Jose Paris Mendoza Cortes</t>
        </is>
      </c>
      <c r="B16" s="347" t="inlineStr">
        <is>
          <t>H.M.Z. Santa María Rayón
[1 equipo Imagen]</t>
        </is>
      </c>
      <c r="C16" s="347" t="inlineStr">
        <is>
          <t>H.M.Z. El Vergel, Iztapalapa
[1 equipo Imagen]</t>
        </is>
      </c>
      <c r="D16" s="347" t="inlineStr">
        <is>
          <t>U.M.C.E. Tlalpan
[1 equipo Imagen]</t>
        </is>
      </c>
      <c r="E16" s="347" t="inlineStr">
        <is>
          <t>H.M.R. Puebla
[2 equipos Imagen]</t>
        </is>
      </c>
      <c r="F16" s="348" t="inlineStr">
        <is>
          <t>Base CDMX
Descanso</t>
        </is>
      </c>
      <c r="G16" s="337" t="n">
        <v>5</v>
      </c>
    </row>
    <row r="17" ht="24" customHeight="1" s="227">
      <c r="A17" s="327" t="inlineStr">
        <is>
          <t>TOTAL EQUIPOS DÍA (SEMANA 1):</t>
        </is>
      </c>
      <c r="B17" s="215" t="inlineStr">
        <is>
          <t>15 equipos</t>
        </is>
      </c>
      <c r="C17" s="215" t="inlineStr">
        <is>
          <t>17 equipos</t>
        </is>
      </c>
      <c r="D17" s="215" t="inlineStr">
        <is>
          <t>12 equipos</t>
        </is>
      </c>
      <c r="E17" s="215" t="inlineStr">
        <is>
          <t>20 equipos</t>
        </is>
      </c>
      <c r="F17" s="215" t="inlineStr">
        <is>
          <t>0 equipos</t>
        </is>
      </c>
      <c r="G17" s="215" t="inlineStr">
        <is>
          <t>64 equipos</t>
        </is>
      </c>
    </row>
    <row r="18" ht="13.95" customHeight="1" s="227">
      <c r="A18" s="328" t="n"/>
      <c r="B18" s="328" t="n"/>
      <c r="C18" s="328" t="n"/>
      <c r="D18" s="328" t="n"/>
      <c r="E18" s="328" t="n"/>
      <c r="F18" s="328" t="n"/>
      <c r="G18" s="328" t="n"/>
    </row>
    <row r="19" ht="24" customHeight="1" s="227">
      <c r="A19" s="329" t="inlineStr">
        <is>
          <t>SEMANA 2: DEL LUNES 19 AL VIERNES 23 DE OCTUBRE DE 2026 (79 EQUIPOS - CIERRE 100% IMAGENOLOGÍA Y RUTAS FORÁNEAS)</t>
        </is>
      </c>
    </row>
    <row r="20" ht="25.95" customHeight="1" s="227">
      <c r="A20" s="330" t="inlineStr">
        <is>
          <t>Frente / Ingeniero Responsable</t>
        </is>
      </c>
      <c r="B20" s="330" t="inlineStr">
        <is>
          <t>Lunes 19 Oct</t>
        </is>
      </c>
      <c r="C20" s="330" t="inlineStr">
        <is>
          <t>Martes 20 Oct</t>
        </is>
      </c>
      <c r="D20" s="330" t="inlineStr">
        <is>
          <t>Miércoles 21 Oct</t>
        </is>
      </c>
      <c r="E20" s="330" t="inlineStr">
        <is>
          <t>Jueves 22 Oct</t>
        </is>
      </c>
      <c r="F20" s="330" t="inlineStr">
        <is>
          <t>Viernes 23 Oct</t>
        </is>
      </c>
      <c r="G20" s="330" t="inlineStr">
        <is>
          <t>Equipos Sem 2</t>
        </is>
      </c>
    </row>
    <row r="21" ht="36" customHeight="1" s="227">
      <c r="A21" s="346" t="inlineStr">
        <is>
          <t>Ing. Sophia López Ramírez</t>
        </is>
      </c>
      <c r="B21" s="347" t="inlineStr">
        <is>
          <t>H.M.E.O. Constituyentes
[8 equipos | Bloque 5]</t>
        </is>
      </c>
      <c r="C21" s="347" t="inlineStr">
        <is>
          <t>H.M.E.O. Constituyentes
[8 equipos | Bloque 6]</t>
        </is>
      </c>
      <c r="D21" s="347" t="inlineStr">
        <is>
          <t>H.M.E.O. Constituyentes
[8 equipos | Bloque 7]</t>
        </is>
      </c>
      <c r="E21" s="347" t="inlineStr">
        <is>
          <t>H.M.E.O. Constituyentes
[8 equipos | Bloque 8]</t>
        </is>
      </c>
      <c r="F21" s="347" t="inlineStr">
        <is>
          <t>H.M.E.O. Constituyentes
[8 eq finales + firmas]</t>
        </is>
      </c>
      <c r="G21" s="332" t="n">
        <v>40</v>
      </c>
    </row>
    <row r="22" ht="36" customHeight="1" s="227">
      <c r="A22" s="349" t="inlineStr">
        <is>
          <t>Ing. Axel Evangelista Salinas</t>
        </is>
      </c>
      <c r="B22" s="347" t="inlineStr">
        <is>
          <t>H.M.Z. La Boticaría
[3 equipos: 1 Oft + 2 Img]</t>
        </is>
      </c>
      <c r="C22" s="347" t="inlineStr">
        <is>
          <t>H.M.R. Tuxpan
[1 equipo Imagen]</t>
        </is>
      </c>
      <c r="D22" s="347" t="inlineStr">
        <is>
          <t>H.M.R. Tampico
[1 equipo Imagen]</t>
        </is>
      </c>
      <c r="E22" s="347" t="inlineStr">
        <is>
          <t>H.M.R.E. Monterrey
[4 equipos: 2 Oft + 2 Img]</t>
        </is>
      </c>
      <c r="F22" s="347" t="inlineStr">
        <is>
          <t>U.M.C.E. Reynosa
[1 equipo Imagen]</t>
        </is>
      </c>
      <c r="G22" s="337" t="n">
        <v>10</v>
      </c>
    </row>
    <row r="23" ht="36" customHeight="1" s="227">
      <c r="A23" s="350" t="inlineStr">
        <is>
          <t>Ing. Rogelio Ramos Centeno</t>
        </is>
      </c>
      <c r="B23" s="347" t="inlineStr">
        <is>
          <t>H.M.R.E. Mazatlán
[5 equipos: 1 Oft + 4 Img]</t>
        </is>
      </c>
      <c r="C23" s="347" t="inlineStr">
        <is>
          <t>H.M.R. La Paz
[2 equipos: 1 Oft + 1 Img]</t>
        </is>
      </c>
      <c r="D23" s="347" t="inlineStr">
        <is>
          <t>H.M.R. Hermosillo
[1 equipo Imagen]</t>
        </is>
      </c>
      <c r="E23" s="347" t="inlineStr">
        <is>
          <t>H.M.Z. Mexicali
[1 equipo Imagen]</t>
        </is>
      </c>
      <c r="F23" s="347" t="inlineStr">
        <is>
          <t>H.M.R. El Ciprés
[1 equipo Imagen]</t>
        </is>
      </c>
      <c r="G23" s="332" t="n">
        <v>10</v>
      </c>
    </row>
    <row r="24" ht="36" customHeight="1" s="227">
      <c r="A24" s="351" t="inlineStr">
        <is>
          <t>Ing. Jose Jorge Olivares Velazquez</t>
        </is>
      </c>
      <c r="B24" s="347" t="inlineStr">
        <is>
          <t>H.M.R. Chilpancingo
[1 equipo Imagen]</t>
        </is>
      </c>
      <c r="C24" s="347" t="inlineStr">
        <is>
          <t>H.M.R. Acapulco
[1 equipo Imagen]</t>
        </is>
      </c>
      <c r="D24" s="348" t="inlineStr">
        <is>
          <t>Acapulco ➔ CDMX ➔ CUU
Enlace aéreo Norte</t>
        </is>
      </c>
      <c r="E24" s="347" t="inlineStr">
        <is>
          <t>H.M.Z. Santa Gertrudis
[1 equipo Imagen]</t>
        </is>
      </c>
      <c r="F24" s="347" t="inlineStr">
        <is>
          <t>H.M.R. Chihuahua
[2 equipos Imagen]</t>
        </is>
      </c>
      <c r="G24" s="337" t="n">
        <v>5</v>
      </c>
    </row>
    <row r="25" ht="36" customHeight="1" s="227">
      <c r="A25" s="352" t="inlineStr">
        <is>
          <t>Ing. Fernando Javier Michel Euan</t>
        </is>
      </c>
      <c r="B25" s="348" t="inlineStr">
        <is>
          <t>Base Cancún
Liberado Jornada HGR 17</t>
        </is>
      </c>
      <c r="C25" s="347" t="inlineStr">
        <is>
          <t>H.M.Z. Chetumal
[1 equipo Imagen]</t>
        </is>
      </c>
      <c r="D25" s="347" t="inlineStr">
        <is>
          <t>H.M.Z. Villahermosa
[1 equipo Oftalmo]</t>
        </is>
      </c>
      <c r="E25" s="348" t="inlineStr">
        <is>
          <t>Base Mérida
Retorno y preparación</t>
        </is>
      </c>
      <c r="F25" s="348" t="inlineStr">
        <is>
          <t>Base Cancún
Liberado Jornada HGR 17</t>
        </is>
      </c>
      <c r="G25" s="337" t="n">
        <v>2</v>
      </c>
    </row>
    <row r="26" ht="36" customHeight="1" s="227">
      <c r="A26" s="353" t="inlineStr">
        <is>
          <t>Ing. Jose Romero Najera</t>
        </is>
      </c>
      <c r="B26" s="347" t="inlineStr">
        <is>
          <t>H.M.Z. Ixcotel
[5 equipos: 4 Oft + 1 Img]</t>
        </is>
      </c>
      <c r="C26" s="347" t="inlineStr">
        <is>
          <t>H.M.R. Tuxtla Gutiérrez
[3 equipos: 1 Oft + 2 Img]</t>
        </is>
      </c>
      <c r="D26" s="348" t="inlineStr">
        <is>
          <t>Tuxtla ➔ CDMX
Retorno con actas</t>
        </is>
      </c>
      <c r="E26" s="348" t="inlineStr">
        <is>
          <t>Base CDMX
Integración expedientes</t>
        </is>
      </c>
      <c r="F26" s="348" t="inlineStr">
        <is>
          <t>Base CDMX
Cierre documental Sur</t>
        </is>
      </c>
      <c r="G26" s="332" t="n">
        <v>8</v>
      </c>
    </row>
    <row r="27" ht="36" customHeight="1" s="227">
      <c r="A27" s="354" t="inlineStr">
        <is>
          <t>Ing. Jose Paris Mendoza Cortes</t>
        </is>
      </c>
      <c r="B27" s="347" t="inlineStr">
        <is>
          <t>H.M.R., Irapuato
[1 equipo Imagen]</t>
        </is>
      </c>
      <c r="C27" s="347" t="inlineStr">
        <is>
          <t>H.M.R. San Luis Potosí
[1 equipo Imagen]</t>
        </is>
      </c>
      <c r="D27" s="347" t="inlineStr">
        <is>
          <t>H.M.Z. Guadalupe
[1 equipo Imagen]</t>
        </is>
      </c>
      <c r="E27" s="347" t="inlineStr">
        <is>
          <t>H.M.Z. Cinco de Mayo
[1 equipo Imagen]</t>
        </is>
      </c>
      <c r="F27" s="348" t="inlineStr">
        <is>
          <t>Durango ➔ CDMX
Retorno circuito Bajío</t>
        </is>
      </c>
      <c r="G27" s="337" t="n">
        <v>4</v>
      </c>
    </row>
    <row r="28" ht="24" customHeight="1" s="227">
      <c r="A28" s="327" t="inlineStr">
        <is>
          <t>TOTAL EQUIPOS DÍA (SEMANA 2):</t>
        </is>
      </c>
      <c r="B28" s="215" t="inlineStr">
        <is>
          <t>23 equipos</t>
        </is>
      </c>
      <c r="C28" s="215" t="inlineStr">
        <is>
          <t>17 equipos</t>
        </is>
      </c>
      <c r="D28" s="215" t="inlineStr">
        <is>
          <t>12 equipos</t>
        </is>
      </c>
      <c r="E28" s="215" t="inlineStr">
        <is>
          <t>15 equipos</t>
        </is>
      </c>
      <c r="F28" s="215" t="inlineStr">
        <is>
          <t>12 equipos</t>
        </is>
      </c>
      <c r="G28" s="215" t="inlineStr">
        <is>
          <t>79 equipos</t>
        </is>
      </c>
    </row>
    <row r="29" ht="13.95" customHeight="1" s="227">
      <c r="A29" s="328" t="n"/>
      <c r="B29" s="328" t="n"/>
      <c r="C29" s="328" t="n"/>
      <c r="D29" s="328" t="n"/>
      <c r="E29" s="328" t="n"/>
      <c r="F29" s="328" t="n"/>
      <c r="G29" s="328" t="n"/>
    </row>
    <row r="30" ht="25.05" customHeight="1" s="227">
      <c r="A30" s="288" t="inlineStr">
        <is>
          <t>SEMANA 3: DEL LUNES 26 AL VIERNES 30 DE OCTUBRE DE 2026 (0 EQUIPOS - FASE DE BUFFER, CONCILIACIÓN Y ENTREGA DE ACTAS)</t>
        </is>
      </c>
    </row>
    <row r="31" ht="22.05" customHeight="1" s="227">
      <c r="A31" s="217" t="inlineStr">
        <is>
          <t>Frente / Ingeniero Responsable</t>
        </is>
      </c>
      <c r="B31" s="217" t="inlineStr">
        <is>
          <t>Lunes 26 Oct</t>
        </is>
      </c>
      <c r="C31" s="217" t="inlineStr">
        <is>
          <t>Martes 27 Oct</t>
        </is>
      </c>
      <c r="D31" s="217" t="inlineStr">
        <is>
          <t>Miércoles 28 Oct</t>
        </is>
      </c>
      <c r="E31" s="217" t="inlineStr">
        <is>
          <t>Jueves 29 Oct</t>
        </is>
      </c>
      <c r="F31" s="217" t="inlineStr">
        <is>
          <t>Viernes 30 Oct</t>
        </is>
      </c>
      <c r="G31" s="217" t="inlineStr">
        <is>
          <t>Equipos Sem 3</t>
        </is>
      </c>
    </row>
    <row r="32" ht="37.95" customHeight="1" s="227">
      <c r="A32" s="346" t="inlineStr">
        <is>
          <t>Ing. Sophia López Ramírez</t>
        </is>
      </c>
      <c r="B32" s="218" t="inlineStr">
        <is>
          <t>Base / Cierre Documental
Entrega de Actas</t>
        </is>
      </c>
      <c r="C32" s="218" t="inlineStr">
        <is>
          <t>Base / Cierre Documental
Entrega de Actas</t>
        </is>
      </c>
      <c r="D32" s="218" t="inlineStr">
        <is>
          <t>Base / Cierre Documental
Entrega de Actas</t>
        </is>
      </c>
      <c r="E32" s="218" t="inlineStr">
        <is>
          <t>Base / Cierre Documental
Entrega de Actas</t>
        </is>
      </c>
      <c r="F32" s="218" t="inlineStr">
        <is>
          <t>Base / Cierre Documental
Entrega de Actas</t>
        </is>
      </c>
      <c r="G32" s="219" t="n">
        <v>0</v>
      </c>
    </row>
    <row r="33" ht="37.95" customHeight="1" s="227">
      <c r="A33" s="349" t="inlineStr">
        <is>
          <t>Ing. Axel Evangelista Salinas</t>
        </is>
      </c>
      <c r="B33" s="218" t="inlineStr">
        <is>
          <t>Base / Cierre Documental
Entrega de Actas</t>
        </is>
      </c>
      <c r="C33" s="218" t="inlineStr">
        <is>
          <t>Base / Cierre Documental
Entrega de Actas</t>
        </is>
      </c>
      <c r="D33" s="218" t="inlineStr">
        <is>
          <t>Base / Cierre Documental
Entrega de Actas</t>
        </is>
      </c>
      <c r="E33" s="218" t="inlineStr">
        <is>
          <t>Base / Cierre Documental
Entrega de Actas</t>
        </is>
      </c>
      <c r="F33" s="218" t="inlineStr">
        <is>
          <t>Base / Cierre Documental
Entrega de Actas</t>
        </is>
      </c>
      <c r="G33" s="219" t="n">
        <v>0</v>
      </c>
    </row>
    <row r="34" ht="37.95" customHeight="1" s="227">
      <c r="A34" s="350" t="inlineStr">
        <is>
          <t>Ing. Rogelio Ramos Centeno</t>
        </is>
      </c>
      <c r="B34" s="218" t="inlineStr">
        <is>
          <t>Base / Cierre Documental
Entrega de Actas</t>
        </is>
      </c>
      <c r="C34" s="218" t="inlineStr">
        <is>
          <t>Base / Cierre Documental
Entrega de Actas</t>
        </is>
      </c>
      <c r="D34" s="218" t="inlineStr">
        <is>
          <t>Base / Cierre Documental
Entrega de Actas</t>
        </is>
      </c>
      <c r="E34" s="218" t="inlineStr">
        <is>
          <t>Base / Cierre Documental
Entrega de Actas</t>
        </is>
      </c>
      <c r="F34" s="218" t="inlineStr">
        <is>
          <t>Base / Cierre Documental
Entrega de Actas</t>
        </is>
      </c>
      <c r="G34" s="219" t="n">
        <v>0</v>
      </c>
    </row>
    <row r="35" ht="37.95" customHeight="1" s="227">
      <c r="A35" s="351" t="inlineStr">
        <is>
          <t>Ing. Jose Jorge Olivares Velazquez</t>
        </is>
      </c>
      <c r="B35" s="218" t="inlineStr">
        <is>
          <t>Base / Cierre Documental
Entrega de Actas</t>
        </is>
      </c>
      <c r="C35" s="218" t="inlineStr">
        <is>
          <t>Base / Cierre Documental
Entrega de Actas</t>
        </is>
      </c>
      <c r="D35" s="218" t="inlineStr">
        <is>
          <t>Base / Cierre Documental
Entrega de Actas</t>
        </is>
      </c>
      <c r="E35" s="218" t="inlineStr">
        <is>
          <t>Base / Cierre Documental
Entrega de Actas</t>
        </is>
      </c>
      <c r="F35" s="218" t="inlineStr">
        <is>
          <t>Base / Cierre Documental
Entrega de Actas</t>
        </is>
      </c>
      <c r="G35" s="219" t="n">
        <v>0</v>
      </c>
    </row>
    <row r="36" ht="37.95" customHeight="1" s="227">
      <c r="A36" s="352" t="inlineStr">
        <is>
          <t>Ing. Fernando Javier Michel Euan</t>
        </is>
      </c>
      <c r="B36" s="218" t="inlineStr">
        <is>
          <t>Base Cancún / Playa
Liberado Jornadas IMSS</t>
        </is>
      </c>
      <c r="C36" s="218" t="inlineStr">
        <is>
          <t>Base Cancún / Playa
Liberado Jornadas IMSS</t>
        </is>
      </c>
      <c r="D36" s="218" t="inlineStr">
        <is>
          <t>Base Cancún / Playa
Liberado Jornadas IMSS</t>
        </is>
      </c>
      <c r="E36" s="218" t="inlineStr">
        <is>
          <t>Base Cancún / Playa
Liberado Jornadas IMSS</t>
        </is>
      </c>
      <c r="F36" s="218" t="inlineStr">
        <is>
          <t>Base / Cierre Documental
Entrega de Actas</t>
        </is>
      </c>
      <c r="G36" s="219" t="n">
        <v>0</v>
      </c>
    </row>
    <row r="37" ht="37.95" customHeight="1" s="227">
      <c r="A37" s="353" t="inlineStr">
        <is>
          <t>Ing. Jose Romero Najera</t>
        </is>
      </c>
      <c r="B37" s="218" t="inlineStr">
        <is>
          <t>Base / Cierre Documental
Entrega de Actas</t>
        </is>
      </c>
      <c r="C37" s="218" t="inlineStr">
        <is>
          <t>Base / Cierre Documental
Entrega de Actas</t>
        </is>
      </c>
      <c r="D37" s="218" t="inlineStr">
        <is>
          <t>Base / Cierre Documental
Entrega de Actas</t>
        </is>
      </c>
      <c r="E37" s="218" t="inlineStr">
        <is>
          <t>Base / Cierre Documental
Entrega de Actas</t>
        </is>
      </c>
      <c r="F37" s="218" t="inlineStr">
        <is>
          <t>Base / Cierre Documental
Entrega de Actas</t>
        </is>
      </c>
      <c r="G37" s="219" t="n">
        <v>0</v>
      </c>
    </row>
    <row r="38" ht="37.95" customHeight="1" s="227">
      <c r="A38" s="354" t="inlineStr">
        <is>
          <t>Ing. Jose Paris Mendoza Cortes</t>
        </is>
      </c>
      <c r="B38" s="218" t="inlineStr">
        <is>
          <t>Base / Cierre Documental
Entrega de Actas</t>
        </is>
      </c>
      <c r="C38" s="218" t="inlineStr">
        <is>
          <t>Base / Cierre Documental
Entrega de Actas</t>
        </is>
      </c>
      <c r="D38" s="218" t="inlineStr">
        <is>
          <t>Base / Cierre Documental
Entrega de Actas</t>
        </is>
      </c>
      <c r="E38" s="218" t="inlineStr">
        <is>
          <t>Base / Cierre Documental
Entrega de Actas</t>
        </is>
      </c>
      <c r="F38" s="218" t="inlineStr">
        <is>
          <t>Base / Cierre Documental
Entrega de Actas</t>
        </is>
      </c>
      <c r="G38" s="219" t="n">
        <v>0</v>
      </c>
    </row>
    <row r="39" ht="24" customHeight="1" s="227">
      <c r="A39" s="221" t="inlineStr">
        <is>
          <t>TOTAL EQUIPOS DÍA (SEMANA 3 CIERRE):</t>
        </is>
      </c>
      <c r="B39" s="222" t="inlineStr">
        <is>
          <t>0 equipos</t>
        </is>
      </c>
      <c r="C39" s="222" t="inlineStr">
        <is>
          <t>0 equipos</t>
        </is>
      </c>
      <c r="D39" s="222" t="inlineStr">
        <is>
          <t>0 equipos</t>
        </is>
      </c>
      <c r="E39" s="222" t="inlineStr">
        <is>
          <t>0 equipos</t>
        </is>
      </c>
      <c r="F39" s="222" t="inlineStr">
        <is>
          <t>0 equipos</t>
        </is>
      </c>
      <c r="G39" s="222" t="inlineStr">
        <is>
          <t>0 equipos</t>
        </is>
      </c>
    </row>
    <row r="40" ht="37.95" customHeight="1" s="227"/>
    <row r="41" ht="37.95" customHeight="1" s="227"/>
    <row r="42" ht="24" customHeight="1" s="227"/>
  </sheetData>
  <mergeCells count="17">
    <mergeCell ref="A4:B4"/>
    <mergeCell ref="E4:F4"/>
    <mergeCell ref="E6:F6"/>
    <mergeCell ref="A1:G1"/>
    <mergeCell ref="C6:D6"/>
    <mergeCell ref="G4"/>
    <mergeCell ref="A8:G8"/>
    <mergeCell ref="C5:D5"/>
    <mergeCell ref="A5:B5"/>
    <mergeCell ref="E5:F5"/>
    <mergeCell ref="A30:G30"/>
    <mergeCell ref="A2:G2"/>
    <mergeCell ref="A19:G19"/>
    <mergeCell ref="A6:B6"/>
    <mergeCell ref="G6"/>
    <mergeCell ref="G5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365D"/>
    <outlinePr summaryBelow="1" summaryRight="1"/>
    <pageSetUpPr/>
  </sheetPr>
  <dimension ref="A1:N148"/>
  <sheetViews>
    <sheetView tabSelected="1" topLeftCell="A59" workbookViewId="0">
      <selection activeCell="H66" sqref="H66"/>
    </sheetView>
  </sheetViews>
  <sheetFormatPr baseColWidth="10" defaultColWidth="8.88671875" defaultRowHeight="14.4"/>
  <cols>
    <col width="6" customWidth="1" style="227" min="1" max="1"/>
    <col width="14" customWidth="1" style="227" min="2" max="2"/>
    <col width="10" customWidth="1" style="227" min="3" max="3"/>
    <col width="34" customWidth="1" style="227" min="4" max="4"/>
    <col width="16" customWidth="1" style="227" min="5" max="5"/>
    <col width="30" customWidth="1" style="227" min="6" max="6"/>
    <col width="42" customWidth="1" style="227" min="7" max="7"/>
    <col width="18" customWidth="1" style="227" min="8" max="8"/>
    <col width="14" customWidth="1" style="227" min="9" max="11"/>
    <col width="30" customWidth="1" style="227" min="12" max="12"/>
    <col width="16" customWidth="1" style="227" min="13" max="13"/>
  </cols>
  <sheetData>
    <row r="1" ht="30" customHeight="1" s="227">
      <c r="A1" s="228" t="inlineStr">
        <is>
          <t>PROGRAMACIÓN TÉCNICA OPERATIVA DE MANTENIMIENTO PREVENTIVO - SEDENA 2026</t>
        </is>
      </c>
    </row>
    <row r="2" ht="22.05" customHeight="1" s="227">
      <c r="A2" s="226" t="inlineStr">
        <is>
          <t>Desglose Individual de 143 Equipos Médicos | Asignación de 7 Ingenieros Especialistas | Ventana Operativa: 13 al 23 de Octubre de 2026 | Cero Fines de Semana</t>
        </is>
      </c>
    </row>
    <row r="3" ht="10.05" customHeight="1" s="227"/>
    <row r="4" ht="28.05" customHeight="1" s="227">
      <c r="A4" s="191" t="inlineStr">
        <is>
          <t>No.</t>
        </is>
      </c>
      <c r="B4" s="191" t="inlineStr">
        <is>
          <t>Folio Control</t>
        </is>
      </c>
      <c r="C4" s="191" t="inlineStr">
        <is>
          <t>Partida</t>
        </is>
      </c>
      <c r="D4" s="191" t="inlineStr">
        <is>
          <t>Hospital Militar / Unidad Médica</t>
        </is>
      </c>
      <c r="E4" s="191" t="inlineStr">
        <is>
          <t>Entidad Federativa</t>
        </is>
      </c>
      <c r="F4" s="191" t="inlineStr">
        <is>
          <t>Región Militar / Jurisdicción SEDENA</t>
        </is>
      </c>
      <c r="G4" s="191" t="inlineStr">
        <is>
          <t>Descripción del Equipo Médico / Modelo</t>
        </is>
      </c>
      <c r="H4" s="191" t="inlineStr">
        <is>
          <t>No. de Serie (N/S)</t>
        </is>
      </c>
      <c r="I4" s="191" t="inlineStr">
        <is>
          <t>Especialidad Médica</t>
        </is>
      </c>
      <c r="J4" s="191" t="inlineStr">
        <is>
          <t>Mantenimientos 2026</t>
        </is>
      </c>
      <c r="K4" s="191" t="inlineStr">
        <is>
          <t>Mantenimientos 2027</t>
        </is>
      </c>
      <c r="L4" s="191" t="inlineStr">
        <is>
          <t>Frente / Ingeniero Asignado</t>
        </is>
      </c>
      <c r="M4" s="191" t="inlineStr">
        <is>
          <t>Fecha Programada</t>
        </is>
      </c>
    </row>
    <row r="5" ht="19.95" customHeight="1" s="227">
      <c r="A5" s="192" t="n">
        <v>1</v>
      </c>
      <c r="B5" s="193" t="inlineStr">
        <is>
          <t>BM-001</t>
        </is>
      </c>
      <c r="C5" s="193" t="n">
        <v>6</v>
      </c>
      <c r="D5" s="194" t="inlineStr">
        <is>
          <t>H.C.M. Lomas de Sotelo</t>
        </is>
      </c>
      <c r="E5" s="192" t="inlineStr">
        <is>
          <t>CDMX</t>
        </is>
      </c>
      <c r="F5" s="194" t="inlineStr">
        <is>
          <t>I Región Militar (Sede Central SEDENA)</t>
        </is>
      </c>
      <c r="G5" s="194" t="inlineStr">
        <is>
          <t>Microscopio avanzado, marca Leica, modelo M320F12</t>
        </is>
      </c>
      <c r="H5" s="192" t="inlineStr">
        <is>
          <t>10724001</t>
        </is>
      </c>
      <c r="I5" s="192" t="inlineStr">
        <is>
          <t>OFTALMO</t>
        </is>
      </c>
      <c r="J5" s="193" t="n">
        <v>1</v>
      </c>
      <c r="K5" s="193" t="n">
        <v>2</v>
      </c>
      <c r="L5" s="207" t="inlineStr">
        <is>
          <t>Ing. Axel Evangelista Salinas</t>
        </is>
      </c>
      <c r="M5" s="193" t="inlineStr">
        <is>
          <t>13/10/2026</t>
        </is>
      </c>
    </row>
    <row r="6" ht="19.95" customHeight="1" s="227">
      <c r="A6" s="196" t="n">
        <v>2</v>
      </c>
      <c r="B6" s="197" t="inlineStr">
        <is>
          <t>BM-002</t>
        </is>
      </c>
      <c r="C6" s="197" t="n">
        <v>16</v>
      </c>
      <c r="D6" s="198" t="inlineStr">
        <is>
          <t>H.M.Z. Ixcotel</t>
        </is>
      </c>
      <c r="E6" s="196" t="inlineStr">
        <is>
          <t>OAXACA</t>
        </is>
      </c>
      <c r="F6" s="198" t="inlineStr">
        <is>
          <t>VIII Región Militar (Oaxaca)</t>
        </is>
      </c>
      <c r="G6" s="198" t="inlineStr">
        <is>
          <t>Sistema de diagnóstico oftálmico avanzado, marca Heidelberg Engineering, modelo Anterion</t>
        </is>
      </c>
      <c r="H6" s="196" t="inlineStr">
        <is>
          <t>01827B0106</t>
        </is>
      </c>
      <c r="I6" s="196" t="inlineStr">
        <is>
          <t>OFTALMO</t>
        </is>
      </c>
      <c r="J6" s="197" t="n">
        <v>1</v>
      </c>
      <c r="K6" s="197" t="n">
        <v>2</v>
      </c>
      <c r="L6" s="321" t="inlineStr">
        <is>
          <t>Ing. Jose Romero Najera</t>
        </is>
      </c>
      <c r="M6" s="197" t="inlineStr">
        <is>
          <t>19/10/2026</t>
        </is>
      </c>
    </row>
    <row r="7" ht="19.95" customHeight="1" s="227">
      <c r="A7" s="192" t="n">
        <v>3</v>
      </c>
      <c r="B7" s="193" t="inlineStr">
        <is>
          <t>BM-003</t>
        </is>
      </c>
      <c r="C7" s="193" t="n">
        <v>17</v>
      </c>
      <c r="D7" s="194" t="inlineStr">
        <is>
          <t>H.M.Z. Ixcotel</t>
        </is>
      </c>
      <c r="E7" s="192" t="inlineStr">
        <is>
          <t>OAXACA</t>
        </is>
      </c>
      <c r="F7" s="194" t="inlineStr">
        <is>
          <t>VIII Región Militar (Oaxaca)</t>
        </is>
      </c>
      <c r="G7" s="194" t="inlineStr">
        <is>
          <t>Sistema de diagnóstico oftálmico avanzado, marca Heidelberg Engineering, modelo Spectralis</t>
        </is>
      </c>
      <c r="H7" s="192" t="inlineStr">
        <is>
          <t>SPEC-CAM-22694-S3610</t>
        </is>
      </c>
      <c r="I7" s="192" t="inlineStr">
        <is>
          <t>OFTALMO</t>
        </is>
      </c>
      <c r="J7" s="193" t="n">
        <v>1</v>
      </c>
      <c r="K7" s="193" t="n">
        <v>2</v>
      </c>
      <c r="L7" s="321" t="inlineStr">
        <is>
          <t>Ing. Jose Romero Najera</t>
        </is>
      </c>
      <c r="M7" s="193" t="inlineStr">
        <is>
          <t>19/10/2026</t>
        </is>
      </c>
    </row>
    <row r="8" ht="19.95" customHeight="1" s="227">
      <c r="A8" s="196" t="n">
        <v>4</v>
      </c>
      <c r="B8" s="197" t="inlineStr">
        <is>
          <t>BM-004</t>
        </is>
      </c>
      <c r="C8" s="197" t="n">
        <v>19</v>
      </c>
      <c r="D8" s="198" t="inlineStr">
        <is>
          <t>H.M.E.O. Constituyentes</t>
        </is>
      </c>
      <c r="E8" s="196" t="inlineStr">
        <is>
          <t>CDMX</t>
        </is>
      </c>
      <c r="F8" s="198" t="inlineStr">
        <is>
          <t>I Región Militar (Valle de México)</t>
        </is>
      </c>
      <c r="G8" s="198" t="inlineStr">
        <is>
          <t>Sistema de facoemulsificación, marca Alcon, modelo Centurion</t>
        </is>
      </c>
      <c r="H8" s="196" t="inlineStr">
        <is>
          <t>2201601801X</t>
        </is>
      </c>
      <c r="I8" s="196" t="inlineStr">
        <is>
          <t>OFTALMO</t>
        </is>
      </c>
      <c r="J8" s="197" t="n">
        <v>1</v>
      </c>
      <c r="K8" s="197" t="n">
        <v>2</v>
      </c>
      <c r="L8" s="322" t="inlineStr">
        <is>
          <t>Ing. Sophia López Ramírez</t>
        </is>
      </c>
      <c r="M8" s="197" t="inlineStr">
        <is>
          <t>13/10/2026</t>
        </is>
      </c>
    </row>
    <row r="9" ht="19.95" customHeight="1" s="227">
      <c r="A9" s="192" t="n">
        <v>5</v>
      </c>
      <c r="B9" s="193" t="inlineStr">
        <is>
          <t>BM-005</t>
        </is>
      </c>
      <c r="C9" s="193" t="n">
        <v>20</v>
      </c>
      <c r="D9" s="194" t="inlineStr">
        <is>
          <t>H.M.E.O. Constituyentes</t>
        </is>
      </c>
      <c r="E9" s="192" t="inlineStr">
        <is>
          <t>CDMX</t>
        </is>
      </c>
      <c r="F9" s="194" t="inlineStr">
        <is>
          <t>I Región Militar (Valle de México)</t>
        </is>
      </c>
      <c r="G9" s="194" t="inlineStr">
        <is>
          <t>Sistema de facoemulsificación, marca Alcon, modelo Centurion</t>
        </is>
      </c>
      <c r="H9" s="192" t="inlineStr">
        <is>
          <t>2201483301X</t>
        </is>
      </c>
      <c r="I9" s="192" t="inlineStr">
        <is>
          <t>OFTALMO</t>
        </is>
      </c>
      <c r="J9" s="193" t="n">
        <v>1</v>
      </c>
      <c r="K9" s="193" t="n">
        <v>2</v>
      </c>
      <c r="L9" s="322" t="inlineStr">
        <is>
          <t>Ing. Sophia López Ramírez</t>
        </is>
      </c>
      <c r="M9" s="193" t="inlineStr">
        <is>
          <t>13/10/2026</t>
        </is>
      </c>
    </row>
    <row r="10" ht="19.95" customHeight="1" s="227">
      <c r="A10" s="196" t="n">
        <v>6</v>
      </c>
      <c r="B10" s="197" t="inlineStr">
        <is>
          <t>BM-006</t>
        </is>
      </c>
      <c r="C10" s="197" t="n">
        <v>21</v>
      </c>
      <c r="D10" s="198" t="inlineStr">
        <is>
          <t>H.M.E.O. Constituyentes</t>
        </is>
      </c>
      <c r="E10" s="196" t="inlineStr">
        <is>
          <t>CDMX</t>
        </is>
      </c>
      <c r="F10" s="198" t="inlineStr">
        <is>
          <t>I Región Militar (Valle de México)</t>
        </is>
      </c>
      <c r="G10" s="198" t="inlineStr">
        <is>
          <t>Sistema de facoemulsificación, marca Alcon, modelo Centurion</t>
        </is>
      </c>
      <c r="H10" s="196" t="inlineStr">
        <is>
          <t>2201602101X</t>
        </is>
      </c>
      <c r="I10" s="196" t="inlineStr">
        <is>
          <t>OFTALMO</t>
        </is>
      </c>
      <c r="J10" s="197" t="n">
        <v>1</v>
      </c>
      <c r="K10" s="197" t="n">
        <v>2</v>
      </c>
      <c r="L10" s="322" t="inlineStr">
        <is>
          <t>Ing. Sophia López Ramírez</t>
        </is>
      </c>
      <c r="M10" s="197" t="inlineStr">
        <is>
          <t>13/10/2026</t>
        </is>
      </c>
    </row>
    <row r="11" ht="19.95" customHeight="1" s="227">
      <c r="A11" s="192" t="n">
        <v>7</v>
      </c>
      <c r="B11" s="193" t="inlineStr">
        <is>
          <t>BM-007</t>
        </is>
      </c>
      <c r="C11" s="193" t="n">
        <v>22</v>
      </c>
      <c r="D11" s="194" t="inlineStr">
        <is>
          <t>H.M.E.O. Constituyentes</t>
        </is>
      </c>
      <c r="E11" s="192" t="inlineStr">
        <is>
          <t>CDMX</t>
        </is>
      </c>
      <c r="F11" s="194" t="inlineStr">
        <is>
          <t>I Región Militar (Valle de México)</t>
        </is>
      </c>
      <c r="G11" s="194" t="inlineStr">
        <is>
          <t>Sistema de facoemulsificación, marca Alcon, modelo Centurion</t>
        </is>
      </c>
      <c r="H11" s="192" t="inlineStr">
        <is>
          <t>2202291501X</t>
        </is>
      </c>
      <c r="I11" s="192" t="inlineStr">
        <is>
          <t>OFTALMO</t>
        </is>
      </c>
      <c r="J11" s="193" t="n">
        <v>1</v>
      </c>
      <c r="K11" s="193" t="n">
        <v>2</v>
      </c>
      <c r="L11" s="322" t="inlineStr">
        <is>
          <t>Ing. Sophia López Ramírez</t>
        </is>
      </c>
      <c r="M11" s="193" t="inlineStr">
        <is>
          <t>13/10/2026</t>
        </is>
      </c>
    </row>
    <row r="12" ht="19.95" customHeight="1" s="227">
      <c r="A12" s="196" t="n">
        <v>8</v>
      </c>
      <c r="B12" s="197" t="inlineStr">
        <is>
          <t>BM-008</t>
        </is>
      </c>
      <c r="C12" s="197" t="n">
        <v>23</v>
      </c>
      <c r="D12" s="198" t="inlineStr">
        <is>
          <t>H.M.E.O. Constituyentes</t>
        </is>
      </c>
      <c r="E12" s="196" t="inlineStr">
        <is>
          <t>CDMX</t>
        </is>
      </c>
      <c r="F12" s="198" t="inlineStr">
        <is>
          <t>I Región Militar (Valle de México)</t>
        </is>
      </c>
      <c r="G12" s="198" t="inlineStr">
        <is>
          <t>Sistema de cirugía vitreorretiniana, marca Alcon, modelo Constellation</t>
        </is>
      </c>
      <c r="H12" s="196" t="inlineStr">
        <is>
          <t>2201508001X</t>
        </is>
      </c>
      <c r="I12" s="196" t="inlineStr">
        <is>
          <t>OFTALMO</t>
        </is>
      </c>
      <c r="J12" s="197" t="n">
        <v>1</v>
      </c>
      <c r="K12" s="197" t="n">
        <v>2</v>
      </c>
      <c r="L12" s="322" t="inlineStr">
        <is>
          <t>Ing. Sophia López Ramírez</t>
        </is>
      </c>
      <c r="M12" s="197" t="inlineStr">
        <is>
          <t>13/10/2026</t>
        </is>
      </c>
    </row>
    <row r="13" ht="19.95" customHeight="1" s="227">
      <c r="A13" s="192" t="n">
        <v>9</v>
      </c>
      <c r="B13" s="193" t="inlineStr">
        <is>
          <t>BM-009</t>
        </is>
      </c>
      <c r="C13" s="193" t="n">
        <v>24</v>
      </c>
      <c r="D13" s="194" t="inlineStr">
        <is>
          <t>H.M.E.O. Constituyentes</t>
        </is>
      </c>
      <c r="E13" s="192" t="inlineStr">
        <is>
          <t>CDMX</t>
        </is>
      </c>
      <c r="F13" s="194" t="inlineStr">
        <is>
          <t>I Región Militar (Valle de México)</t>
        </is>
      </c>
      <c r="G13" s="194" t="inlineStr">
        <is>
          <t>Sistema de cirugía vitreorretiniana, marca Alcon, modelo Constellation</t>
        </is>
      </c>
      <c r="H13" s="192" t="inlineStr">
        <is>
          <t>2201508101X</t>
        </is>
      </c>
      <c r="I13" s="192" t="inlineStr">
        <is>
          <t>OFTALMO</t>
        </is>
      </c>
      <c r="J13" s="193" t="n">
        <v>1</v>
      </c>
      <c r="K13" s="193" t="n">
        <v>2</v>
      </c>
      <c r="L13" s="322" t="inlineStr">
        <is>
          <t>Ing. Sophia López Ramírez</t>
        </is>
      </c>
      <c r="M13" s="193" t="inlineStr">
        <is>
          <t>13/10/2026</t>
        </is>
      </c>
    </row>
    <row r="14" ht="19.95" customHeight="1" s="227">
      <c r="A14" s="196" t="n">
        <v>10</v>
      </c>
      <c r="B14" s="197" t="inlineStr">
        <is>
          <t>BM-010</t>
        </is>
      </c>
      <c r="C14" s="197" t="n">
        <v>25</v>
      </c>
      <c r="D14" s="198" t="inlineStr">
        <is>
          <t>H.M.E.O. Constituyentes</t>
        </is>
      </c>
      <c r="E14" s="196" t="inlineStr">
        <is>
          <t>CDMX</t>
        </is>
      </c>
      <c r="F14" s="198" t="inlineStr">
        <is>
          <t>I Región Militar (Valle de México)</t>
        </is>
      </c>
      <c r="G14" s="198" t="inlineStr">
        <is>
          <t>Sistema de cirugía vitreorretiniana, marca Alcon, modelo Constellation</t>
        </is>
      </c>
      <c r="H14" s="196" t="inlineStr">
        <is>
          <t>2201541901X</t>
        </is>
      </c>
      <c r="I14" s="196" t="inlineStr">
        <is>
          <t>OFTALMO</t>
        </is>
      </c>
      <c r="J14" s="197" t="n">
        <v>1</v>
      </c>
      <c r="K14" s="197" t="n">
        <v>2</v>
      </c>
      <c r="L14" s="322" t="inlineStr">
        <is>
          <t>Ing. Sophia López Ramírez</t>
        </is>
      </c>
      <c r="M14" s="197" t="inlineStr">
        <is>
          <t>13/10/2026</t>
        </is>
      </c>
    </row>
    <row r="15" ht="19.95" customHeight="1" s="227">
      <c r="A15" s="192" t="n">
        <v>11</v>
      </c>
      <c r="B15" s="193" t="inlineStr">
        <is>
          <t>BM-011</t>
        </is>
      </c>
      <c r="C15" s="193" t="n">
        <v>26</v>
      </c>
      <c r="D15" s="194" t="inlineStr">
        <is>
          <t>H.M.E.O. Constituyentes</t>
        </is>
      </c>
      <c r="E15" s="192" t="inlineStr">
        <is>
          <t>CDMX</t>
        </is>
      </c>
      <c r="F15" s="194" t="inlineStr">
        <is>
          <t>I Región Militar (Valle de México)</t>
        </is>
      </c>
      <c r="G15" s="194" t="inlineStr">
        <is>
          <t>Láser de diodo, marca A.R.C. Laser, modelo FOX 810</t>
        </is>
      </c>
      <c r="H15" s="192" t="inlineStr">
        <is>
          <t>615423-AAAB</t>
        </is>
      </c>
      <c r="I15" s="192" t="inlineStr">
        <is>
          <t>OFTALMO</t>
        </is>
      </c>
      <c r="J15" s="193" t="n">
        <v>1</v>
      </c>
      <c r="K15" s="193" t="n">
        <v>2</v>
      </c>
      <c r="L15" s="322" t="inlineStr">
        <is>
          <t>Ing. Sophia López Ramírez</t>
        </is>
      </c>
      <c r="M15" s="193" t="inlineStr">
        <is>
          <t>14/10/2026</t>
        </is>
      </c>
    </row>
    <row r="16" ht="19.95" customHeight="1" s="227">
      <c r="A16" s="196" t="n">
        <v>12</v>
      </c>
      <c r="B16" s="197" t="inlineStr">
        <is>
          <t>BM-012</t>
        </is>
      </c>
      <c r="C16" s="197" t="n">
        <v>27</v>
      </c>
      <c r="D16" s="198" t="inlineStr">
        <is>
          <t>H.M.E.O. Constituyentes</t>
        </is>
      </c>
      <c r="E16" s="196" t="inlineStr">
        <is>
          <t>CDMX</t>
        </is>
      </c>
      <c r="F16" s="198" t="inlineStr">
        <is>
          <t>I Región Militar (Valle de México)</t>
        </is>
      </c>
      <c r="G16" s="198" t="inlineStr">
        <is>
          <t>Electroretinógrafo portátil, marca LKC, modelo RETeval</t>
        </is>
      </c>
      <c r="H16" s="196" t="inlineStr">
        <is>
          <t>R002034</t>
        </is>
      </c>
      <c r="I16" s="196" t="inlineStr">
        <is>
          <t>OFTALMO</t>
        </is>
      </c>
      <c r="J16" s="197" t="n">
        <v>1</v>
      </c>
      <c r="K16" s="197" t="n">
        <v>2</v>
      </c>
      <c r="L16" s="322" t="inlineStr">
        <is>
          <t>Ing. Sophia López Ramírez</t>
        </is>
      </c>
      <c r="M16" s="197" t="inlineStr">
        <is>
          <t>14/10/2026</t>
        </is>
      </c>
    </row>
    <row r="17" ht="19.95" customHeight="1" s="227">
      <c r="A17" s="192" t="n">
        <v>13</v>
      </c>
      <c r="B17" s="193" t="inlineStr">
        <is>
          <t>BM-013</t>
        </is>
      </c>
      <c r="C17" s="193" t="n">
        <v>28</v>
      </c>
      <c r="D17" s="194" t="inlineStr">
        <is>
          <t>H.M.E.O. Constituyentes</t>
        </is>
      </c>
      <c r="E17" s="192" t="inlineStr">
        <is>
          <t>CDMX</t>
        </is>
      </c>
      <c r="F17" s="194" t="inlineStr">
        <is>
          <t>I Región Militar (Valle de México)</t>
        </is>
      </c>
      <c r="G17" s="194" t="inlineStr">
        <is>
          <t>Electroretinógrafo portátil, marca LKC, modelo RETeval</t>
        </is>
      </c>
      <c r="H17" s="192" t="inlineStr">
        <is>
          <t>R002556</t>
        </is>
      </c>
      <c r="I17" s="192" t="inlineStr">
        <is>
          <t>OFTALMO</t>
        </is>
      </c>
      <c r="J17" s="193" t="n">
        <v>1</v>
      </c>
      <c r="K17" s="193" t="n">
        <v>2</v>
      </c>
      <c r="L17" s="322" t="inlineStr">
        <is>
          <t>Ing. Sophia López Ramírez</t>
        </is>
      </c>
      <c r="M17" s="193" t="inlineStr">
        <is>
          <t>14/10/2026</t>
        </is>
      </c>
    </row>
    <row r="18" ht="19.95" customHeight="1" s="227">
      <c r="A18" s="196" t="n">
        <v>14</v>
      </c>
      <c r="B18" s="197" t="inlineStr">
        <is>
          <t>BM-014</t>
        </is>
      </c>
      <c r="C18" s="197" t="n">
        <v>29</v>
      </c>
      <c r="D18" s="198" t="inlineStr">
        <is>
          <t>H.M.E.O. Constituyentes</t>
        </is>
      </c>
      <c r="E18" s="196" t="inlineStr">
        <is>
          <t>CDMX</t>
        </is>
      </c>
      <c r="F18" s="198" t="inlineStr">
        <is>
          <t>I Región Militar (Valle de México)</t>
        </is>
      </c>
      <c r="G18" s="198" t="inlineStr">
        <is>
          <t>Microscopio confocal, marca Heidelberg Engineering, modelo HRT3 RCM</t>
        </is>
      </c>
      <c r="H18" s="196" t="inlineStr">
        <is>
          <t>HRT3-08313</t>
        </is>
      </c>
      <c r="I18" s="196" t="inlineStr">
        <is>
          <t>OFTALMO</t>
        </is>
      </c>
      <c r="J18" s="197" t="n">
        <v>1</v>
      </c>
      <c r="K18" s="197" t="n">
        <v>2</v>
      </c>
      <c r="L18" s="322" t="inlineStr">
        <is>
          <t>Ing. Sophia López Ramírez</t>
        </is>
      </c>
      <c r="M18" s="197" t="inlineStr">
        <is>
          <t>14/10/2026</t>
        </is>
      </c>
    </row>
    <row r="19" ht="19.95" customHeight="1" s="227">
      <c r="A19" s="192" t="n">
        <v>15</v>
      </c>
      <c r="B19" s="193" t="inlineStr">
        <is>
          <t>BM-015</t>
        </is>
      </c>
      <c r="C19" s="193" t="n">
        <v>30</v>
      </c>
      <c r="D19" s="194" t="inlineStr">
        <is>
          <t>H.M.E.O. Constituyentes</t>
        </is>
      </c>
      <c r="E19" s="192" t="inlineStr">
        <is>
          <t>CDMX</t>
        </is>
      </c>
      <c r="F19" s="194" t="inlineStr">
        <is>
          <t>I Región Militar (Valle de México)</t>
        </is>
      </c>
      <c r="G19" s="194" t="inlineStr">
        <is>
          <t>Topógrafo corneal con cámara Scheimpflug, marca Oculus, modelo Pentacam</t>
        </is>
      </c>
      <c r="H19" s="192" t="inlineStr">
        <is>
          <t>7010054522270</t>
        </is>
      </c>
      <c r="I19" s="192" t="inlineStr">
        <is>
          <t>OFTALMO</t>
        </is>
      </c>
      <c r="J19" s="193" t="n">
        <v>1</v>
      </c>
      <c r="K19" s="193" t="n">
        <v>2</v>
      </c>
      <c r="L19" s="322" t="inlineStr">
        <is>
          <t>Ing. Sophia López Ramírez</t>
        </is>
      </c>
      <c r="M19" s="193" t="inlineStr">
        <is>
          <t>14/10/2026</t>
        </is>
      </c>
    </row>
    <row r="20" ht="19.95" customHeight="1" s="227">
      <c r="A20" s="196" t="n">
        <v>16</v>
      </c>
      <c r="B20" s="197" t="inlineStr">
        <is>
          <t>BM-016</t>
        </is>
      </c>
      <c r="C20" s="197" t="n">
        <v>32</v>
      </c>
      <c r="D20" s="198" t="inlineStr">
        <is>
          <t>H.M.E.O. Constituyentes</t>
        </is>
      </c>
      <c r="E20" s="196" t="inlineStr">
        <is>
          <t>CDMX</t>
        </is>
      </c>
      <c r="F20" s="198" t="inlineStr">
        <is>
          <t>I Región Militar (Valle de México)</t>
        </is>
      </c>
      <c r="G20" s="198" t="inlineStr">
        <is>
          <t>Sistema de fotocoagulación láser con estación de trabajo, marca OD-OS, modelo Navilas</t>
        </is>
      </c>
      <c r="H20" s="196" t="inlineStr">
        <is>
          <t>158000-3215</t>
        </is>
      </c>
      <c r="I20" s="196" t="inlineStr">
        <is>
          <t>OFTALMO</t>
        </is>
      </c>
      <c r="J20" s="197" t="n">
        <v>1</v>
      </c>
      <c r="K20" s="197" t="n">
        <v>2</v>
      </c>
      <c r="L20" s="322" t="inlineStr">
        <is>
          <t>Ing. Sophia López Ramírez</t>
        </is>
      </c>
      <c r="M20" s="197" t="inlineStr">
        <is>
          <t>14/10/2026</t>
        </is>
      </c>
    </row>
    <row r="21" ht="19.95" customHeight="1" s="227">
      <c r="A21" s="192" t="n">
        <v>17</v>
      </c>
      <c r="B21" s="193" t="inlineStr">
        <is>
          <t>BM-017</t>
        </is>
      </c>
      <c r="C21" s="193" t="n">
        <v>33</v>
      </c>
      <c r="D21" s="194" t="inlineStr">
        <is>
          <t>H.M.E.O. Constituyentes</t>
        </is>
      </c>
      <c r="E21" s="192" t="inlineStr">
        <is>
          <t>CDMX</t>
        </is>
      </c>
      <c r="F21" s="194" t="inlineStr">
        <is>
          <t>I Región Militar (Valle de México)</t>
        </is>
      </c>
      <c r="G21" s="194" t="inlineStr">
        <is>
          <t>Cámara de campo ultra amplio, marca Natus, modelo RetCam Envision</t>
        </is>
      </c>
      <c r="H21" s="192" t="inlineStr">
        <is>
          <t>RE-0276</t>
        </is>
      </c>
      <c r="I21" s="192" t="inlineStr">
        <is>
          <t>OFTALMO</t>
        </is>
      </c>
      <c r="J21" s="193" t="n">
        <v>1</v>
      </c>
      <c r="K21" s="193" t="n">
        <v>2</v>
      </c>
      <c r="L21" s="322" t="inlineStr">
        <is>
          <t>Ing. Sophia López Ramírez</t>
        </is>
      </c>
      <c r="M21" s="193" t="inlineStr">
        <is>
          <t>14/10/2026</t>
        </is>
      </c>
    </row>
    <row r="22" ht="19.95" customHeight="1" s="227">
      <c r="A22" s="196" t="n">
        <v>18</v>
      </c>
      <c r="B22" s="197" t="inlineStr">
        <is>
          <t>BM-018</t>
        </is>
      </c>
      <c r="C22" s="197" t="n">
        <v>34</v>
      </c>
      <c r="D22" s="198" t="inlineStr">
        <is>
          <t>H.M.E.O. Constituyentes</t>
        </is>
      </c>
      <c r="E22" s="196" t="inlineStr">
        <is>
          <t>CDMX</t>
        </is>
      </c>
      <c r="F22" s="198" t="inlineStr">
        <is>
          <t>I Región Militar (Valle de México)</t>
        </is>
      </c>
      <c r="G22" s="198" t="inlineStr">
        <is>
          <t>Láser, marca Quantel Medical, modelo Vitra 810</t>
        </is>
      </c>
      <c r="H22" s="196" t="inlineStr">
        <is>
          <t>574</t>
        </is>
      </c>
      <c r="I22" s="196" t="inlineStr">
        <is>
          <t>OFTALMO</t>
        </is>
      </c>
      <c r="J22" s="197" t="n">
        <v>1</v>
      </c>
      <c r="K22" s="197" t="n">
        <v>2</v>
      </c>
      <c r="L22" s="322" t="inlineStr">
        <is>
          <t>Ing. Sophia López Ramírez</t>
        </is>
      </c>
      <c r="M22" s="197" t="inlineStr">
        <is>
          <t>15/10/2026</t>
        </is>
      </c>
    </row>
    <row r="23" ht="19.95" customHeight="1" s="227">
      <c r="A23" s="192" t="n">
        <v>19</v>
      </c>
      <c r="B23" s="193" t="inlineStr">
        <is>
          <t>BM-019</t>
        </is>
      </c>
      <c r="C23" s="193" t="n">
        <v>35</v>
      </c>
      <c r="D23" s="194" t="inlineStr">
        <is>
          <t>H.M.E.O. Constituyentes</t>
        </is>
      </c>
      <c r="E23" s="192" t="inlineStr">
        <is>
          <t>CDMX</t>
        </is>
      </c>
      <c r="F23" s="194" t="inlineStr">
        <is>
          <t>I Región Militar (Valle de México)</t>
        </is>
      </c>
      <c r="G23" s="194" t="inlineStr">
        <is>
          <t>Láser, marca Quantel Medical, modelo Vitra 811</t>
        </is>
      </c>
      <c r="H23" s="192" t="inlineStr">
        <is>
          <t>575</t>
        </is>
      </c>
      <c r="I23" s="192" t="inlineStr">
        <is>
          <t>OFTALMO</t>
        </is>
      </c>
      <c r="J23" s="193" t="n">
        <v>1</v>
      </c>
      <c r="K23" s="193" t="n">
        <v>2</v>
      </c>
      <c r="L23" s="322" t="inlineStr">
        <is>
          <t>Ing. Sophia López Ramírez</t>
        </is>
      </c>
      <c r="M23" s="193" t="inlineStr">
        <is>
          <t>15/10/2026</t>
        </is>
      </c>
    </row>
    <row r="24" ht="19.95" customHeight="1" s="227">
      <c r="A24" s="196" t="n">
        <v>20</v>
      </c>
      <c r="B24" s="197" t="inlineStr">
        <is>
          <t>BM-020</t>
        </is>
      </c>
      <c r="C24" s="197" t="n">
        <v>38</v>
      </c>
      <c r="D24" s="198" t="inlineStr">
        <is>
          <t>H.M.E.O. Constituyentes</t>
        </is>
      </c>
      <c r="E24" s="196" t="inlineStr">
        <is>
          <t>CDMX</t>
        </is>
      </c>
      <c r="F24" s="198" t="inlineStr">
        <is>
          <t>I Región Militar (Valle de México)</t>
        </is>
      </c>
      <c r="G24" s="198" t="inlineStr">
        <is>
          <t>Retinógrafo portátil de campo amplio para neonatos, marca Visunex Medical Systems, modelo PanoCam</t>
        </is>
      </c>
      <c r="H24" s="196" t="inlineStr">
        <is>
          <t>A237402</t>
        </is>
      </c>
      <c r="I24" s="196" t="inlineStr">
        <is>
          <t>OFTALMO</t>
        </is>
      </c>
      <c r="J24" s="197" t="n">
        <v>1</v>
      </c>
      <c r="K24" s="197" t="n">
        <v>2</v>
      </c>
      <c r="L24" s="322" t="inlineStr">
        <is>
          <t>Ing. Sophia López Ramírez</t>
        </is>
      </c>
      <c r="M24" s="197" t="inlineStr">
        <is>
          <t>15/10/2026</t>
        </is>
      </c>
    </row>
    <row r="25" ht="19.95" customHeight="1" s="227">
      <c r="A25" s="192" t="n">
        <v>21</v>
      </c>
      <c r="B25" s="193" t="inlineStr">
        <is>
          <t>BM-021</t>
        </is>
      </c>
      <c r="C25" s="193" t="n">
        <v>39</v>
      </c>
      <c r="D25" s="194" t="inlineStr">
        <is>
          <t>H.M.E.O. Constituyentes</t>
        </is>
      </c>
      <c r="E25" s="192" t="inlineStr">
        <is>
          <t>CDMX</t>
        </is>
      </c>
      <c r="F25" s="194" t="inlineStr">
        <is>
          <t>I Región Militar (Valle de México)</t>
        </is>
      </c>
      <c r="G25" s="194" t="inlineStr">
        <is>
          <t>Retinógrafo portátil de campo amplio para neonatos, marca Visunex Medical Systems, modelo PanoCam</t>
        </is>
      </c>
      <c r="H25" s="192" t="inlineStr">
        <is>
          <t>A237403</t>
        </is>
      </c>
      <c r="I25" s="192" t="inlineStr">
        <is>
          <t>OFTALMO</t>
        </is>
      </c>
      <c r="J25" s="193" t="n">
        <v>1</v>
      </c>
      <c r="K25" s="193" t="n">
        <v>2</v>
      </c>
      <c r="L25" s="322" t="inlineStr">
        <is>
          <t>Ing. Sophia López Ramírez</t>
        </is>
      </c>
      <c r="M25" s="193" t="inlineStr">
        <is>
          <t>15/10/2026</t>
        </is>
      </c>
    </row>
    <row r="26" ht="19.95" customHeight="1" s="227">
      <c r="A26" s="196" t="n">
        <v>22</v>
      </c>
      <c r="B26" s="197" t="inlineStr">
        <is>
          <t>BM-022</t>
        </is>
      </c>
      <c r="C26" s="197" t="n">
        <v>40</v>
      </c>
      <c r="D26" s="198" t="inlineStr">
        <is>
          <t>H.M.E.O. Constituyentes</t>
        </is>
      </c>
      <c r="E26" s="196" t="inlineStr">
        <is>
          <t>CDMX</t>
        </is>
      </c>
      <c r="F26" s="198" t="inlineStr">
        <is>
          <t>I Región Militar (Valle de México)</t>
        </is>
      </c>
      <c r="G26" s="198" t="inlineStr">
        <is>
          <t>Retinógrafo portátil de campo amplio para neonatos, marca Visunex Medical Systems, modelo PanoCam</t>
        </is>
      </c>
      <c r="H26" s="196" t="inlineStr">
        <is>
          <t>A237401</t>
        </is>
      </c>
      <c r="I26" s="196" t="inlineStr">
        <is>
          <t>OFTALMO</t>
        </is>
      </c>
      <c r="J26" s="197" t="n">
        <v>1</v>
      </c>
      <c r="K26" s="197" t="n">
        <v>2</v>
      </c>
      <c r="L26" s="322" t="inlineStr">
        <is>
          <t>Ing. Sophia López Ramírez</t>
        </is>
      </c>
      <c r="M26" s="197" t="inlineStr">
        <is>
          <t>15/10/2026</t>
        </is>
      </c>
    </row>
    <row r="27" ht="19.95" customHeight="1" s="227">
      <c r="A27" s="192" t="n">
        <v>23</v>
      </c>
      <c r="B27" s="193" t="inlineStr">
        <is>
          <t>BM-023</t>
        </is>
      </c>
      <c r="C27" s="193" t="n">
        <v>41</v>
      </c>
      <c r="D27" s="194" t="inlineStr">
        <is>
          <t>H.M.E.O. Constituyentes</t>
        </is>
      </c>
      <c r="E27" s="192" t="inlineStr">
        <is>
          <t>CDMX</t>
        </is>
      </c>
      <c r="F27" s="194" t="inlineStr">
        <is>
          <t>I Región Militar (Valle de México)</t>
        </is>
      </c>
      <c r="G27" s="194" t="inlineStr">
        <is>
          <t>Microscopio especular, marca TOMEY, modelo EM-4000</t>
        </is>
      </c>
      <c r="H27" s="192" t="inlineStr">
        <is>
          <t>354304</t>
        </is>
      </c>
      <c r="I27" s="192" t="inlineStr">
        <is>
          <t>OFTALMO</t>
        </is>
      </c>
      <c r="J27" s="193" t="n">
        <v>1</v>
      </c>
      <c r="K27" s="193" t="n">
        <v>2</v>
      </c>
      <c r="L27" s="322" t="inlineStr">
        <is>
          <t>Ing. Sophia López Ramírez</t>
        </is>
      </c>
      <c r="M27" s="193" t="inlineStr">
        <is>
          <t>15/10/2026</t>
        </is>
      </c>
    </row>
    <row r="28" ht="19.95" customHeight="1" s="227">
      <c r="A28" s="196" t="n">
        <v>24</v>
      </c>
      <c r="B28" s="197" t="inlineStr">
        <is>
          <t>BM-024</t>
        </is>
      </c>
      <c r="C28" s="197" t="n">
        <v>42</v>
      </c>
      <c r="D28" s="198" t="inlineStr">
        <is>
          <t>H.M.E.O. Constituyentes</t>
        </is>
      </c>
      <c r="E28" s="196" t="inlineStr">
        <is>
          <t>CDMX</t>
        </is>
      </c>
      <c r="F28" s="198" t="inlineStr">
        <is>
          <t>I Región Militar (Valle de México)</t>
        </is>
      </c>
      <c r="G28" s="198" t="inlineStr">
        <is>
          <t>Microscopio especular, marca TOMEY, modelo EM-4001</t>
        </is>
      </c>
      <c r="H28" s="196" t="inlineStr">
        <is>
          <t>349103</t>
        </is>
      </c>
      <c r="I28" s="196" t="inlineStr">
        <is>
          <t>OFTALMO</t>
        </is>
      </c>
      <c r="J28" s="197" t="n">
        <v>1</v>
      </c>
      <c r="K28" s="197" t="n">
        <v>2</v>
      </c>
      <c r="L28" s="322" t="inlineStr">
        <is>
          <t>Ing. Sophia López Ramírez</t>
        </is>
      </c>
      <c r="M28" s="197" t="inlineStr">
        <is>
          <t>15/10/2026</t>
        </is>
      </c>
    </row>
    <row r="29" ht="19.95" customHeight="1" s="227">
      <c r="A29" s="192" t="n">
        <v>25</v>
      </c>
      <c r="B29" s="193" t="inlineStr">
        <is>
          <t>BM-025</t>
        </is>
      </c>
      <c r="C29" s="193" t="n">
        <v>43</v>
      </c>
      <c r="D29" s="194" t="inlineStr">
        <is>
          <t>H.M.E.O. Constituyentes</t>
        </is>
      </c>
      <c r="E29" s="192" t="inlineStr">
        <is>
          <t>CDMX</t>
        </is>
      </c>
      <c r="F29" s="194" t="inlineStr">
        <is>
          <t>I Región Militar (Valle de México)</t>
        </is>
      </c>
      <c r="G29" s="194" t="inlineStr">
        <is>
          <t>Ultrasonido modo A-B, marca TOMEY, modelo UD-800</t>
        </is>
      </c>
      <c r="H29" s="192" t="inlineStr">
        <is>
          <t>366702</t>
        </is>
      </c>
      <c r="I29" s="192" t="inlineStr">
        <is>
          <t>OFTALMO</t>
        </is>
      </c>
      <c r="J29" s="193" t="n">
        <v>1</v>
      </c>
      <c r="K29" s="193" t="n">
        <v>2</v>
      </c>
      <c r="L29" s="322" t="inlineStr">
        <is>
          <t>Ing. Sophia López Ramírez</t>
        </is>
      </c>
      <c r="M29" s="193" t="inlineStr">
        <is>
          <t>16/10/2026</t>
        </is>
      </c>
    </row>
    <row r="30" ht="19.95" customHeight="1" s="227">
      <c r="A30" s="196" t="n">
        <v>26</v>
      </c>
      <c r="B30" s="197" t="inlineStr">
        <is>
          <t>BM-026</t>
        </is>
      </c>
      <c r="C30" s="197" t="n">
        <v>44</v>
      </c>
      <c r="D30" s="198" t="inlineStr">
        <is>
          <t>H.M.E.O. Constituyentes</t>
        </is>
      </c>
      <c r="E30" s="196" t="inlineStr">
        <is>
          <t>CDMX</t>
        </is>
      </c>
      <c r="F30" s="198" t="inlineStr">
        <is>
          <t>I Región Militar (Valle de México)</t>
        </is>
      </c>
      <c r="G30" s="198" t="inlineStr">
        <is>
          <t>Ultrasonido modo A-B, marca TOMEY, modelo UD-801</t>
        </is>
      </c>
      <c r="H30" s="196" t="inlineStr">
        <is>
          <t>372404</t>
        </is>
      </c>
      <c r="I30" s="196" t="inlineStr">
        <is>
          <t>OFTALMO</t>
        </is>
      </c>
      <c r="J30" s="197" t="n">
        <v>1</v>
      </c>
      <c r="K30" s="197" t="n">
        <v>2</v>
      </c>
      <c r="L30" s="322" t="inlineStr">
        <is>
          <t>Ing. Sophia López Ramírez</t>
        </is>
      </c>
      <c r="M30" s="197" t="inlineStr">
        <is>
          <t>16/10/2026</t>
        </is>
      </c>
    </row>
    <row r="31" ht="19.95" customHeight="1" s="227">
      <c r="A31" s="192" t="n">
        <v>27</v>
      </c>
      <c r="B31" s="193" t="inlineStr">
        <is>
          <t>BM-027</t>
        </is>
      </c>
      <c r="C31" s="193" t="n">
        <v>45</v>
      </c>
      <c r="D31" s="194" t="inlineStr">
        <is>
          <t>H.M.E.O. Constituyentes</t>
        </is>
      </c>
      <c r="E31" s="192" t="inlineStr">
        <is>
          <t>CDMX</t>
        </is>
      </c>
      <c r="F31" s="194" t="inlineStr">
        <is>
          <t>I Región Militar (Valle de México)</t>
        </is>
      </c>
      <c r="G31" s="194" t="inlineStr">
        <is>
          <t>Autorrefractómetro, marca SUOER, modelo Ocular Screening SW-800</t>
        </is>
      </c>
      <c r="H31" s="192" t="inlineStr">
        <is>
          <t>BC0013GY1C</t>
        </is>
      </c>
      <c r="I31" s="192" t="inlineStr">
        <is>
          <t>OFTALMO</t>
        </is>
      </c>
      <c r="J31" s="193" t="n">
        <v>1</v>
      </c>
      <c r="K31" s="193" t="n">
        <v>2</v>
      </c>
      <c r="L31" s="322" t="inlineStr">
        <is>
          <t>Ing. Sophia López Ramírez</t>
        </is>
      </c>
      <c r="M31" s="193" t="inlineStr">
        <is>
          <t>16/10/2026</t>
        </is>
      </c>
    </row>
    <row r="32" ht="19.95" customHeight="1" s="227">
      <c r="A32" s="196" t="n">
        <v>28</v>
      </c>
      <c r="B32" s="197" t="inlineStr">
        <is>
          <t>BM-028</t>
        </is>
      </c>
      <c r="C32" s="197" t="n">
        <v>46</v>
      </c>
      <c r="D32" s="198" t="inlineStr">
        <is>
          <t>H.M.E.O. Constituyentes</t>
        </is>
      </c>
      <c r="E32" s="196" t="inlineStr">
        <is>
          <t>CDMX</t>
        </is>
      </c>
      <c r="F32" s="198" t="inlineStr">
        <is>
          <t>I Región Militar (Valle de México)</t>
        </is>
      </c>
      <c r="G32" s="198" t="inlineStr">
        <is>
          <t>Autorrefractómetro, marca SUOER, modelo Ocular Screening SW-800</t>
        </is>
      </c>
      <c r="H32" s="196" t="inlineStr">
        <is>
          <t>BC0007GY1C</t>
        </is>
      </c>
      <c r="I32" s="196" t="inlineStr">
        <is>
          <t>OFTALMO</t>
        </is>
      </c>
      <c r="J32" s="197" t="n">
        <v>1</v>
      </c>
      <c r="K32" s="197" t="n">
        <v>2</v>
      </c>
      <c r="L32" s="322" t="inlineStr">
        <is>
          <t>Ing. Sophia López Ramírez</t>
        </is>
      </c>
      <c r="M32" s="197" t="inlineStr">
        <is>
          <t>16/10/2026</t>
        </is>
      </c>
    </row>
    <row r="33" ht="19.95" customHeight="1" s="227">
      <c r="A33" s="192" t="n">
        <v>29</v>
      </c>
      <c r="B33" s="193" t="inlineStr">
        <is>
          <t>BM-029</t>
        </is>
      </c>
      <c r="C33" s="193" t="n">
        <v>47</v>
      </c>
      <c r="D33" s="194" t="inlineStr">
        <is>
          <t>H.M.E.O. Constituyentes</t>
        </is>
      </c>
      <c r="E33" s="192" t="inlineStr">
        <is>
          <t>CDMX</t>
        </is>
      </c>
      <c r="F33" s="194" t="inlineStr">
        <is>
          <t>I Región Militar (Valle de México)</t>
        </is>
      </c>
      <c r="G33" s="194" t="inlineStr">
        <is>
          <t>Autorrefractómetro, marca SUOER, modelo Ocular Screening SW-800</t>
        </is>
      </c>
      <c r="H33" s="192" t="inlineStr">
        <is>
          <t>BB0042GY1C</t>
        </is>
      </c>
      <c r="I33" s="192" t="inlineStr">
        <is>
          <t>OFTALMO</t>
        </is>
      </c>
      <c r="J33" s="193" t="n">
        <v>1</v>
      </c>
      <c r="K33" s="193" t="n">
        <v>2</v>
      </c>
      <c r="L33" s="322" t="inlineStr">
        <is>
          <t>Ing. Sophia López Ramírez</t>
        </is>
      </c>
      <c r="M33" s="193" t="inlineStr">
        <is>
          <t>16/10/2026</t>
        </is>
      </c>
    </row>
    <row r="34" ht="19.95" customHeight="1" s="227">
      <c r="A34" s="196" t="n">
        <v>30</v>
      </c>
      <c r="B34" s="197" t="inlineStr">
        <is>
          <t>BM-030</t>
        </is>
      </c>
      <c r="C34" s="197" t="n">
        <v>48</v>
      </c>
      <c r="D34" s="198" t="inlineStr">
        <is>
          <t>H.M.E.O. Constituyentes</t>
        </is>
      </c>
      <c r="E34" s="196" t="inlineStr">
        <is>
          <t>CDMX</t>
        </is>
      </c>
      <c r="F34" s="198" t="inlineStr">
        <is>
          <t>I Región Militar (Valle de México)</t>
        </is>
      </c>
      <c r="G34" s="198" t="inlineStr">
        <is>
          <t>Autorrefractómetro, marca SUOER, modelo Ocular Screening SW-800</t>
        </is>
      </c>
      <c r="H34" s="196" t="inlineStr">
        <is>
          <t>BB0043GY1C</t>
        </is>
      </c>
      <c r="I34" s="196" t="inlineStr">
        <is>
          <t>OFTALMO</t>
        </is>
      </c>
      <c r="J34" s="197" t="n">
        <v>1</v>
      </c>
      <c r="K34" s="197" t="n">
        <v>2</v>
      </c>
      <c r="L34" s="322" t="inlineStr">
        <is>
          <t>Ing. Sophia López Ramírez</t>
        </is>
      </c>
      <c r="M34" s="197" t="inlineStr">
        <is>
          <t>16/10/2026</t>
        </is>
      </c>
    </row>
    <row r="35" ht="19.95" customHeight="1" s="227">
      <c r="A35" s="192" t="n">
        <v>31</v>
      </c>
      <c r="B35" s="193" t="inlineStr">
        <is>
          <t>BM-031</t>
        </is>
      </c>
      <c r="C35" s="193" t="n">
        <v>49</v>
      </c>
      <c r="D35" s="194" t="inlineStr">
        <is>
          <t>H.M.E.O. Constituyentes</t>
        </is>
      </c>
      <c r="E35" s="192" t="inlineStr">
        <is>
          <t>CDMX</t>
        </is>
      </c>
      <c r="F35" s="194" t="inlineStr">
        <is>
          <t>I Región Militar (Valle de México)</t>
        </is>
      </c>
      <c r="G35" s="194" t="inlineStr">
        <is>
          <t>Autoqueratorrefractor, marca Nidek, modelo ARK-F</t>
        </is>
      </c>
      <c r="H35" s="192" t="inlineStr">
        <is>
          <t>270021</t>
        </is>
      </c>
      <c r="I35" s="192" t="inlineStr">
        <is>
          <t>OFTALMO</t>
        </is>
      </c>
      <c r="J35" s="193" t="n">
        <v>1</v>
      </c>
      <c r="K35" s="193" t="n">
        <v>2</v>
      </c>
      <c r="L35" s="322" t="inlineStr">
        <is>
          <t>Ing. Sophia López Ramírez</t>
        </is>
      </c>
      <c r="M35" s="193" t="inlineStr">
        <is>
          <t>16/10/2026</t>
        </is>
      </c>
    </row>
    <row r="36" ht="19.95" customHeight="1" s="227">
      <c r="A36" s="196" t="n">
        <v>32</v>
      </c>
      <c r="B36" s="197" t="inlineStr">
        <is>
          <t>BM-032</t>
        </is>
      </c>
      <c r="C36" s="197" t="n">
        <v>50</v>
      </c>
      <c r="D36" s="198" t="inlineStr">
        <is>
          <t>H.M.E.O. Constituyentes</t>
        </is>
      </c>
      <c r="E36" s="196" t="inlineStr">
        <is>
          <t>CDMX</t>
        </is>
      </c>
      <c r="F36" s="198" t="inlineStr">
        <is>
          <t>I Región Militar (Valle de México)</t>
        </is>
      </c>
      <c r="G36" s="198" t="inlineStr">
        <is>
          <t>Autoqueratorrefractor, marca Nidek, modelo ARK-F</t>
        </is>
      </c>
      <c r="H36" s="196" t="inlineStr">
        <is>
          <t>270029</t>
        </is>
      </c>
      <c r="I36" s="196" t="inlineStr">
        <is>
          <t>OFTALMO</t>
        </is>
      </c>
      <c r="J36" s="197" t="n">
        <v>1</v>
      </c>
      <c r="K36" s="197" t="n">
        <v>2</v>
      </c>
      <c r="L36" s="322" t="inlineStr">
        <is>
          <t>Ing. Sophia López Ramírez</t>
        </is>
      </c>
      <c r="M36" s="197" t="inlineStr">
        <is>
          <t>19/10/2026</t>
        </is>
      </c>
    </row>
    <row r="37" ht="19.95" customHeight="1" s="227">
      <c r="A37" s="192" t="n">
        <v>33</v>
      </c>
      <c r="B37" s="193" t="inlineStr">
        <is>
          <t>BM-033</t>
        </is>
      </c>
      <c r="C37" s="193" t="n">
        <v>51</v>
      </c>
      <c r="D37" s="194" t="inlineStr">
        <is>
          <t>H.M.E.O. Constituyentes</t>
        </is>
      </c>
      <c r="E37" s="192" t="inlineStr">
        <is>
          <t>CDMX</t>
        </is>
      </c>
      <c r="F37" s="194" t="inlineStr">
        <is>
          <t>I Región Militar (Valle de México)</t>
        </is>
      </c>
      <c r="G37" s="194" t="inlineStr">
        <is>
          <t>Autoqueratorrefractor, marca Nidek, modelo ARK-F</t>
        </is>
      </c>
      <c r="H37" s="192" t="inlineStr">
        <is>
          <t>270031</t>
        </is>
      </c>
      <c r="I37" s="192" t="inlineStr">
        <is>
          <t>OFTALMO</t>
        </is>
      </c>
      <c r="J37" s="193" t="n">
        <v>1</v>
      </c>
      <c r="K37" s="193" t="n">
        <v>2</v>
      </c>
      <c r="L37" s="322" t="inlineStr">
        <is>
          <t>Ing. Sophia López Ramírez</t>
        </is>
      </c>
      <c r="M37" s="193" t="inlineStr">
        <is>
          <t>19/10/2026</t>
        </is>
      </c>
    </row>
    <row r="38" ht="19.95" customHeight="1" s="227">
      <c r="A38" s="196" t="n">
        <v>34</v>
      </c>
      <c r="B38" s="197" t="inlineStr">
        <is>
          <t>BM-034</t>
        </is>
      </c>
      <c r="C38" s="197" t="n">
        <v>52</v>
      </c>
      <c r="D38" s="198" t="inlineStr">
        <is>
          <t>H.M.E.O. Constituyentes</t>
        </is>
      </c>
      <c r="E38" s="196" t="inlineStr">
        <is>
          <t>CDMX</t>
        </is>
      </c>
      <c r="F38" s="198" t="inlineStr">
        <is>
          <t>I Región Militar (Valle de México)</t>
        </is>
      </c>
      <c r="G38" s="198" t="inlineStr">
        <is>
          <t>Autoqueratorrefractor, marca Nidek, modelo ARK-F</t>
        </is>
      </c>
      <c r="H38" s="196" t="inlineStr">
        <is>
          <t>270032</t>
        </is>
      </c>
      <c r="I38" s="196" t="inlineStr">
        <is>
          <t>OFTALMO</t>
        </is>
      </c>
      <c r="J38" s="197" t="n">
        <v>1</v>
      </c>
      <c r="K38" s="197" t="n">
        <v>2</v>
      </c>
      <c r="L38" s="322" t="inlineStr">
        <is>
          <t>Ing. Sophia López Ramírez</t>
        </is>
      </c>
      <c r="M38" s="197" t="inlineStr">
        <is>
          <t>19/10/2026</t>
        </is>
      </c>
    </row>
    <row r="39" ht="19.95" customHeight="1" s="227">
      <c r="A39" s="192" t="n">
        <v>35</v>
      </c>
      <c r="B39" s="193" t="inlineStr">
        <is>
          <t>BM-035</t>
        </is>
      </c>
      <c r="C39" s="193" t="n">
        <v>53</v>
      </c>
      <c r="D39" s="194" t="inlineStr">
        <is>
          <t>H.M.E.O. Constituyentes</t>
        </is>
      </c>
      <c r="E39" s="192" t="inlineStr">
        <is>
          <t>CDMX</t>
        </is>
      </c>
      <c r="F39" s="194" t="inlineStr">
        <is>
          <t>I Región Militar (Valle de México)</t>
        </is>
      </c>
      <c r="G39" s="194" t="inlineStr">
        <is>
          <t>Autoqueratorrefractor, marca Nidek, modelo ARK-F</t>
        </is>
      </c>
      <c r="H39" s="192" t="inlineStr">
        <is>
          <t>270023</t>
        </is>
      </c>
      <c r="I39" s="192" t="inlineStr">
        <is>
          <t>OFTALMO</t>
        </is>
      </c>
      <c r="J39" s="193" t="n">
        <v>1</v>
      </c>
      <c r="K39" s="193" t="n">
        <v>2</v>
      </c>
      <c r="L39" s="322" t="inlineStr">
        <is>
          <t>Ing. Sophia López Ramírez</t>
        </is>
      </c>
      <c r="M39" s="193" t="inlineStr">
        <is>
          <t>19/10/2026</t>
        </is>
      </c>
    </row>
    <row r="40" ht="19.95" customHeight="1" s="227">
      <c r="A40" s="196" t="n">
        <v>36</v>
      </c>
      <c r="B40" s="197" t="inlineStr">
        <is>
          <t>BM-036</t>
        </is>
      </c>
      <c r="C40" s="197" t="n">
        <v>54</v>
      </c>
      <c r="D40" s="198" t="inlineStr">
        <is>
          <t>H.M.E.O. Constituyentes</t>
        </is>
      </c>
      <c r="E40" s="196" t="inlineStr">
        <is>
          <t>CDMX</t>
        </is>
      </c>
      <c r="F40" s="198" t="inlineStr">
        <is>
          <t>I Región Militar (Valle de México)</t>
        </is>
      </c>
      <c r="G40" s="198" t="inlineStr">
        <is>
          <t>Autoqueratorrefractor, marca Nidek, modelo ARK-F</t>
        </is>
      </c>
      <c r="H40" s="196" t="inlineStr">
        <is>
          <t>270034</t>
        </is>
      </c>
      <c r="I40" s="196" t="inlineStr">
        <is>
          <t>OFTALMO</t>
        </is>
      </c>
      <c r="J40" s="197" t="n">
        <v>1</v>
      </c>
      <c r="K40" s="197" t="n">
        <v>2</v>
      </c>
      <c r="L40" s="322" t="inlineStr">
        <is>
          <t>Ing. Sophia López Ramírez</t>
        </is>
      </c>
      <c r="M40" s="197" t="inlineStr">
        <is>
          <t>19/10/2026</t>
        </is>
      </c>
    </row>
    <row r="41" ht="19.95" customHeight="1" s="227">
      <c r="A41" s="192" t="n">
        <v>37</v>
      </c>
      <c r="B41" s="193" t="inlineStr">
        <is>
          <t>BM-037</t>
        </is>
      </c>
      <c r="C41" s="193" t="n">
        <v>55</v>
      </c>
      <c r="D41" s="194" t="inlineStr">
        <is>
          <t>H.M.E.O. Constituyentes</t>
        </is>
      </c>
      <c r="E41" s="192" t="inlineStr">
        <is>
          <t>CDMX</t>
        </is>
      </c>
      <c r="F41" s="194" t="inlineStr">
        <is>
          <t>I Región Militar (Valle de México)</t>
        </is>
      </c>
      <c r="G41" s="194" t="inlineStr">
        <is>
          <t>Autoqueratorrefractor, marca Nidek, modelo ARK-F</t>
        </is>
      </c>
      <c r="H41" s="192" t="inlineStr">
        <is>
          <t>270035</t>
        </is>
      </c>
      <c r="I41" s="192" t="inlineStr">
        <is>
          <t>OFTALMO</t>
        </is>
      </c>
      <c r="J41" s="193" t="n">
        <v>1</v>
      </c>
      <c r="K41" s="193" t="n">
        <v>2</v>
      </c>
      <c r="L41" s="322" t="inlineStr">
        <is>
          <t>Ing. Sophia López Ramírez</t>
        </is>
      </c>
      <c r="M41" s="193" t="inlineStr">
        <is>
          <t>19/10/2026</t>
        </is>
      </c>
    </row>
    <row r="42" ht="19.95" customHeight="1" s="227">
      <c r="A42" s="196" t="n">
        <v>38</v>
      </c>
      <c r="B42" s="197" t="inlineStr">
        <is>
          <t>BM-038</t>
        </is>
      </c>
      <c r="C42" s="197" t="n">
        <v>56</v>
      </c>
      <c r="D42" s="198" t="inlineStr">
        <is>
          <t>H.M.E.O. Constituyentes</t>
        </is>
      </c>
      <c r="E42" s="196" t="inlineStr">
        <is>
          <t>CDMX</t>
        </is>
      </c>
      <c r="F42" s="198" t="inlineStr">
        <is>
          <t>I Región Militar (Valle de México)</t>
        </is>
      </c>
      <c r="G42" s="198" t="inlineStr">
        <is>
          <t>Autoqueratorrefractor, marca Nidek, modelo ARK-F</t>
        </is>
      </c>
      <c r="H42" s="196" t="inlineStr">
        <is>
          <t>270036</t>
        </is>
      </c>
      <c r="I42" s="196" t="inlineStr">
        <is>
          <t>OFTALMO</t>
        </is>
      </c>
      <c r="J42" s="197" t="n">
        <v>1</v>
      </c>
      <c r="K42" s="197" t="n">
        <v>2</v>
      </c>
      <c r="L42" s="322" t="inlineStr">
        <is>
          <t>Ing. Sophia López Ramírez</t>
        </is>
      </c>
      <c r="M42" s="197" t="inlineStr">
        <is>
          <t>19/10/2026</t>
        </is>
      </c>
    </row>
    <row r="43" ht="19.95" customHeight="1" s="227">
      <c r="A43" s="192" t="n">
        <v>39</v>
      </c>
      <c r="B43" s="193" t="inlineStr">
        <is>
          <t>BM-039</t>
        </is>
      </c>
      <c r="C43" s="193" t="n">
        <v>57</v>
      </c>
      <c r="D43" s="194" t="inlineStr">
        <is>
          <t>H.M.E.O. Constituyentes</t>
        </is>
      </c>
      <c r="E43" s="192" t="inlineStr">
        <is>
          <t>CDMX</t>
        </is>
      </c>
      <c r="F43" s="194" t="inlineStr">
        <is>
          <t>I Región Militar (Valle de México)</t>
        </is>
      </c>
      <c r="G43" s="194" t="inlineStr">
        <is>
          <t>Autoqueratorrefractor, marca Nidek, modelo ARK-F</t>
        </is>
      </c>
      <c r="H43" s="192" t="inlineStr">
        <is>
          <t>270037</t>
        </is>
      </c>
      <c r="I43" s="192" t="inlineStr">
        <is>
          <t>OFTALMO</t>
        </is>
      </c>
      <c r="J43" s="193" t="n">
        <v>1</v>
      </c>
      <c r="K43" s="193" t="n">
        <v>2</v>
      </c>
      <c r="L43" s="322" t="inlineStr">
        <is>
          <t>Ing. Sophia López Ramírez</t>
        </is>
      </c>
      <c r="M43" s="193" t="inlineStr">
        <is>
          <t>19/10/2026</t>
        </is>
      </c>
    </row>
    <row r="44" ht="19.95" customHeight="1" s="227">
      <c r="A44" s="196" t="n">
        <v>40</v>
      </c>
      <c r="B44" s="197" t="inlineStr">
        <is>
          <t>BM-040</t>
        </is>
      </c>
      <c r="C44" s="197" t="n">
        <v>58</v>
      </c>
      <c r="D44" s="198" t="inlineStr">
        <is>
          <t>H.M.E.O. Constituyentes</t>
        </is>
      </c>
      <c r="E44" s="196" t="inlineStr">
        <is>
          <t>CDMX</t>
        </is>
      </c>
      <c r="F44" s="198" t="inlineStr">
        <is>
          <t>I Región Militar (Valle de México)</t>
        </is>
      </c>
      <c r="G44" s="198" t="inlineStr">
        <is>
          <t>Autoqueratorrefractor, marca Nidek, modelo ARK-F</t>
        </is>
      </c>
      <c r="H44" s="196" t="inlineStr">
        <is>
          <t>270038</t>
        </is>
      </c>
      <c r="I44" s="196" t="inlineStr">
        <is>
          <t>OFTALMO</t>
        </is>
      </c>
      <c r="J44" s="197" t="n">
        <v>1</v>
      </c>
      <c r="K44" s="197" t="n">
        <v>2</v>
      </c>
      <c r="L44" s="322" t="inlineStr">
        <is>
          <t>Ing. Sophia López Ramírez</t>
        </is>
      </c>
      <c r="M44" s="197" t="inlineStr">
        <is>
          <t>20/10/2026</t>
        </is>
      </c>
    </row>
    <row r="45" ht="19.95" customHeight="1" s="227">
      <c r="A45" s="192" t="n">
        <v>41</v>
      </c>
      <c r="B45" s="193" t="inlineStr">
        <is>
          <t>BM-041</t>
        </is>
      </c>
      <c r="C45" s="193" t="n">
        <v>59</v>
      </c>
      <c r="D45" s="194" t="inlineStr">
        <is>
          <t>H.M.E.O. Constituyentes</t>
        </is>
      </c>
      <c r="E45" s="192" t="inlineStr">
        <is>
          <t>CDMX</t>
        </is>
      </c>
      <c r="F45" s="194" t="inlineStr">
        <is>
          <t>I Región Militar (Valle de México)</t>
        </is>
      </c>
      <c r="G45" s="194" t="inlineStr">
        <is>
          <t>Autoqueratorrefractor, marca Nidek, modelo ARK-F</t>
        </is>
      </c>
      <c r="H45" s="192" t="inlineStr">
        <is>
          <t>270033</t>
        </is>
      </c>
      <c r="I45" s="192" t="inlineStr">
        <is>
          <t>OFTALMO</t>
        </is>
      </c>
      <c r="J45" s="193" t="n">
        <v>1</v>
      </c>
      <c r="K45" s="193" t="n">
        <v>2</v>
      </c>
      <c r="L45" s="322" t="inlineStr">
        <is>
          <t>Ing. Sophia López Ramírez</t>
        </is>
      </c>
      <c r="M45" s="193" t="inlineStr">
        <is>
          <t>20/10/2026</t>
        </is>
      </c>
    </row>
    <row r="46" ht="19.95" customHeight="1" s="227">
      <c r="A46" s="196" t="n">
        <v>42</v>
      </c>
      <c r="B46" s="197" t="inlineStr">
        <is>
          <t>BM-042</t>
        </is>
      </c>
      <c r="C46" s="197" t="n">
        <v>60</v>
      </c>
      <c r="D46" s="198" t="inlineStr">
        <is>
          <t>H.M.E.O. Constituyentes</t>
        </is>
      </c>
      <c r="E46" s="196" t="inlineStr">
        <is>
          <t>CDMX</t>
        </is>
      </c>
      <c r="F46" s="198" t="inlineStr">
        <is>
          <t>I Región Militar (Valle de México)</t>
        </is>
      </c>
      <c r="G46" s="198" t="inlineStr">
        <is>
          <t>Autoqueratorrefractor, marca Nidek, modelo ARK-F</t>
        </is>
      </c>
      <c r="H46" s="196" t="inlineStr">
        <is>
          <t>270025</t>
        </is>
      </c>
      <c r="I46" s="196" t="inlineStr">
        <is>
          <t>OFTALMO</t>
        </is>
      </c>
      <c r="J46" s="197" t="n">
        <v>1</v>
      </c>
      <c r="K46" s="197" t="n">
        <v>2</v>
      </c>
      <c r="L46" s="322" t="inlineStr">
        <is>
          <t>Ing. Sophia López Ramírez</t>
        </is>
      </c>
      <c r="M46" s="197" t="inlineStr">
        <is>
          <t>20/10/2026</t>
        </is>
      </c>
    </row>
    <row r="47" ht="19.95" customHeight="1" s="227">
      <c r="A47" s="192" t="n">
        <v>43</v>
      </c>
      <c r="B47" s="193" t="inlineStr">
        <is>
          <t>BM-043</t>
        </is>
      </c>
      <c r="C47" s="193" t="n">
        <v>61</v>
      </c>
      <c r="D47" s="194" t="inlineStr">
        <is>
          <t>H.M.E.O. Constituyentes</t>
        </is>
      </c>
      <c r="E47" s="192" t="inlineStr">
        <is>
          <t>CDMX</t>
        </is>
      </c>
      <c r="F47" s="194" t="inlineStr">
        <is>
          <t>I Región Militar (Valle de México)</t>
        </is>
      </c>
      <c r="G47" s="194" t="inlineStr">
        <is>
          <t>Sistema de diagnóstico oftálmico avanzado, marca Nidek, modelo TONOREF III</t>
        </is>
      </c>
      <c r="H47" s="192" t="inlineStr">
        <is>
          <t>170692</t>
        </is>
      </c>
      <c r="I47" s="192" t="inlineStr">
        <is>
          <t>OFTALMO</t>
        </is>
      </c>
      <c r="J47" s="193" t="n">
        <v>1</v>
      </c>
      <c r="K47" s="193" t="n">
        <v>2</v>
      </c>
      <c r="L47" s="322" t="inlineStr">
        <is>
          <t>Ing. Sophia López Ramírez</t>
        </is>
      </c>
      <c r="M47" s="193" t="inlineStr">
        <is>
          <t>20/10/2026</t>
        </is>
      </c>
    </row>
    <row r="48" ht="19.95" customHeight="1" s="227">
      <c r="A48" s="196" t="n">
        <v>44</v>
      </c>
      <c r="B48" s="197" t="inlineStr">
        <is>
          <t>BM-044</t>
        </is>
      </c>
      <c r="C48" s="197" t="n">
        <v>62</v>
      </c>
      <c r="D48" s="198" t="inlineStr">
        <is>
          <t>H.M.E.O. Constituyentes</t>
        </is>
      </c>
      <c r="E48" s="196" t="inlineStr">
        <is>
          <t>CDMX</t>
        </is>
      </c>
      <c r="F48" s="198" t="inlineStr">
        <is>
          <t>I Región Militar (Valle de México)</t>
        </is>
      </c>
      <c r="G48" s="198" t="inlineStr">
        <is>
          <t>Sistema de diagnóstico oftálmico avanzado, marca Nidek, modelo TONOREF III</t>
        </is>
      </c>
      <c r="H48" s="196" t="inlineStr">
        <is>
          <t>170696</t>
        </is>
      </c>
      <c r="I48" s="196" t="inlineStr">
        <is>
          <t>OFTALMO</t>
        </is>
      </c>
      <c r="J48" s="197" t="n">
        <v>1</v>
      </c>
      <c r="K48" s="197" t="n">
        <v>2</v>
      </c>
      <c r="L48" s="322" t="inlineStr">
        <is>
          <t>Ing. Sophia López Ramírez</t>
        </is>
      </c>
      <c r="M48" s="197" t="inlineStr">
        <is>
          <t>20/10/2026</t>
        </is>
      </c>
    </row>
    <row r="49" ht="19.95" customHeight="1" s="227">
      <c r="A49" s="192" t="n">
        <v>45</v>
      </c>
      <c r="B49" s="193" t="inlineStr">
        <is>
          <t>BM-045</t>
        </is>
      </c>
      <c r="C49" s="193" t="n">
        <v>63</v>
      </c>
      <c r="D49" s="194" t="inlineStr">
        <is>
          <t>H.M.E.O. Constituyentes</t>
        </is>
      </c>
      <c r="E49" s="192" t="inlineStr">
        <is>
          <t>CDMX</t>
        </is>
      </c>
      <c r="F49" s="194" t="inlineStr">
        <is>
          <t>I Región Militar (Valle de México)</t>
        </is>
      </c>
      <c r="G49" s="194" t="inlineStr">
        <is>
          <t>Sistema de diagnóstico oftálmico avanzado, marca Nidek, modelo TONOREF III</t>
        </is>
      </c>
      <c r="H49" s="192" t="inlineStr">
        <is>
          <t>170711</t>
        </is>
      </c>
      <c r="I49" s="192" t="inlineStr">
        <is>
          <t>OFTALMO</t>
        </is>
      </c>
      <c r="J49" s="193" t="n">
        <v>1</v>
      </c>
      <c r="K49" s="193" t="n">
        <v>2</v>
      </c>
      <c r="L49" s="322" t="inlineStr">
        <is>
          <t>Ing. Sophia López Ramírez</t>
        </is>
      </c>
      <c r="M49" s="193" t="inlineStr">
        <is>
          <t>20/10/2026</t>
        </is>
      </c>
    </row>
    <row r="50" ht="19.95" customHeight="1" s="227">
      <c r="A50" s="196" t="n">
        <v>46</v>
      </c>
      <c r="B50" s="197" t="inlineStr">
        <is>
          <t>BM-046</t>
        </is>
      </c>
      <c r="C50" s="197" t="n">
        <v>64</v>
      </c>
      <c r="D50" s="198" t="inlineStr">
        <is>
          <t>H.M.E.O. Constituyentes</t>
        </is>
      </c>
      <c r="E50" s="196" t="inlineStr">
        <is>
          <t>CDMX</t>
        </is>
      </c>
      <c r="F50" s="198" t="inlineStr">
        <is>
          <t>I Región Militar (Valle de México)</t>
        </is>
      </c>
      <c r="G50" s="198" t="inlineStr">
        <is>
          <t>Sistema de diagnóstico oftálmico avanzado, marca Nidek, modelo TONOREF III</t>
        </is>
      </c>
      <c r="H50" s="196" t="inlineStr">
        <is>
          <t>170712</t>
        </is>
      </c>
      <c r="I50" s="196" t="inlineStr">
        <is>
          <t>OFTALMO</t>
        </is>
      </c>
      <c r="J50" s="197" t="n">
        <v>1</v>
      </c>
      <c r="K50" s="197" t="n">
        <v>2</v>
      </c>
      <c r="L50" s="322" t="inlineStr">
        <is>
          <t>Ing. Sophia López Ramírez</t>
        </is>
      </c>
      <c r="M50" s="197" t="inlineStr">
        <is>
          <t>20/10/2026</t>
        </is>
      </c>
    </row>
    <row r="51" ht="19.95" customHeight="1" s="227">
      <c r="A51" s="192" t="n">
        <v>47</v>
      </c>
      <c r="B51" s="193" t="inlineStr">
        <is>
          <t>BM-047</t>
        </is>
      </c>
      <c r="C51" s="193" t="n">
        <v>65</v>
      </c>
      <c r="D51" s="194" t="inlineStr">
        <is>
          <t>H.M.E.O. Constituyentes</t>
        </is>
      </c>
      <c r="E51" s="192" t="inlineStr">
        <is>
          <t>CDMX</t>
        </is>
      </c>
      <c r="F51" s="194" t="inlineStr">
        <is>
          <t>I Región Militar (Valle de México)</t>
        </is>
      </c>
      <c r="G51" s="194" t="inlineStr">
        <is>
          <t>Sistema de diagnóstico oftálmico avanzado, marca Nidek, modelo TONOREF III</t>
        </is>
      </c>
      <c r="H51" s="192" t="inlineStr">
        <is>
          <t>170715</t>
        </is>
      </c>
      <c r="I51" s="192" t="inlineStr">
        <is>
          <t>OFTALMO</t>
        </is>
      </c>
      <c r="J51" s="193" t="n">
        <v>1</v>
      </c>
      <c r="K51" s="193" t="n">
        <v>2</v>
      </c>
      <c r="L51" s="322" t="inlineStr">
        <is>
          <t>Ing. Sophia López Ramírez</t>
        </is>
      </c>
      <c r="M51" s="193" t="inlineStr">
        <is>
          <t>20/10/2026</t>
        </is>
      </c>
    </row>
    <row r="52" ht="19.95" customHeight="1" s="227">
      <c r="A52" s="196" t="n">
        <v>48</v>
      </c>
      <c r="B52" s="197" t="inlineStr">
        <is>
          <t>BM-048</t>
        </is>
      </c>
      <c r="C52" s="197" t="n">
        <v>68</v>
      </c>
      <c r="D52" s="198" t="inlineStr">
        <is>
          <t>H.M.E.O. Constituyentes</t>
        </is>
      </c>
      <c r="E52" s="196" t="inlineStr">
        <is>
          <t>CDMX</t>
        </is>
      </c>
      <c r="F52" s="198" t="inlineStr">
        <is>
          <t>I Región Militar (Valle de México)</t>
        </is>
      </c>
      <c r="G52" s="198" t="inlineStr">
        <is>
          <t>Sistema de diagnóstico oftálmico avanzado, marca Nidek, modelo OPD-Scan III</t>
        </is>
      </c>
      <c r="H52" s="196" t="inlineStr">
        <is>
          <t>470112</t>
        </is>
      </c>
      <c r="I52" s="196" t="inlineStr">
        <is>
          <t>OFTALMO</t>
        </is>
      </c>
      <c r="J52" s="197" t="n">
        <v>1</v>
      </c>
      <c r="K52" s="197" t="n">
        <v>2</v>
      </c>
      <c r="L52" s="322" t="inlineStr">
        <is>
          <t>Ing. Sophia López Ramírez</t>
        </is>
      </c>
      <c r="M52" s="197" t="inlineStr">
        <is>
          <t>21/10/2026</t>
        </is>
      </c>
    </row>
    <row r="53" ht="19.95" customHeight="1" s="227">
      <c r="A53" s="192" t="n">
        <v>49</v>
      </c>
      <c r="B53" s="193" t="inlineStr">
        <is>
          <t>BM-049</t>
        </is>
      </c>
      <c r="C53" s="193" t="n">
        <v>69</v>
      </c>
      <c r="D53" s="194" t="inlineStr">
        <is>
          <t>H.M.E.O. Constituyentes</t>
        </is>
      </c>
      <c r="E53" s="192" t="inlineStr">
        <is>
          <t>CDMX</t>
        </is>
      </c>
      <c r="F53" s="194" t="inlineStr">
        <is>
          <t>I Región Militar (Valle de México)</t>
        </is>
      </c>
      <c r="G53" s="194" t="inlineStr">
        <is>
          <t>Sistema de diagnóstico oftálmico avanzado, marca Nidek, modelo OPD-Scan III</t>
        </is>
      </c>
      <c r="H53" s="192" t="inlineStr">
        <is>
          <t>470113</t>
        </is>
      </c>
      <c r="I53" s="192" t="inlineStr">
        <is>
          <t>OFTALMO</t>
        </is>
      </c>
      <c r="J53" s="193" t="n">
        <v>1</v>
      </c>
      <c r="K53" s="193" t="n">
        <v>2</v>
      </c>
      <c r="L53" s="322" t="inlineStr">
        <is>
          <t>Ing. Sophia López Ramírez</t>
        </is>
      </c>
      <c r="M53" s="193" t="inlineStr">
        <is>
          <t>21/10/2026</t>
        </is>
      </c>
    </row>
    <row r="54" ht="19.95" customHeight="1" s="227">
      <c r="A54" s="196" t="n">
        <v>50</v>
      </c>
      <c r="B54" s="197" t="inlineStr">
        <is>
          <t>BM-050</t>
        </is>
      </c>
      <c r="C54" s="197" t="n">
        <v>70</v>
      </c>
      <c r="D54" s="198" t="inlineStr">
        <is>
          <t>H.M.E.O. Constituyentes</t>
        </is>
      </c>
      <c r="E54" s="196" t="inlineStr">
        <is>
          <t>CDMX</t>
        </is>
      </c>
      <c r="F54" s="198" t="inlineStr">
        <is>
          <t>I Región Militar (Valle de México)</t>
        </is>
      </c>
      <c r="G54" s="198" t="inlineStr">
        <is>
          <t>Plataforma láser oftálmica combinada YAG/SLT, marca Quantel Medical, modelo Optimis Fusion</t>
        </is>
      </c>
      <c r="H54" s="196" t="inlineStr">
        <is>
          <t>62-10-135</t>
        </is>
      </c>
      <c r="I54" s="196" t="inlineStr">
        <is>
          <t>OFTALMO</t>
        </is>
      </c>
      <c r="J54" s="197" t="n">
        <v>1</v>
      </c>
      <c r="K54" s="197" t="n">
        <v>2</v>
      </c>
      <c r="L54" s="322" t="inlineStr">
        <is>
          <t>Ing. Sophia López Ramírez</t>
        </is>
      </c>
      <c r="M54" s="197" t="inlineStr">
        <is>
          <t>21/10/2026</t>
        </is>
      </c>
    </row>
    <row r="55" ht="19.95" customHeight="1" s="227">
      <c r="A55" s="192" t="n">
        <v>51</v>
      </c>
      <c r="B55" s="193" t="inlineStr">
        <is>
          <t>BM-051</t>
        </is>
      </c>
      <c r="C55" s="193" t="n">
        <v>71</v>
      </c>
      <c r="D55" s="194" t="inlineStr">
        <is>
          <t>H.M.E.O. Constituyentes</t>
        </is>
      </c>
      <c r="E55" s="192" t="inlineStr">
        <is>
          <t>CDMX</t>
        </is>
      </c>
      <c r="F55" s="194" t="inlineStr">
        <is>
          <t>I Región Militar (Valle de México)</t>
        </is>
      </c>
      <c r="G55" s="194" t="inlineStr">
        <is>
          <t>Láser excimer, marca Alcon, modelo Wavelight</t>
        </is>
      </c>
      <c r="H55" s="192" t="inlineStr">
        <is>
          <t>1016-4-3384</t>
        </is>
      </c>
      <c r="I55" s="192" t="inlineStr">
        <is>
          <t>OFTALMO</t>
        </is>
      </c>
      <c r="J55" s="193" t="n">
        <v>1</v>
      </c>
      <c r="K55" s="193" t="n">
        <v>2</v>
      </c>
      <c r="L55" s="322" t="inlineStr">
        <is>
          <t>Ing. Sophia López Ramírez</t>
        </is>
      </c>
      <c r="M55" s="193" t="inlineStr">
        <is>
          <t>21/10/2026</t>
        </is>
      </c>
    </row>
    <row r="56" ht="19.95" customHeight="1" s="227">
      <c r="A56" s="196" t="n">
        <v>52</v>
      </c>
      <c r="B56" s="197" t="inlineStr">
        <is>
          <t>BM-052</t>
        </is>
      </c>
      <c r="C56" s="197" t="n">
        <v>72</v>
      </c>
      <c r="D56" s="198" t="inlineStr">
        <is>
          <t>H.M.E.O. Constituyentes</t>
        </is>
      </c>
      <c r="E56" s="196" t="inlineStr">
        <is>
          <t>CDMX</t>
        </is>
      </c>
      <c r="F56" s="198" t="inlineStr">
        <is>
          <t>I Región Militar (Valle de México)</t>
        </is>
      </c>
      <c r="G56" s="198" t="inlineStr">
        <is>
          <t>Láser oftálmico, marca Quantel Medical, modelo Easyret</t>
        </is>
      </c>
      <c r="H56" s="196" t="inlineStr">
        <is>
          <t>2209031</t>
        </is>
      </c>
      <c r="I56" s="196" t="inlineStr">
        <is>
          <t>OFTALMO</t>
        </is>
      </c>
      <c r="J56" s="197" t="n">
        <v>1</v>
      </c>
      <c r="K56" s="197" t="n">
        <v>2</v>
      </c>
      <c r="L56" s="322" t="inlineStr">
        <is>
          <t>Ing. Sophia López Ramírez</t>
        </is>
      </c>
      <c r="M56" s="197" t="inlineStr">
        <is>
          <t>21/10/2026</t>
        </is>
      </c>
    </row>
    <row r="57" ht="19.95" customHeight="1" s="227">
      <c r="A57" s="192" t="n">
        <v>53</v>
      </c>
      <c r="B57" s="193" t="inlineStr">
        <is>
          <t>BM-053</t>
        </is>
      </c>
      <c r="C57" s="193" t="n">
        <v>73</v>
      </c>
      <c r="D57" s="194" t="inlineStr">
        <is>
          <t>H.M.E.O. Constituyentes</t>
        </is>
      </c>
      <c r="E57" s="192" t="inlineStr">
        <is>
          <t>CDMX</t>
        </is>
      </c>
      <c r="F57" s="194" t="inlineStr">
        <is>
          <t>I Región Militar (Valle de México)</t>
        </is>
      </c>
      <c r="G57" s="194" t="inlineStr">
        <is>
          <t>Láser oftálmico, marca Quantel Medical, modelo Easyret</t>
        </is>
      </c>
      <c r="H57" s="192" t="inlineStr">
        <is>
          <t>2209032</t>
        </is>
      </c>
      <c r="I57" s="192" t="inlineStr">
        <is>
          <t>OFTALMO</t>
        </is>
      </c>
      <c r="J57" s="193" t="n">
        <v>1</v>
      </c>
      <c r="K57" s="193" t="n">
        <v>2</v>
      </c>
      <c r="L57" s="322" t="inlineStr">
        <is>
          <t>Ing. Sophia López Ramírez</t>
        </is>
      </c>
      <c r="M57" s="193" t="inlineStr">
        <is>
          <t>21/10/2026</t>
        </is>
      </c>
    </row>
    <row r="58" ht="19.95" customHeight="1" s="227">
      <c r="A58" s="196" t="n">
        <v>54</v>
      </c>
      <c r="B58" s="197" t="inlineStr">
        <is>
          <t>BM-054</t>
        </is>
      </c>
      <c r="C58" s="197" t="n">
        <v>74</v>
      </c>
      <c r="D58" s="198" t="inlineStr">
        <is>
          <t>H.M.E.O. Constituyentes</t>
        </is>
      </c>
      <c r="E58" s="196" t="inlineStr">
        <is>
          <t>CDMX</t>
        </is>
      </c>
      <c r="F58" s="198" t="inlineStr">
        <is>
          <t>I Región Militar (Valle de México)</t>
        </is>
      </c>
      <c r="G58" s="198" t="inlineStr">
        <is>
          <t>Equipo para crosslinking ocular, marca KXL, modelo Avedro</t>
        </is>
      </c>
      <c r="H58" s="196" t="inlineStr">
        <is>
          <t>KXL221005</t>
        </is>
      </c>
      <c r="I58" s="196" t="inlineStr">
        <is>
          <t>OFTALMO</t>
        </is>
      </c>
      <c r="J58" s="197" t="n">
        <v>1</v>
      </c>
      <c r="K58" s="197" t="n">
        <v>2</v>
      </c>
      <c r="L58" s="322" t="inlineStr">
        <is>
          <t>Ing. Sophia López Ramírez</t>
        </is>
      </c>
      <c r="M58" s="197" t="inlineStr">
        <is>
          <t>21/10/2026</t>
        </is>
      </c>
    </row>
    <row r="59" ht="19.95" customHeight="1" s="227">
      <c r="A59" s="192" t="n">
        <v>55</v>
      </c>
      <c r="B59" s="193" t="inlineStr">
        <is>
          <t>BM-055</t>
        </is>
      </c>
      <c r="C59" s="193" t="n">
        <v>75</v>
      </c>
      <c r="D59" s="194" t="inlineStr">
        <is>
          <t>H.M.E.O. Constituyentes</t>
        </is>
      </c>
      <c r="E59" s="192" t="inlineStr">
        <is>
          <t>CDMX</t>
        </is>
      </c>
      <c r="F59" s="194" t="inlineStr">
        <is>
          <t>I Región Militar (Valle de México)</t>
        </is>
      </c>
      <c r="G59" s="194" t="inlineStr">
        <is>
          <t>OCT con retinógrafo integrado, marca Nidek, modelo Retina Scan DUO-2 (RS-300)</t>
        </is>
      </c>
      <c r="H59" s="192" t="inlineStr">
        <is>
          <t>742223</t>
        </is>
      </c>
      <c r="I59" s="192" t="inlineStr">
        <is>
          <t>OFTALMO</t>
        </is>
      </c>
      <c r="J59" s="193" t="n">
        <v>2</v>
      </c>
      <c r="K59" s="193" t="n">
        <v>4</v>
      </c>
      <c r="L59" s="322" t="inlineStr">
        <is>
          <t>Ing. Sophia López Ramírez</t>
        </is>
      </c>
      <c r="M59" s="193" t="inlineStr">
        <is>
          <t>21/10/2026</t>
        </is>
      </c>
    </row>
    <row r="60" ht="19.95" customHeight="1" s="227">
      <c r="A60" s="196" t="n">
        <v>56</v>
      </c>
      <c r="B60" s="197" t="inlineStr">
        <is>
          <t>BM-056</t>
        </is>
      </c>
      <c r="C60" s="197" t="n">
        <v>76</v>
      </c>
      <c r="D60" s="198" t="inlineStr">
        <is>
          <t>H.M.E.O. Constituyentes</t>
        </is>
      </c>
      <c r="E60" s="196" t="inlineStr">
        <is>
          <t>CDMX</t>
        </is>
      </c>
      <c r="F60" s="198" t="inlineStr">
        <is>
          <t>I Región Militar (Valle de México)</t>
        </is>
      </c>
      <c r="G60" s="198" t="inlineStr">
        <is>
          <t>OCT con retinógrafo integrado, marca Nidek, modelo Retina Scan DUO-2 (RS-300)</t>
        </is>
      </c>
      <c r="H60" s="196" t="inlineStr">
        <is>
          <t>741879</t>
        </is>
      </c>
      <c r="I60" s="196" t="inlineStr">
        <is>
          <t>OFTALMO</t>
        </is>
      </c>
      <c r="J60" s="197" t="n">
        <v>1</v>
      </c>
      <c r="K60" s="197" t="n">
        <v>2</v>
      </c>
      <c r="L60" s="322" t="inlineStr">
        <is>
          <t>Ing. Sophia López Ramírez</t>
        </is>
      </c>
      <c r="M60" s="197" t="inlineStr">
        <is>
          <t>22/10/2026</t>
        </is>
      </c>
    </row>
    <row r="61" ht="19.95" customHeight="1" s="227">
      <c r="A61" s="192" t="n">
        <v>57</v>
      </c>
      <c r="B61" s="193" t="inlineStr">
        <is>
          <t>BM-057</t>
        </is>
      </c>
      <c r="C61" s="193" t="n">
        <v>77</v>
      </c>
      <c r="D61" s="194" t="inlineStr">
        <is>
          <t>H.M.E.O. Constituyentes</t>
        </is>
      </c>
      <c r="E61" s="192" t="inlineStr">
        <is>
          <t>CDMX</t>
        </is>
      </c>
      <c r="F61" s="194" t="inlineStr">
        <is>
          <t>I Región Militar (Valle de México)</t>
        </is>
      </c>
      <c r="G61" s="194" t="inlineStr">
        <is>
          <t>OCT con retinógrafo integrado, marca Nidek, modelo Retina Scan DUO-2 (RS-300)</t>
        </is>
      </c>
      <c r="H61" s="192" t="inlineStr">
        <is>
          <t>742356</t>
        </is>
      </c>
      <c r="I61" s="192" t="inlineStr">
        <is>
          <t>OFTALMO</t>
        </is>
      </c>
      <c r="J61" s="193" t="n">
        <v>1</v>
      </c>
      <c r="K61" s="193" t="n">
        <v>2</v>
      </c>
      <c r="L61" s="322" t="inlineStr">
        <is>
          <t>Ing. Sophia López Ramírez</t>
        </is>
      </c>
      <c r="M61" s="193" t="inlineStr">
        <is>
          <t>22/10/2026</t>
        </is>
      </c>
    </row>
    <row r="62" ht="19.95" customHeight="1" s="227">
      <c r="A62" s="196" t="n">
        <v>58</v>
      </c>
      <c r="B62" s="197" t="inlineStr">
        <is>
          <t>BM-058</t>
        </is>
      </c>
      <c r="C62" s="197" t="n">
        <v>78</v>
      </c>
      <c r="D62" s="198" t="inlineStr">
        <is>
          <t>H.M.E.O. Constituyentes</t>
        </is>
      </c>
      <c r="E62" s="196" t="inlineStr">
        <is>
          <t>CDMX</t>
        </is>
      </c>
      <c r="F62" s="198" t="inlineStr">
        <is>
          <t>I Región Militar (Valle de México)</t>
        </is>
      </c>
      <c r="G62" s="198" t="inlineStr">
        <is>
          <t>OCT con retinógrafo integrado, marca Nidek, modelo Retina Scan DUO-2 (RS-300)</t>
        </is>
      </c>
      <c r="H62" s="196" t="inlineStr">
        <is>
          <t>741940</t>
        </is>
      </c>
      <c r="I62" s="196" t="inlineStr">
        <is>
          <t>OFTALMO</t>
        </is>
      </c>
      <c r="J62" s="197" t="n">
        <v>2</v>
      </c>
      <c r="K62" s="197" t="n">
        <v>4</v>
      </c>
      <c r="L62" s="322" t="inlineStr">
        <is>
          <t>Ing. Sophia López Ramírez</t>
        </is>
      </c>
      <c r="M62" s="197" t="inlineStr">
        <is>
          <t>22/10/2026</t>
        </is>
      </c>
    </row>
    <row r="63" ht="19.95" customHeight="1" s="227">
      <c r="A63" s="192" t="n">
        <v>59</v>
      </c>
      <c r="B63" s="193" t="inlineStr">
        <is>
          <t>BM-059</t>
        </is>
      </c>
      <c r="C63" s="193" t="n">
        <v>79</v>
      </c>
      <c r="D63" s="194" t="inlineStr">
        <is>
          <t>H.M.E.O. Constituyentes</t>
        </is>
      </c>
      <c r="E63" s="192" t="inlineStr">
        <is>
          <t>CDMX</t>
        </is>
      </c>
      <c r="F63" s="194" t="inlineStr">
        <is>
          <t>I Región Militar (Valle de México)</t>
        </is>
      </c>
      <c r="G63" s="194" t="inlineStr">
        <is>
          <t>Sistema de diagnóstico oftálmico avanzado, marca Heidelberg Engineering, modelo Spectralis</t>
        </is>
      </c>
      <c r="H63" s="192" t="inlineStr">
        <is>
          <t>SPEC-CAM-21931-53610</t>
        </is>
      </c>
      <c r="I63" s="192" t="inlineStr">
        <is>
          <t>OFTALMO</t>
        </is>
      </c>
      <c r="J63" s="193" t="n">
        <v>2</v>
      </c>
      <c r="K63" s="193" t="n">
        <v>4</v>
      </c>
      <c r="L63" s="322" t="inlineStr">
        <is>
          <t>Ing. Sophia López Ramírez</t>
        </is>
      </c>
      <c r="M63" s="193" t="inlineStr">
        <is>
          <t>22/10/2026</t>
        </is>
      </c>
    </row>
    <row r="64" ht="19.95" customHeight="1" s="227">
      <c r="A64" s="196" t="n">
        <v>60</v>
      </c>
      <c r="B64" s="197" t="inlineStr">
        <is>
          <t>BM-060</t>
        </is>
      </c>
      <c r="C64" s="197" t="n">
        <v>80</v>
      </c>
      <c r="D64" s="198" t="inlineStr">
        <is>
          <t>H.M.E.O. Constituyentes</t>
        </is>
      </c>
      <c r="E64" s="196" t="inlineStr">
        <is>
          <t>CDMX</t>
        </is>
      </c>
      <c r="F64" s="198" t="inlineStr">
        <is>
          <t>I Región Militar (Valle de México)</t>
        </is>
      </c>
      <c r="G64" s="198" t="inlineStr">
        <is>
          <t>Sistema de diagnóstico oftálmico avanzado, marca Heidelberg Engineering, modelo Spectralis</t>
        </is>
      </c>
      <c r="H64" s="196" t="inlineStr">
        <is>
          <t>SPEC-CAM-21920-53610</t>
        </is>
      </c>
      <c r="I64" s="196" t="inlineStr">
        <is>
          <t>OFTALMO</t>
        </is>
      </c>
      <c r="J64" s="197" t="n">
        <v>2</v>
      </c>
      <c r="K64" s="197" t="n">
        <v>4</v>
      </c>
      <c r="L64" s="322" t="inlineStr">
        <is>
          <t>Ing. Sophia López Ramírez</t>
        </is>
      </c>
      <c r="M64" s="197" t="inlineStr">
        <is>
          <t>22/10/2026</t>
        </is>
      </c>
    </row>
    <row r="65" ht="19.95" customHeight="1" s="227">
      <c r="A65" s="192" t="n">
        <v>61</v>
      </c>
      <c r="B65" s="193" t="inlineStr">
        <is>
          <t>BM-061</t>
        </is>
      </c>
      <c r="C65" s="193" t="n">
        <v>81</v>
      </c>
      <c r="D65" s="194" t="inlineStr">
        <is>
          <t>H.M.E.O. Constituyentes</t>
        </is>
      </c>
      <c r="E65" s="192" t="inlineStr">
        <is>
          <t>CDMX</t>
        </is>
      </c>
      <c r="F65" s="194" t="inlineStr">
        <is>
          <t>I Región Militar (Valle de México)</t>
        </is>
      </c>
      <c r="G65" s="194" t="inlineStr">
        <is>
          <t>Sistema de diagnóstico oftálmico avanzado, marca Heidelberg Engineering, modelo Spectralis</t>
        </is>
      </c>
      <c r="H65" s="192" t="inlineStr">
        <is>
          <t>SPEC-CAM-21928-53610</t>
        </is>
      </c>
      <c r="I65" s="192" t="inlineStr">
        <is>
          <t>OFTALMO</t>
        </is>
      </c>
      <c r="J65" s="193" t="n">
        <v>2</v>
      </c>
      <c r="K65" s="193" t="n">
        <v>4</v>
      </c>
      <c r="L65" s="322" t="inlineStr">
        <is>
          <t>Ing. Sophia López Ramírez</t>
        </is>
      </c>
      <c r="M65" s="193" t="inlineStr">
        <is>
          <t>22/10/2026</t>
        </is>
      </c>
    </row>
    <row r="66" ht="19.95" customHeight="1" s="227">
      <c r="A66" s="196" t="n">
        <v>62</v>
      </c>
      <c r="B66" s="197" t="inlineStr">
        <is>
          <t>BM-062</t>
        </is>
      </c>
      <c r="C66" s="197" t="n">
        <v>82</v>
      </c>
      <c r="D66" s="198" t="inlineStr">
        <is>
          <t>H.M.E.O. Constituyentes</t>
        </is>
      </c>
      <c r="E66" s="196" t="inlineStr">
        <is>
          <t>CDMX</t>
        </is>
      </c>
      <c r="F66" s="198" t="inlineStr">
        <is>
          <t>I Región Militar (Valle de México)</t>
        </is>
      </c>
      <c r="G66" s="198" t="inlineStr">
        <is>
          <t>Retinógrafo de campo ultra amplio, marca Optos, modelo California</t>
        </is>
      </c>
      <c r="H66" s="196" t="inlineStr">
        <is>
          <t>41652</t>
        </is>
      </c>
      <c r="I66" s="196" t="inlineStr">
        <is>
          <t>OFTALMO</t>
        </is>
      </c>
      <c r="J66" s="197" t="n">
        <v>1</v>
      </c>
      <c r="K66" s="197" t="n">
        <v>2</v>
      </c>
      <c r="L66" s="322" t="inlineStr">
        <is>
          <t>Ing. Sophia López Ramírez</t>
        </is>
      </c>
      <c r="M66" s="197" t="inlineStr">
        <is>
          <t>22/10/2026</t>
        </is>
      </c>
    </row>
    <row r="67" ht="19.95" customHeight="1" s="227">
      <c r="A67" s="192" t="n">
        <v>63</v>
      </c>
      <c r="B67" s="193" t="inlineStr">
        <is>
          <t>BM-063</t>
        </is>
      </c>
      <c r="C67" s="193" t="n">
        <v>83</v>
      </c>
      <c r="D67" s="194" t="inlineStr">
        <is>
          <t>H.M.E.O. Constituyentes</t>
        </is>
      </c>
      <c r="E67" s="192" t="inlineStr">
        <is>
          <t>CDMX</t>
        </is>
      </c>
      <c r="F67" s="194" t="inlineStr">
        <is>
          <t>I Región Militar (Valle de México)</t>
        </is>
      </c>
      <c r="G67" s="194" t="inlineStr">
        <is>
          <t>Retinógrafo de campo ultra amplio, marca Optos, modelo California</t>
        </is>
      </c>
      <c r="H67" s="192" t="inlineStr">
        <is>
          <t>41656</t>
        </is>
      </c>
      <c r="I67" s="192" t="inlineStr">
        <is>
          <t>OFTALMO</t>
        </is>
      </c>
      <c r="J67" s="193" t="n">
        <v>1</v>
      </c>
      <c r="K67" s="193" t="n">
        <v>2</v>
      </c>
      <c r="L67" s="322" t="inlineStr">
        <is>
          <t>Ing. Sophia López Ramírez</t>
        </is>
      </c>
      <c r="M67" s="193" t="inlineStr">
        <is>
          <t>22/10/2026</t>
        </is>
      </c>
    </row>
    <row r="68" ht="19.95" customHeight="1" s="227">
      <c r="A68" s="196" t="n">
        <v>64</v>
      </c>
      <c r="B68" s="197" t="inlineStr">
        <is>
          <t>BM-064</t>
        </is>
      </c>
      <c r="C68" s="197" t="n">
        <v>87</v>
      </c>
      <c r="D68" s="198" t="inlineStr">
        <is>
          <t>H.M.R. Santa Lucía</t>
        </is>
      </c>
      <c r="E68" s="196" t="inlineStr">
        <is>
          <t>EDO DE MEX</t>
        </is>
      </c>
      <c r="F68" s="198" t="inlineStr">
        <is>
          <t>I Región Militar (Base Aérea Militar No. 1)</t>
        </is>
      </c>
      <c r="G68" s="198" t="inlineStr">
        <is>
          <t>Autoqueratorrefractor, marca Nidek, modelo ARK-F</t>
        </is>
      </c>
      <c r="H68" s="196" t="inlineStr">
        <is>
          <t>270010</t>
        </is>
      </c>
      <c r="I68" s="196" t="inlineStr">
        <is>
          <t>OFTALMO</t>
        </is>
      </c>
      <c r="J68" s="197" t="n">
        <v>1</v>
      </c>
      <c r="K68" s="197" t="n">
        <v>2</v>
      </c>
      <c r="L68" s="323" t="inlineStr">
        <is>
          <t>Ing. Jose Jorge Olivares Velazquez</t>
        </is>
      </c>
      <c r="M68" s="197" t="inlineStr">
        <is>
          <t>13/10/2026</t>
        </is>
      </c>
    </row>
    <row r="69" ht="19.95" customHeight="1" s="227">
      <c r="A69" s="192" t="n">
        <v>65</v>
      </c>
      <c r="B69" s="193" t="inlineStr">
        <is>
          <t>BM-065</t>
        </is>
      </c>
      <c r="C69" s="193" t="n">
        <v>88</v>
      </c>
      <c r="D69" s="194" t="inlineStr">
        <is>
          <t>H.M.R. Santa Lucía</t>
        </is>
      </c>
      <c r="E69" s="192" t="inlineStr">
        <is>
          <t>EDO DE MEX</t>
        </is>
      </c>
      <c r="F69" s="194" t="inlineStr">
        <is>
          <t>I Región Militar (Base Aérea Militar No. 1)</t>
        </is>
      </c>
      <c r="G69" s="194" t="inlineStr">
        <is>
          <t>Tomógrafo-topógrafo corneal, marca CSO, modelo Sirius</t>
        </is>
      </c>
      <c r="H69" s="192" t="inlineStr">
        <is>
          <t>21091186</t>
        </is>
      </c>
      <c r="I69" s="192" t="inlineStr">
        <is>
          <t>OFTALMO</t>
        </is>
      </c>
      <c r="J69" s="193" t="n">
        <v>1</v>
      </c>
      <c r="K69" s="193" t="n">
        <v>2</v>
      </c>
      <c r="L69" s="323" t="inlineStr">
        <is>
          <t>Ing. Jose Jorge Olivares Velazquez</t>
        </is>
      </c>
      <c r="M69" s="193" t="inlineStr">
        <is>
          <t>13/10/2026</t>
        </is>
      </c>
    </row>
    <row r="70" ht="19.95" customHeight="1" s="227">
      <c r="A70" s="196" t="n">
        <v>66</v>
      </c>
      <c r="B70" s="197" t="inlineStr">
        <is>
          <t>BM-066</t>
        </is>
      </c>
      <c r="C70" s="197" t="n">
        <v>94</v>
      </c>
      <c r="D70" s="198" t="inlineStr">
        <is>
          <t>H.M.R. Santa Lucía</t>
        </is>
      </c>
      <c r="E70" s="196" t="inlineStr">
        <is>
          <t>EDO DE MEX</t>
        </is>
      </c>
      <c r="F70" s="198" t="inlineStr">
        <is>
          <t>I Región Militar (Base Aérea Militar No. 1)</t>
        </is>
      </c>
      <c r="G70" s="198" t="inlineStr">
        <is>
          <t>Fotocoagulador láser, marca Topcon, modelo Pascal Synthesis</t>
        </is>
      </c>
      <c r="H70" s="196" t="inlineStr">
        <is>
          <t>79140219</t>
        </is>
      </c>
      <c r="I70" s="196" t="inlineStr">
        <is>
          <t>OFTALMO</t>
        </is>
      </c>
      <c r="J70" s="197" t="n">
        <v>1</v>
      </c>
      <c r="K70" s="197" t="n">
        <v>2</v>
      </c>
      <c r="L70" s="323" t="inlineStr">
        <is>
          <t>Ing. Jose Jorge Olivares Velazquez</t>
        </is>
      </c>
      <c r="M70" s="197" t="inlineStr">
        <is>
          <t>13/10/2026</t>
        </is>
      </c>
    </row>
    <row r="71" ht="19.95" customHeight="1" s="227">
      <c r="A71" s="192" t="n">
        <v>67</v>
      </c>
      <c r="B71" s="193" t="inlineStr">
        <is>
          <t>BM-102</t>
        </is>
      </c>
      <c r="C71" s="193" t="n">
        <v>99</v>
      </c>
      <c r="D71" s="194" t="inlineStr">
        <is>
          <t>H.M.Z. Cinco de Mayo</t>
        </is>
      </c>
      <c r="E71" s="192" t="inlineStr">
        <is>
          <t>DURANGO</t>
        </is>
      </c>
      <c r="F71" s="194" t="inlineStr">
        <is>
          <t>III Región Militar (10/a. Zona Militar)</t>
        </is>
      </c>
      <c r="G71" s="194" t="inlineStr">
        <is>
          <t>Rayos X fijo, marca Del Medical, modelo EV 800</t>
        </is>
      </c>
      <c r="H71" s="192" t="inlineStr">
        <is>
          <t>02776-1019-W</t>
        </is>
      </c>
      <c r="I71" s="192" t="inlineStr">
        <is>
          <t>IMAGEN</t>
        </is>
      </c>
      <c r="J71" s="193" t="n">
        <v>1</v>
      </c>
      <c r="K71" s="193" t="n">
        <v>2</v>
      </c>
      <c r="L71" s="324" t="inlineStr">
        <is>
          <t>Ing. Jose Paris Mendoza Cortes</t>
        </is>
      </c>
      <c r="M71" s="193" t="inlineStr">
        <is>
          <t>22/10/2026</t>
        </is>
      </c>
    </row>
    <row r="72" ht="19.95" customHeight="1" s="227">
      <c r="A72" s="196" t="n">
        <v>68</v>
      </c>
      <c r="B72" s="197" t="inlineStr">
        <is>
          <t>BM-103</t>
        </is>
      </c>
      <c r="C72" s="197" t="n">
        <v>107</v>
      </c>
      <c r="D72" s="198" t="inlineStr">
        <is>
          <t>H.C.M. Lomas de Sotelo</t>
        </is>
      </c>
      <c r="E72" s="196" t="inlineStr">
        <is>
          <t>CDMX</t>
        </is>
      </c>
      <c r="F72" s="198" t="inlineStr">
        <is>
          <t>I Región Militar (Sede Central SEDENA)</t>
        </is>
      </c>
      <c r="G72" s="198" t="inlineStr">
        <is>
          <t>Rayos X móvil, marca Fujifilm, modelo DR-XD 1000</t>
        </is>
      </c>
      <c r="H72" s="196" t="inlineStr">
        <is>
          <t>77250288</t>
        </is>
      </c>
      <c r="I72" s="196" t="inlineStr">
        <is>
          <t>IMAGEN</t>
        </is>
      </c>
      <c r="J72" s="197" t="n">
        <v>1</v>
      </c>
      <c r="K72" s="197" t="n">
        <v>2</v>
      </c>
      <c r="L72" s="207" t="inlineStr">
        <is>
          <t>Ing. Axel Evangelista Salinas</t>
        </is>
      </c>
      <c r="M72" s="197" t="inlineStr">
        <is>
          <t>13/10/2026</t>
        </is>
      </c>
    </row>
    <row r="73" ht="19.95" customHeight="1" s="227">
      <c r="A73" s="192" t="n">
        <v>69</v>
      </c>
      <c r="B73" s="193" t="inlineStr">
        <is>
          <t>BM-104</t>
        </is>
      </c>
      <c r="C73" s="193" t="n">
        <v>111</v>
      </c>
      <c r="D73" s="194" t="inlineStr">
        <is>
          <t>H.M.E.M. Y N. Lomas de Sotelo</t>
        </is>
      </c>
      <c r="E73" s="192" t="inlineStr">
        <is>
          <t>CDMX</t>
        </is>
      </c>
      <c r="F73" s="194" t="inlineStr">
        <is>
          <t>I Región Militar (Complejo Sotelo)</t>
        </is>
      </c>
      <c r="G73" s="194" t="inlineStr">
        <is>
          <t>Rayos X móvil, marca Fujifilm, modelo FDR Go</t>
        </is>
      </c>
      <c r="H73" s="192" t="inlineStr">
        <is>
          <t>566-19888-11</t>
        </is>
      </c>
      <c r="I73" s="192" t="inlineStr">
        <is>
          <t>IMAGEN</t>
        </is>
      </c>
      <c r="J73" s="193" t="n">
        <v>1</v>
      </c>
      <c r="K73" s="193" t="n">
        <v>2</v>
      </c>
      <c r="L73" s="207" t="inlineStr">
        <is>
          <t>Ing. Axel Evangelista Salinas</t>
        </is>
      </c>
      <c r="M73" s="193" t="inlineStr">
        <is>
          <t>14/10/2026</t>
        </is>
      </c>
    </row>
    <row r="74" ht="19.95" customHeight="1" s="227">
      <c r="A74" s="196" t="n">
        <v>70</v>
      </c>
      <c r="B74" s="197" t="inlineStr">
        <is>
          <t>BM-067</t>
        </is>
      </c>
      <c r="C74" s="197" t="n">
        <v>112</v>
      </c>
      <c r="D74" s="198" t="inlineStr">
        <is>
          <t>H.M.E.M. Y N. Lomas de Sotelo</t>
        </is>
      </c>
      <c r="E74" s="196" t="inlineStr">
        <is>
          <t>CDMX</t>
        </is>
      </c>
      <c r="F74" s="198" t="inlineStr">
        <is>
          <t>I Región Militar (Complejo Sotelo)</t>
        </is>
      </c>
      <c r="G74" s="198" t="inlineStr">
        <is>
          <t>Sistema digital de imagen de campo amplio, marca Clarity Medical Systems, modelo RetCam 3</t>
        </is>
      </c>
      <c r="H74" s="196" t="inlineStr">
        <is>
          <t>RC7406</t>
        </is>
      </c>
      <c r="I74" s="196" t="inlineStr">
        <is>
          <t>OFTALMO</t>
        </is>
      </c>
      <c r="J74" s="197" t="n">
        <v>1</v>
      </c>
      <c r="K74" s="197" t="n">
        <v>2</v>
      </c>
      <c r="L74" s="207" t="inlineStr">
        <is>
          <t>Ing. Axel Evangelista Salinas</t>
        </is>
      </c>
      <c r="M74" s="197" t="inlineStr">
        <is>
          <t>14/10/2026</t>
        </is>
      </c>
    </row>
    <row r="75" ht="19.95" customHeight="1" s="227">
      <c r="A75" s="192" t="n">
        <v>71</v>
      </c>
      <c r="B75" s="193" t="inlineStr">
        <is>
          <t>BM-105</t>
        </is>
      </c>
      <c r="C75" s="193" t="n">
        <v>134</v>
      </c>
      <c r="D75" s="194" t="inlineStr">
        <is>
          <t>H.M.R. Tuxpan</t>
        </is>
      </c>
      <c r="E75" s="192" t="inlineStr">
        <is>
          <t>VERACRUZ</t>
        </is>
      </c>
      <c r="F75" s="194" t="inlineStr">
        <is>
          <t>VI Región Militar (19/a. Zona Militar)</t>
        </is>
      </c>
      <c r="G75" s="194" t="inlineStr">
        <is>
          <t>Rayos X móvil, marca Fujifilm, modelo FDR Go</t>
        </is>
      </c>
      <c r="H75" s="192" t="inlineStr">
        <is>
          <t>41DBBA14A019</t>
        </is>
      </c>
      <c r="I75" s="192" t="inlineStr">
        <is>
          <t>IMAGEN</t>
        </is>
      </c>
      <c r="J75" s="193" t="n">
        <v>1</v>
      </c>
      <c r="K75" s="193" t="n">
        <v>2</v>
      </c>
      <c r="L75" s="207" t="inlineStr">
        <is>
          <t>Ing. Axel Evangelista Salinas</t>
        </is>
      </c>
      <c r="M75" s="193" t="inlineStr">
        <is>
          <t>20/10/2026</t>
        </is>
      </c>
    </row>
    <row r="76" ht="19.95" customHeight="1" s="227">
      <c r="A76" s="196" t="n">
        <v>72</v>
      </c>
      <c r="B76" s="197" t="inlineStr">
        <is>
          <t>BM-106</t>
        </is>
      </c>
      <c r="C76" s="197" t="n">
        <v>140</v>
      </c>
      <c r="D76" s="198" t="inlineStr">
        <is>
          <t>H.M.R. Tuxtla Gutiérrez</t>
        </is>
      </c>
      <c r="E76" s="196" t="inlineStr">
        <is>
          <t>CHIAPAS</t>
        </is>
      </c>
      <c r="F76" s="198" t="inlineStr">
        <is>
          <t>VII Región Militar (Chiapas)</t>
        </is>
      </c>
      <c r="G76" s="198" t="inlineStr">
        <is>
          <t>Rayos X móvil, marca Fujifilm, modelo FDR Go</t>
        </is>
      </c>
      <c r="H76" s="196" t="inlineStr">
        <is>
          <t>41DBBA146046</t>
        </is>
      </c>
      <c r="I76" s="196" t="inlineStr">
        <is>
          <t>IMAGEN</t>
        </is>
      </c>
      <c r="J76" s="197" t="n">
        <v>1</v>
      </c>
      <c r="K76" s="197" t="n">
        <v>2</v>
      </c>
      <c r="L76" s="321" t="inlineStr">
        <is>
          <t>Ing. Jose Romero Najera</t>
        </is>
      </c>
      <c r="M76" s="197" t="inlineStr">
        <is>
          <t>20/10/2026</t>
        </is>
      </c>
      <c r="N76" t="inlineStr">
        <is>
          <t>SEMANA 3 (FORÁNEO)</t>
        </is>
      </c>
    </row>
    <row r="77" ht="19.95" customHeight="1" s="227">
      <c r="A77" s="192" t="n">
        <v>73</v>
      </c>
      <c r="B77" s="193" t="inlineStr">
        <is>
          <t>BM-107</t>
        </is>
      </c>
      <c r="C77" s="193" t="n">
        <v>144</v>
      </c>
      <c r="D77" s="194" t="inlineStr">
        <is>
          <t>H.M.R.E. Mérida</t>
        </is>
      </c>
      <c r="E77" s="192" t="inlineStr">
        <is>
          <t>YUCATAN</t>
        </is>
      </c>
      <c r="F77" s="194" t="inlineStr">
        <is>
          <t>X Región Militar (Península)</t>
        </is>
      </c>
      <c r="G77" s="194" t="inlineStr">
        <is>
          <t>Rayos X móvil, marca Villa Sistemi Medicali, modelo Visitor T30 M-DR</t>
        </is>
      </c>
      <c r="H77" s="192" t="inlineStr">
        <is>
          <t>17091017</t>
        </is>
      </c>
      <c r="I77" s="192" t="inlineStr">
        <is>
          <t>IMAGEN</t>
        </is>
      </c>
      <c r="J77" s="193" t="n">
        <v>1</v>
      </c>
      <c r="K77" s="193" t="n">
        <v>2</v>
      </c>
      <c r="L77" s="325" t="inlineStr">
        <is>
          <t>Ing. Fernando Javier Michel Euan</t>
        </is>
      </c>
      <c r="M77" s="193" t="inlineStr">
        <is>
          <t>15/10/2026</t>
        </is>
      </c>
      <c r="N77" t="inlineStr">
        <is>
          <t>SEMANA 1 (LEICA/SEDE BASE)</t>
        </is>
      </c>
    </row>
    <row r="78" ht="19.95" customHeight="1" s="227">
      <c r="A78" s="196" t="n">
        <v>74</v>
      </c>
      <c r="B78" s="197" t="inlineStr">
        <is>
          <t>BM-108</t>
        </is>
      </c>
      <c r="C78" s="197" t="n">
        <v>145</v>
      </c>
      <c r="D78" s="198" t="inlineStr">
        <is>
          <t>H.M.R.E. Mérida</t>
        </is>
      </c>
      <c r="E78" s="196" t="inlineStr">
        <is>
          <t>YUCATAN</t>
        </is>
      </c>
      <c r="F78" s="198" t="inlineStr">
        <is>
          <t>X Región Militar (Península)</t>
        </is>
      </c>
      <c r="G78" s="198" t="inlineStr">
        <is>
          <t>Equipo de rayos X móvil, marca Technix, modelo TMS 320</t>
        </is>
      </c>
      <c r="H78" s="196" t="inlineStr">
        <is>
          <t>80-16-103-174</t>
        </is>
      </c>
      <c r="I78" s="196" t="inlineStr">
        <is>
          <t>IMAGEN</t>
        </is>
      </c>
      <c r="J78" s="197" t="n">
        <v>1</v>
      </c>
      <c r="K78" s="197" t="n">
        <v>2</v>
      </c>
      <c r="L78" s="325" t="inlineStr">
        <is>
          <t>Ing. Fernando Javier Michel Euan</t>
        </is>
      </c>
      <c r="M78" s="197" t="inlineStr">
        <is>
          <t>15/10/2026</t>
        </is>
      </c>
      <c r="N78" t="inlineStr">
        <is>
          <t>SEMANA 1 (LEICA/SEDE BASE)</t>
        </is>
      </c>
    </row>
    <row r="79" ht="19.95" customHeight="1" s="227">
      <c r="A79" s="192" t="n">
        <v>75</v>
      </c>
      <c r="B79" s="193" t="inlineStr">
        <is>
          <t>BM-109</t>
        </is>
      </c>
      <c r="C79" s="193" t="n">
        <v>149</v>
      </c>
      <c r="D79" s="194" t="inlineStr">
        <is>
          <t>H.M.R. San Luis Potosí</t>
        </is>
      </c>
      <c r="E79" s="192" t="inlineStr">
        <is>
          <t>SAN LUIS POTOSI</t>
        </is>
      </c>
      <c r="F79" s="194" t="inlineStr">
        <is>
          <t>XII Región Militar (San Luis Potosí)</t>
        </is>
      </c>
      <c r="G79" s="194" t="inlineStr">
        <is>
          <t>Equipo de rayos X móvil, marca Technix, modelo TMS 320</t>
        </is>
      </c>
      <c r="H79" s="192" t="inlineStr">
        <is>
          <t>80-16-87-158</t>
        </is>
      </c>
      <c r="I79" s="192" t="inlineStr">
        <is>
          <t>IMAGEN</t>
        </is>
      </c>
      <c r="J79" s="193" t="n">
        <v>1</v>
      </c>
      <c r="K79" s="193" t="n">
        <v>2</v>
      </c>
      <c r="L79" s="324" t="inlineStr">
        <is>
          <t>Ing. Jose Paris Mendoza Cortes</t>
        </is>
      </c>
      <c r="M79" s="193" t="inlineStr">
        <is>
          <t>20/10/2026</t>
        </is>
      </c>
    </row>
    <row r="80" ht="19.95" customHeight="1" s="227">
      <c r="A80" s="196" t="n">
        <v>76</v>
      </c>
      <c r="B80" s="197" t="inlineStr">
        <is>
          <t>BM-110</t>
        </is>
      </c>
      <c r="C80" s="197" t="n">
        <v>152</v>
      </c>
      <c r="D80" s="198" t="inlineStr">
        <is>
          <t>H.M.R.E. Mazatlán</t>
        </is>
      </c>
      <c r="E80" s="196" t="inlineStr">
        <is>
          <t>SINALOA</t>
        </is>
      </c>
      <c r="F80" s="198" t="inlineStr">
        <is>
          <t>III Región Militar (Sinaloa)</t>
        </is>
      </c>
      <c r="G80" s="198" t="inlineStr">
        <is>
          <t>Impresora para placas radiográficas, marca Codonics, modelo Horizon Ci</t>
        </is>
      </c>
      <c r="H80" s="196" t="inlineStr">
        <is>
          <t>50C00404C</t>
        </is>
      </c>
      <c r="I80" s="196" t="inlineStr">
        <is>
          <t>IMAGEN</t>
        </is>
      </c>
      <c r="J80" s="197" t="n">
        <v>1</v>
      </c>
      <c r="K80" s="197" t="n">
        <v>2</v>
      </c>
      <c r="L80" s="326" t="inlineStr">
        <is>
          <t>Ing. Rogelio Ramos Centeno</t>
        </is>
      </c>
      <c r="M80" s="197" t="inlineStr">
        <is>
          <t>19/10/2026</t>
        </is>
      </c>
    </row>
    <row r="81" ht="19.95" customHeight="1" s="227">
      <c r="A81" s="192" t="n">
        <v>77</v>
      </c>
      <c r="B81" s="193" t="inlineStr">
        <is>
          <t>BM-068</t>
        </is>
      </c>
      <c r="C81" s="193" t="n">
        <v>154</v>
      </c>
      <c r="D81" s="194" t="inlineStr">
        <is>
          <t>H.M.R.E. Mazatlán</t>
        </is>
      </c>
      <c r="E81" s="192" t="inlineStr">
        <is>
          <t>SINALOA</t>
        </is>
      </c>
      <c r="F81" s="194" t="inlineStr">
        <is>
          <t>III Región Militar (Sinaloa)</t>
        </is>
      </c>
      <c r="G81" s="194" t="inlineStr">
        <is>
          <t>Microscopio para cirugía, marca Haag-Streit Surgical, modelo Moller Wedel</t>
        </is>
      </c>
      <c r="H81" s="192" t="inlineStr">
        <is>
          <t>30155514</t>
        </is>
      </c>
      <c r="I81" s="192" t="inlineStr">
        <is>
          <t>OFTALMO</t>
        </is>
      </c>
      <c r="J81" s="193" t="n">
        <v>1</v>
      </c>
      <c r="K81" s="193" t="n">
        <v>2</v>
      </c>
      <c r="L81" s="326" t="inlineStr">
        <is>
          <t>Ing. Rogelio Ramos Centeno</t>
        </is>
      </c>
      <c r="M81" s="193" t="inlineStr">
        <is>
          <t>19/10/2026</t>
        </is>
      </c>
    </row>
    <row r="82" ht="19.95" customHeight="1" s="227">
      <c r="A82" s="196" t="n">
        <v>78</v>
      </c>
      <c r="B82" s="197" t="inlineStr">
        <is>
          <t>BM-069</t>
        </is>
      </c>
      <c r="C82" s="197" t="n">
        <v>156</v>
      </c>
      <c r="D82" s="198" t="inlineStr">
        <is>
          <t>H.C.M. Lomas de Sotelo</t>
        </is>
      </c>
      <c r="E82" s="196" t="inlineStr">
        <is>
          <t>CDMX</t>
        </is>
      </c>
      <c r="F82" s="198" t="inlineStr">
        <is>
          <t>I Región Militar (Sede Central SEDENA)</t>
        </is>
      </c>
      <c r="G82" s="198" t="inlineStr">
        <is>
          <t>Equipo de rayos X móvil, marca Technix, modelo TMS 320</t>
        </is>
      </c>
      <c r="H82" s="196" t="inlineStr">
        <is>
          <t>80-16-79-150</t>
        </is>
      </c>
      <c r="I82" s="196" t="inlineStr">
        <is>
          <t>IMAGEN</t>
        </is>
      </c>
      <c r="J82" s="197" t="n">
        <v>1</v>
      </c>
      <c r="K82" s="197" t="n">
        <v>2</v>
      </c>
      <c r="L82" s="207" t="inlineStr">
        <is>
          <t>Ing. Axel Evangelista Salinas</t>
        </is>
      </c>
      <c r="M82" s="197" t="inlineStr">
        <is>
          <t>13/10/2026</t>
        </is>
      </c>
    </row>
    <row r="83" ht="19.95" customHeight="1" s="227">
      <c r="A83" s="192" t="n">
        <v>79</v>
      </c>
      <c r="B83" s="193" t="inlineStr">
        <is>
          <t>BM-070</t>
        </is>
      </c>
      <c r="C83" s="193" t="n">
        <v>159</v>
      </c>
      <c r="D83" s="194" t="inlineStr">
        <is>
          <t>H.M.R.E. Monterrey</t>
        </is>
      </c>
      <c r="E83" s="192" t="inlineStr">
        <is>
          <t>NUEVO LEON</t>
        </is>
      </c>
      <c r="F83" s="194" t="inlineStr">
        <is>
          <t>IV Región Militar (Noreste)</t>
        </is>
      </c>
      <c r="G83" s="194" t="inlineStr">
        <is>
          <t>Microscopio para cirugía, marca Haag-Streit Surgical, modelo HS Hi-R 700</t>
        </is>
      </c>
      <c r="H83" s="192" t="inlineStr">
        <is>
          <t>1303</t>
        </is>
      </c>
      <c r="I83" s="192" t="inlineStr">
        <is>
          <t>OFTALMO</t>
        </is>
      </c>
      <c r="J83" s="193" t="n">
        <v>1</v>
      </c>
      <c r="K83" s="193" t="n">
        <v>2</v>
      </c>
      <c r="L83" s="207" t="inlineStr">
        <is>
          <t>Ing. Axel Evangelista Salinas</t>
        </is>
      </c>
      <c r="M83" s="193" t="inlineStr">
        <is>
          <t>22/10/2026</t>
        </is>
      </c>
    </row>
    <row r="84" ht="19.95" customHeight="1" s="227">
      <c r="A84" s="196" t="n">
        <v>80</v>
      </c>
      <c r="B84" s="197" t="inlineStr">
        <is>
          <t>BM-111</t>
        </is>
      </c>
      <c r="C84" s="197" t="n">
        <v>162</v>
      </c>
      <c r="D84" s="198" t="inlineStr">
        <is>
          <t>H.M.R. Tampico</t>
        </is>
      </c>
      <c r="E84" s="196" t="inlineStr">
        <is>
          <t>TAMAULIPAS</t>
        </is>
      </c>
      <c r="F84" s="198" t="inlineStr">
        <is>
          <t>IV Región Militar (Tamaulipas)</t>
        </is>
      </c>
      <c r="G84" s="198" t="inlineStr">
        <is>
          <t>Equipo de rayos X móvil, marca Technix, modelo TMS 320</t>
        </is>
      </c>
      <c r="H84" s="196" t="inlineStr">
        <is>
          <t>80-16-89-160</t>
        </is>
      </c>
      <c r="I84" s="196" t="inlineStr">
        <is>
          <t>IMAGEN</t>
        </is>
      </c>
      <c r="J84" s="197" t="n">
        <v>1</v>
      </c>
      <c r="K84" s="197" t="n">
        <v>2</v>
      </c>
      <c r="L84" s="207" t="inlineStr">
        <is>
          <t>Ing. Axel Evangelista Salinas</t>
        </is>
      </c>
      <c r="M84" s="197" t="inlineStr">
        <is>
          <t>21/10/2026</t>
        </is>
      </c>
    </row>
    <row r="85" ht="19.95" customHeight="1" s="227">
      <c r="A85" s="192" t="n">
        <v>81</v>
      </c>
      <c r="B85" s="193" t="inlineStr">
        <is>
          <t>BM-112</t>
        </is>
      </c>
      <c r="C85" s="193" t="n">
        <v>163</v>
      </c>
      <c r="D85" s="194" t="inlineStr">
        <is>
          <t>H.M.Z. El Vergel, Iztapalapa</t>
        </is>
      </c>
      <c r="E85" s="192" t="inlineStr">
        <is>
          <t>CDMX</t>
        </is>
      </c>
      <c r="F85" s="194" t="inlineStr">
        <is>
          <t>I Región Militar (Campo 1-E)</t>
        </is>
      </c>
      <c r="G85" s="194" t="inlineStr">
        <is>
          <t>Equipo de rayos X móvil, marca Technix, modelo TMS 320</t>
        </is>
      </c>
      <c r="H85" s="192" t="inlineStr">
        <is>
          <t>80-16-90-161</t>
        </is>
      </c>
      <c r="I85" s="192" t="inlineStr">
        <is>
          <t>IMAGEN</t>
        </is>
      </c>
      <c r="J85" s="193" t="n">
        <v>1</v>
      </c>
      <c r="K85" s="193" t="n">
        <v>2</v>
      </c>
      <c r="L85" s="324" t="inlineStr">
        <is>
          <t>Ing. Jose Paris Mendoza Cortes</t>
        </is>
      </c>
      <c r="M85" s="193" t="inlineStr">
        <is>
          <t>14/10/2026</t>
        </is>
      </c>
    </row>
    <row r="86" ht="19.95" customHeight="1" s="227">
      <c r="A86" s="196" t="n">
        <v>82</v>
      </c>
      <c r="B86" s="197" t="inlineStr">
        <is>
          <t>BM-113</t>
        </is>
      </c>
      <c r="C86" s="197" t="n">
        <v>164</v>
      </c>
      <c r="D86" s="198" t="inlineStr">
        <is>
          <t>H.M.Z. Zapopan</t>
        </is>
      </c>
      <c r="E86" s="196" t="inlineStr">
        <is>
          <t>JALISCO</t>
        </is>
      </c>
      <c r="F86" s="198" t="inlineStr">
        <is>
          <t>V Región Militar (Base Aérea Militar No. 5)</t>
        </is>
      </c>
      <c r="G86" s="198" t="inlineStr">
        <is>
          <t>Equipo de rayos X móvil, marca Technix, modelo TMS 320</t>
        </is>
      </c>
      <c r="H86" s="196" t="inlineStr">
        <is>
          <t>80-16-95-166</t>
        </is>
      </c>
      <c r="I86" s="196" t="inlineStr">
        <is>
          <t>IMAGEN</t>
        </is>
      </c>
      <c r="J86" s="197" t="n">
        <v>1</v>
      </c>
      <c r="K86" s="197" t="n">
        <v>2</v>
      </c>
      <c r="L86" s="326" t="inlineStr">
        <is>
          <t>Ing. Rogelio Ramos Centeno</t>
        </is>
      </c>
      <c r="M86" s="197" t="inlineStr">
        <is>
          <t>14/10/2026</t>
        </is>
      </c>
      <c r="N86" t="inlineStr">
        <is>
          <t>SEMANA 1 (LOCAL/LEICA)</t>
        </is>
      </c>
    </row>
    <row r="87" ht="19.95" customHeight="1" s="227">
      <c r="A87" s="192" t="n">
        <v>83</v>
      </c>
      <c r="B87" s="193" t="inlineStr">
        <is>
          <t>BM-114</t>
        </is>
      </c>
      <c r="C87" s="193" t="n">
        <v>165</v>
      </c>
      <c r="D87" s="194" t="inlineStr">
        <is>
          <t>H.M.Z. Temamatla</t>
        </is>
      </c>
      <c r="E87" s="192" t="inlineStr">
        <is>
          <t>EDO DE MEX</t>
        </is>
      </c>
      <c r="F87" s="194" t="inlineStr">
        <is>
          <t>I Región Militar (Campo Militar 37-B)</t>
        </is>
      </c>
      <c r="G87" s="194" t="inlineStr">
        <is>
          <t>Equipo de rayos X móvil, marca Technix, modelo TMS 320</t>
        </is>
      </c>
      <c r="H87" s="192" t="inlineStr">
        <is>
          <t>80-16-105-176</t>
        </is>
      </c>
      <c r="I87" s="192" t="inlineStr">
        <is>
          <t>IMAGEN</t>
        </is>
      </c>
      <c r="J87" s="193" t="n">
        <v>1</v>
      </c>
      <c r="K87" s="193" t="n">
        <v>2</v>
      </c>
      <c r="L87" s="323" t="inlineStr">
        <is>
          <t>Ing. Jose Jorge Olivares Velazquez</t>
        </is>
      </c>
      <c r="M87" s="193" t="inlineStr">
        <is>
          <t>14/10/2026</t>
        </is>
      </c>
    </row>
    <row r="88" ht="19.95" customHeight="1" s="227">
      <c r="A88" s="196" t="n">
        <v>84</v>
      </c>
      <c r="B88" s="197" t="inlineStr">
        <is>
          <t>BM-115</t>
        </is>
      </c>
      <c r="C88" s="197" t="n">
        <v>166</v>
      </c>
      <c r="D88" s="198" t="inlineStr">
        <is>
          <t>H.M.Z. Ixcotel</t>
        </is>
      </c>
      <c r="E88" s="196" t="inlineStr">
        <is>
          <t>OAXACA</t>
        </is>
      </c>
      <c r="F88" s="198" t="inlineStr">
        <is>
          <t>VIII Región Militar (Oaxaca)</t>
        </is>
      </c>
      <c r="G88" s="198" t="inlineStr">
        <is>
          <t>Equipo de rayos X móvil, marca Technix, modelo TMS 320</t>
        </is>
      </c>
      <c r="H88" s="196" t="inlineStr">
        <is>
          <t>80-16-104-175</t>
        </is>
      </c>
      <c r="I88" s="196" t="inlineStr">
        <is>
          <t>IMAGEN</t>
        </is>
      </c>
      <c r="J88" s="197" t="n">
        <v>1</v>
      </c>
      <c r="K88" s="197" t="n">
        <v>2</v>
      </c>
      <c r="L88" s="321" t="inlineStr">
        <is>
          <t>Ing. Jose Romero Najera</t>
        </is>
      </c>
      <c r="M88" s="197" t="inlineStr">
        <is>
          <t>19/10/2026</t>
        </is>
      </c>
    </row>
    <row r="89" ht="19.95" customHeight="1" s="227">
      <c r="A89" s="192" t="n">
        <v>85</v>
      </c>
      <c r="B89" s="193" t="inlineStr">
        <is>
          <t>BM-116</t>
        </is>
      </c>
      <c r="C89" s="193" t="n">
        <v>167</v>
      </c>
      <c r="D89" s="194" t="inlineStr">
        <is>
          <t>H.M.R. Hermosillo</t>
        </is>
      </c>
      <c r="E89" s="192" t="inlineStr">
        <is>
          <t>SONORA</t>
        </is>
      </c>
      <c r="F89" s="194" t="inlineStr">
        <is>
          <t>II Región Militar (4/a. Zona Militar)</t>
        </is>
      </c>
      <c r="G89" s="194" t="inlineStr">
        <is>
          <t>Equipo de rayos X móvil, marca Technix, modelo TMS 320</t>
        </is>
      </c>
      <c r="H89" s="192" t="inlineStr">
        <is>
          <t>80-16-80-151</t>
        </is>
      </c>
      <c r="I89" s="192" t="inlineStr">
        <is>
          <t>IMAGEN</t>
        </is>
      </c>
      <c r="J89" s="193" t="n">
        <v>1</v>
      </c>
      <c r="K89" s="193" t="n">
        <v>2</v>
      </c>
      <c r="L89" s="326" t="inlineStr">
        <is>
          <t>Ing. Rogelio Ramos Centeno</t>
        </is>
      </c>
      <c r="M89" s="193" t="inlineStr">
        <is>
          <t>21/10/2026</t>
        </is>
      </c>
    </row>
    <row r="90" ht="19.95" customHeight="1" s="227">
      <c r="A90" s="196" t="n">
        <v>86</v>
      </c>
      <c r="B90" s="197" t="inlineStr">
        <is>
          <t>BM-117</t>
        </is>
      </c>
      <c r="C90" s="197" t="n">
        <v>168</v>
      </c>
      <c r="D90" s="198" t="inlineStr">
        <is>
          <t>H.M.R. Tuxtla Gutiérrez</t>
        </is>
      </c>
      <c r="E90" s="196" t="inlineStr">
        <is>
          <t>CHIAPAS</t>
        </is>
      </c>
      <c r="F90" s="198" t="inlineStr">
        <is>
          <t>VII Región Militar (Chiapas)</t>
        </is>
      </c>
      <c r="G90" s="198" t="inlineStr">
        <is>
          <t>Equipo de rayos X móvil, marca Technix, modelo TMS 320</t>
        </is>
      </c>
      <c r="H90" s="196" t="inlineStr">
        <is>
          <t>80-16-102-173</t>
        </is>
      </c>
      <c r="I90" s="196" t="inlineStr">
        <is>
          <t>IMAGEN</t>
        </is>
      </c>
      <c r="J90" s="197" t="n">
        <v>1</v>
      </c>
      <c r="K90" s="197" t="n">
        <v>2</v>
      </c>
      <c r="L90" s="321" t="inlineStr">
        <is>
          <t>Ing. Jose Romero Najera</t>
        </is>
      </c>
      <c r="M90" s="197" t="inlineStr">
        <is>
          <t>20/10/2026</t>
        </is>
      </c>
      <c r="N90" t="inlineStr">
        <is>
          <t>SEMANA 3 (FORÁNEO)</t>
        </is>
      </c>
    </row>
    <row r="91" ht="19.95" customHeight="1" s="227">
      <c r="A91" s="192" t="n">
        <v>87</v>
      </c>
      <c r="B91" s="193" t="inlineStr">
        <is>
          <t>BM-118</t>
        </is>
      </c>
      <c r="C91" s="193" t="n">
        <v>171</v>
      </c>
      <c r="D91" s="194" t="inlineStr">
        <is>
          <t>H.M.Z. Cuernavaca</t>
        </is>
      </c>
      <c r="E91" s="192" t="inlineStr">
        <is>
          <t>MORELOS</t>
        </is>
      </c>
      <c r="F91" s="194" t="inlineStr">
        <is>
          <t>I Región Militar (24/a. Zona Militar)</t>
        </is>
      </c>
      <c r="G91" s="194" t="inlineStr">
        <is>
          <t>Equipo de rayos X móvil, marca Technix, modelo TMS 320</t>
        </is>
      </c>
      <c r="H91" s="192" t="inlineStr">
        <is>
          <t>80-16-88-159</t>
        </is>
      </c>
      <c r="I91" s="192" t="inlineStr">
        <is>
          <t>IMAGEN</t>
        </is>
      </c>
      <c r="J91" s="193" t="n">
        <v>1</v>
      </c>
      <c r="K91" s="193" t="n">
        <v>2</v>
      </c>
      <c r="L91" s="323" t="inlineStr">
        <is>
          <t>Ing. Jose Jorge Olivares Velazquez</t>
        </is>
      </c>
      <c r="M91" s="193" t="inlineStr">
        <is>
          <t>16/10/2026</t>
        </is>
      </c>
    </row>
    <row r="92" ht="19.95" customHeight="1" s="227">
      <c r="A92" s="196" t="n">
        <v>88</v>
      </c>
      <c r="B92" s="197" t="inlineStr">
        <is>
          <t>BM-119</t>
        </is>
      </c>
      <c r="C92" s="197" t="n">
        <v>172</v>
      </c>
      <c r="D92" s="198" t="inlineStr">
        <is>
          <t>H.M.Z. Mexicali</t>
        </is>
      </c>
      <c r="E92" s="196" t="inlineStr">
        <is>
          <t>BAJA CALIFORNIA</t>
        </is>
      </c>
      <c r="F92" s="198" t="inlineStr">
        <is>
          <t>II Región Militar (2/a. Zona Militar)</t>
        </is>
      </c>
      <c r="G92" s="198" t="inlineStr">
        <is>
          <t>Equipo de rayos X móvil, marca Technix, modelo TMS 320</t>
        </is>
      </c>
      <c r="H92" s="196" t="inlineStr">
        <is>
          <t>80-16-83-154</t>
        </is>
      </c>
      <c r="I92" s="196" t="inlineStr">
        <is>
          <t>IMAGEN</t>
        </is>
      </c>
      <c r="J92" s="197" t="n">
        <v>1</v>
      </c>
      <c r="K92" s="197" t="n">
        <v>2</v>
      </c>
      <c r="L92" s="326" t="inlineStr">
        <is>
          <t>Ing. Rogelio Ramos Centeno</t>
        </is>
      </c>
      <c r="M92" s="197" t="inlineStr">
        <is>
          <t>22/10/2026</t>
        </is>
      </c>
    </row>
    <row r="93" ht="19.95" customHeight="1" s="227">
      <c r="A93" s="192" t="n">
        <v>89</v>
      </c>
      <c r="B93" s="193" t="inlineStr">
        <is>
          <t>BM-120</t>
        </is>
      </c>
      <c r="C93" s="193" t="n">
        <v>175</v>
      </c>
      <c r="D93" s="194" t="inlineStr">
        <is>
          <t>H.M.R. El Ciprés</t>
        </is>
      </c>
      <c r="E93" s="192" t="inlineStr">
        <is>
          <t>BAJA CALIFORNIA</t>
        </is>
      </c>
      <c r="F93" s="194" t="inlineStr">
        <is>
          <t>II Región Militar (Base El Ciprés)</t>
        </is>
      </c>
      <c r="G93" s="194" t="inlineStr">
        <is>
          <t>Equipo de rayos X móvil, marca Technix, modelo TMS 320</t>
        </is>
      </c>
      <c r="H93" s="192" t="inlineStr">
        <is>
          <t>80-16-81-152</t>
        </is>
      </c>
      <c r="I93" s="192" t="inlineStr">
        <is>
          <t>IMAGEN</t>
        </is>
      </c>
      <c r="J93" s="193" t="n">
        <v>1</v>
      </c>
      <c r="K93" s="193" t="n">
        <v>2</v>
      </c>
      <c r="L93" s="326" t="inlineStr">
        <is>
          <t>Ing. Rogelio Ramos Centeno</t>
        </is>
      </c>
      <c r="M93" s="193" t="inlineStr">
        <is>
          <t>23/10/2026</t>
        </is>
      </c>
    </row>
    <row r="94" ht="19.95" customHeight="1" s="227">
      <c r="A94" s="196" t="n">
        <v>90</v>
      </c>
      <c r="B94" s="197" t="inlineStr">
        <is>
          <t>BM-121</t>
        </is>
      </c>
      <c r="C94" s="197" t="n">
        <v>179</v>
      </c>
      <c r="D94" s="198" t="inlineStr">
        <is>
          <t>H.M.R.E. Guadalajara</t>
        </is>
      </c>
      <c r="E94" s="196" t="inlineStr">
        <is>
          <t>JALISCO</t>
        </is>
      </c>
      <c r="F94" s="198" t="inlineStr">
        <is>
          <t>V Región Militar (Occidente)</t>
        </is>
      </c>
      <c r="G94" s="198" t="inlineStr">
        <is>
          <t>Equipo de rayos X móvil, marca Technix, modelo TMS 320</t>
        </is>
      </c>
      <c r="H94" s="196" t="inlineStr">
        <is>
          <t>80-16-91-162</t>
        </is>
      </c>
      <c r="I94" s="196" t="inlineStr">
        <is>
          <t>IMAGEN</t>
        </is>
      </c>
      <c r="J94" s="197" t="n">
        <v>1</v>
      </c>
      <c r="K94" s="197" t="n">
        <v>2</v>
      </c>
      <c r="L94" s="326" t="inlineStr">
        <is>
          <t>Ing. Rogelio Ramos Centeno</t>
        </is>
      </c>
      <c r="M94" s="197" t="inlineStr">
        <is>
          <t>16/10/2026</t>
        </is>
      </c>
    </row>
    <row r="95" ht="19.95" customHeight="1" s="227">
      <c r="A95" s="192" t="n">
        <v>91</v>
      </c>
      <c r="B95" s="193" t="inlineStr">
        <is>
          <t>BM-122</t>
        </is>
      </c>
      <c r="C95" s="193" t="n">
        <v>183</v>
      </c>
      <c r="D95" s="194" t="inlineStr">
        <is>
          <t>H.M.R.E. Mazatlán</t>
        </is>
      </c>
      <c r="E95" s="192" t="inlineStr">
        <is>
          <t>SINALOA</t>
        </is>
      </c>
      <c r="F95" s="194" t="inlineStr">
        <is>
          <t>III Región Militar (Sinaloa)</t>
        </is>
      </c>
      <c r="G95" s="194" t="inlineStr">
        <is>
          <t>Impresora para placas radiográficas, marca Fujifilm, modelo Drypix Smart</t>
        </is>
      </c>
      <c r="H95" s="192" t="inlineStr">
        <is>
          <t>56728475</t>
        </is>
      </c>
      <c r="I95" s="192" t="inlineStr">
        <is>
          <t>IMAGEN</t>
        </is>
      </c>
      <c r="J95" s="193" t="n">
        <v>1</v>
      </c>
      <c r="K95" s="193" t="n">
        <v>2</v>
      </c>
      <c r="L95" s="326" t="inlineStr">
        <is>
          <t>Ing. Rogelio Ramos Centeno</t>
        </is>
      </c>
      <c r="M95" s="193" t="inlineStr">
        <is>
          <t>19/10/2026</t>
        </is>
      </c>
    </row>
    <row r="96" ht="19.95" customHeight="1" s="227">
      <c r="A96" s="196" t="n">
        <v>92</v>
      </c>
      <c r="B96" s="197" t="inlineStr">
        <is>
          <t>BM-123</t>
        </is>
      </c>
      <c r="C96" s="197" t="n">
        <v>184</v>
      </c>
      <c r="D96" s="198" t="inlineStr">
        <is>
          <t>H.M.R.E. Mazatlán</t>
        </is>
      </c>
      <c r="E96" s="196" t="inlineStr">
        <is>
          <t>SINALOA</t>
        </is>
      </c>
      <c r="F96" s="198" t="inlineStr">
        <is>
          <t>III Región Militar (Sinaloa)</t>
        </is>
      </c>
      <c r="G96" s="198" t="inlineStr">
        <is>
          <t>Impresora para placas radiográficas, marca Fujifilm, modelo Drypix Smart</t>
        </is>
      </c>
      <c r="H96" s="196" t="inlineStr">
        <is>
          <t>66131122</t>
        </is>
      </c>
      <c r="I96" s="196" t="inlineStr">
        <is>
          <t>IMAGEN</t>
        </is>
      </c>
      <c r="J96" s="197" t="n">
        <v>1</v>
      </c>
      <c r="K96" s="197" t="n">
        <v>2</v>
      </c>
      <c r="L96" s="326" t="inlineStr">
        <is>
          <t>Ing. Rogelio Ramos Centeno</t>
        </is>
      </c>
      <c r="M96" s="197" t="inlineStr">
        <is>
          <t>19/10/2026</t>
        </is>
      </c>
    </row>
    <row r="97" ht="19.95" customHeight="1" s="227">
      <c r="A97" s="192" t="n">
        <v>93</v>
      </c>
      <c r="B97" s="193" t="inlineStr">
        <is>
          <t>BM-071</t>
        </is>
      </c>
      <c r="C97" s="193" t="n">
        <v>185</v>
      </c>
      <c r="D97" s="194" t="inlineStr">
        <is>
          <t>H.C.M. Lomas de Sotelo</t>
        </is>
      </c>
      <c r="E97" s="192" t="inlineStr">
        <is>
          <t>CDMX</t>
        </is>
      </c>
      <c r="F97" s="194" t="inlineStr">
        <is>
          <t>I Región Militar (Sede Central SEDENA)</t>
        </is>
      </c>
      <c r="G97" s="194" t="inlineStr">
        <is>
          <t>Sistema de diagnóstico oftálmico avanzado, marca Heidelberg Engineering, modelo Spectralis</t>
        </is>
      </c>
      <c r="H97" s="192" t="inlineStr">
        <is>
          <t>SPECT-KT-05789</t>
        </is>
      </c>
      <c r="I97" s="192" t="inlineStr">
        <is>
          <t>OFTALMO</t>
        </is>
      </c>
      <c r="J97" s="193" t="n">
        <v>2</v>
      </c>
      <c r="K97" s="193" t="n">
        <v>4</v>
      </c>
      <c r="L97" s="207" t="inlineStr">
        <is>
          <t>Ing. Axel Evangelista Salinas</t>
        </is>
      </c>
      <c r="M97" s="193" t="inlineStr">
        <is>
          <t>13/10/2026</t>
        </is>
      </c>
    </row>
    <row r="98" ht="19.95" customHeight="1" s="227">
      <c r="A98" s="196" t="n">
        <v>94</v>
      </c>
      <c r="B98" s="197" t="inlineStr">
        <is>
          <t>BM-072</t>
        </is>
      </c>
      <c r="C98" s="197" t="n">
        <v>196</v>
      </c>
      <c r="D98" s="198" t="inlineStr">
        <is>
          <t>H.M.R.E. Monterrey</t>
        </is>
      </c>
      <c r="E98" s="196" t="inlineStr">
        <is>
          <t>NUEVO LEON</t>
        </is>
      </c>
      <c r="F98" s="198" t="inlineStr">
        <is>
          <t>IV Región Militar (Noreste)</t>
        </is>
      </c>
      <c r="G98" s="198" t="inlineStr">
        <is>
          <t>Sistema de digitalización de imágenes, marca SUNI, modelo SUNI</t>
        </is>
      </c>
      <c r="H98" s="196" t="inlineStr">
        <is>
          <t>DI2014106149</t>
        </is>
      </c>
      <c r="I98" s="196" t="inlineStr">
        <is>
          <t>IMAGEN</t>
        </is>
      </c>
      <c r="J98" s="197" t="n">
        <v>1</v>
      </c>
      <c r="K98" s="197" t="n">
        <v>2</v>
      </c>
      <c r="L98" s="207" t="inlineStr">
        <is>
          <t>Ing. Axel Evangelista Salinas</t>
        </is>
      </c>
      <c r="M98" s="197" t="inlineStr">
        <is>
          <t>22/10/2026</t>
        </is>
      </c>
    </row>
    <row r="99" ht="19.95" customHeight="1" s="227">
      <c r="A99" s="192" t="n">
        <v>95</v>
      </c>
      <c r="B99" s="193" t="inlineStr">
        <is>
          <t>BM-124</t>
        </is>
      </c>
      <c r="C99" s="193" t="n">
        <v>198</v>
      </c>
      <c r="D99" s="194" t="inlineStr">
        <is>
          <t>H.M.Z. La Boticaría</t>
        </is>
      </c>
      <c r="E99" s="192" t="inlineStr">
        <is>
          <t>VERACRUZ</t>
        </is>
      </c>
      <c r="F99" s="194" t="inlineStr">
        <is>
          <t>VI Región Militar (Veracruz)</t>
        </is>
      </c>
      <c r="G99" s="194" t="inlineStr">
        <is>
          <t>Arco en C, marca Ziehm Imaging, modelo Vision R</t>
        </is>
      </c>
      <c r="H99" s="192" t="inlineStr">
        <is>
          <t>10704</t>
        </is>
      </c>
      <c r="I99" s="192" t="inlineStr">
        <is>
          <t>IMAGEN</t>
        </is>
      </c>
      <c r="J99" s="193" t="n">
        <v>1</v>
      </c>
      <c r="K99" s="193" t="n">
        <v>2</v>
      </c>
      <c r="L99" s="207" t="inlineStr">
        <is>
          <t>Ing. Axel Evangelista Salinas</t>
        </is>
      </c>
      <c r="M99" s="193" t="inlineStr">
        <is>
          <t>19/10/2026</t>
        </is>
      </c>
    </row>
    <row r="100" ht="19.95" customHeight="1" s="227">
      <c r="A100" s="196" t="n">
        <v>96</v>
      </c>
      <c r="B100" s="197" t="inlineStr">
        <is>
          <t>BM-125</t>
        </is>
      </c>
      <c r="C100" s="197" t="n">
        <v>200</v>
      </c>
      <c r="D100" s="198" t="inlineStr">
        <is>
          <t>H.M.R. Chihuahua</t>
        </is>
      </c>
      <c r="E100" s="196" t="inlineStr">
        <is>
          <t>CHIHUAHUA</t>
        </is>
      </c>
      <c r="F100" s="198" t="inlineStr">
        <is>
          <t>XI Región Militar (5/a. Zona Militar)</t>
        </is>
      </c>
      <c r="G100" s="198" t="inlineStr">
        <is>
          <t>Arco en C, marca Ziehm Imaging, modelo Vision R</t>
        </is>
      </c>
      <c r="H100" s="196" t="inlineStr">
        <is>
          <t>10703</t>
        </is>
      </c>
      <c r="I100" s="196" t="inlineStr">
        <is>
          <t>IMAGEN</t>
        </is>
      </c>
      <c r="J100" s="197" t="n">
        <v>1</v>
      </c>
      <c r="K100" s="197" t="n">
        <v>2</v>
      </c>
      <c r="L100" s="323" t="inlineStr">
        <is>
          <t>Ing. Jose Jorge Olivares Velazquez</t>
        </is>
      </c>
      <c r="M100" s="197" t="inlineStr">
        <is>
          <t>23/10/2026</t>
        </is>
      </c>
    </row>
    <row r="101" ht="19.95" customHeight="1" s="227">
      <c r="A101" s="192" t="n">
        <v>97</v>
      </c>
      <c r="B101" s="193" t="inlineStr">
        <is>
          <t>BM-126</t>
        </is>
      </c>
      <c r="C101" s="193" t="n">
        <v>203</v>
      </c>
      <c r="D101" s="194" t="inlineStr">
        <is>
          <t>H.M.R. Tuxtla Gutiérrez</t>
        </is>
      </c>
      <c r="E101" s="192" t="inlineStr">
        <is>
          <t>CHIAPAS</t>
        </is>
      </c>
      <c r="F101" s="194" t="inlineStr">
        <is>
          <t>VII Región Militar (Chiapas)</t>
        </is>
      </c>
      <c r="G101" s="194" t="inlineStr">
        <is>
          <t>Topógrafo corneal , marca Bausch &amp; Lomb, modelo ORBSCAN lll</t>
        </is>
      </c>
      <c r="H101" s="192" t="inlineStr">
        <is>
          <t>50004019-0093</t>
        </is>
      </c>
      <c r="I101" s="192" t="inlineStr">
        <is>
          <t>OFTALMO</t>
        </is>
      </c>
      <c r="J101" s="193" t="n">
        <v>1</v>
      </c>
      <c r="K101" s="193" t="n">
        <v>2</v>
      </c>
      <c r="L101" s="321" t="inlineStr">
        <is>
          <t>Ing. Jose Romero Najera</t>
        </is>
      </c>
      <c r="M101" s="193" t="inlineStr">
        <is>
          <t>20/10/2026</t>
        </is>
      </c>
      <c r="N101" t="inlineStr">
        <is>
          <t>SEMANA 3 (FORÁNEO)</t>
        </is>
      </c>
    </row>
    <row r="102" ht="19.95" customHeight="1" s="227">
      <c r="A102" s="196" t="n">
        <v>98</v>
      </c>
      <c r="B102" s="197" t="inlineStr">
        <is>
          <t>BM-073</t>
        </is>
      </c>
      <c r="C102" s="197" t="n">
        <v>208</v>
      </c>
      <c r="D102" s="198" t="inlineStr">
        <is>
          <t>H.M.R.E. Mérida</t>
        </is>
      </c>
      <c r="E102" s="196" t="inlineStr">
        <is>
          <t>YUCATAN</t>
        </is>
      </c>
      <c r="F102" s="198" t="inlineStr">
        <is>
          <t>X Región Militar (Península)</t>
        </is>
      </c>
      <c r="G102" s="198" t="inlineStr">
        <is>
          <t>Microscopio para cirugía, marca Leica, modelo M844F40</t>
        </is>
      </c>
      <c r="H102" s="196" t="inlineStr">
        <is>
          <t>160516003</t>
        </is>
      </c>
      <c r="I102" s="196" t="inlineStr">
        <is>
          <t>OFTALMO</t>
        </is>
      </c>
      <c r="J102" s="197" t="n">
        <v>1</v>
      </c>
      <c r="K102" s="197" t="n">
        <v>2</v>
      </c>
      <c r="L102" s="325" t="inlineStr">
        <is>
          <t>Ing. Fernando Javier Michel Euan</t>
        </is>
      </c>
      <c r="M102" s="197" t="inlineStr">
        <is>
          <t>15/10/2026</t>
        </is>
      </c>
      <c r="N102" t="inlineStr">
        <is>
          <t>SEMANA 1 (LEICA/SEDE BASE)</t>
        </is>
      </c>
    </row>
    <row r="103" ht="19.95" customHeight="1" s="227">
      <c r="A103" s="192" t="n">
        <v>99</v>
      </c>
      <c r="B103" s="193" t="inlineStr">
        <is>
          <t>BM-127</t>
        </is>
      </c>
      <c r="C103" s="193" t="n">
        <v>213</v>
      </c>
      <c r="D103" s="194" t="inlineStr">
        <is>
          <t>H.M.E.O. Constituyentes</t>
        </is>
      </c>
      <c r="E103" s="192" t="inlineStr">
        <is>
          <t>CDMX</t>
        </is>
      </c>
      <c r="F103" s="194" t="inlineStr">
        <is>
          <t>I Región Militar (Valle de México)</t>
        </is>
      </c>
      <c r="G103" s="194" t="inlineStr">
        <is>
          <t>Ultrasonido modo A-B y UBM, marca Quantel Medical, modelo Compact Touch</t>
        </is>
      </c>
      <c r="H103" s="192" t="inlineStr">
        <is>
          <t>2746</t>
        </is>
      </c>
      <c r="I103" s="192" t="inlineStr">
        <is>
          <t>OFTALMO</t>
        </is>
      </c>
      <c r="J103" s="193" t="n">
        <v>1</v>
      </c>
      <c r="K103" s="193" t="n">
        <v>2</v>
      </c>
      <c r="L103" s="322" t="inlineStr">
        <is>
          <t>Ing. Sophia López Ramírez</t>
        </is>
      </c>
      <c r="M103" s="193" t="inlineStr">
        <is>
          <t>23/10/2026</t>
        </is>
      </c>
    </row>
    <row r="104" ht="19.95" customHeight="1" s="227">
      <c r="A104" s="196" t="n">
        <v>100</v>
      </c>
      <c r="B104" s="197" t="inlineStr">
        <is>
          <t>BM-074</t>
        </is>
      </c>
      <c r="C104" s="197" t="n">
        <v>214</v>
      </c>
      <c r="D104" s="198" t="inlineStr">
        <is>
          <t>H.M.E.O. Constituyentes</t>
        </is>
      </c>
      <c r="E104" s="196" t="inlineStr">
        <is>
          <t>CDMX</t>
        </is>
      </c>
      <c r="F104" s="198" t="inlineStr">
        <is>
          <t>I Región Militar (Valle de México)</t>
        </is>
      </c>
      <c r="G104" s="198" t="inlineStr">
        <is>
          <t>Cámara de Scheimpflug, marca Oculus, modelo Pentacam HR</t>
        </is>
      </c>
      <c r="H104" s="196" t="inlineStr">
        <is>
          <t>64835160</t>
        </is>
      </c>
      <c r="I104" s="196" t="inlineStr">
        <is>
          <t>OFTALMO</t>
        </is>
      </c>
      <c r="J104" s="197" t="n">
        <v>1</v>
      </c>
      <c r="K104" s="197" t="n">
        <v>2</v>
      </c>
      <c r="L104" s="322" t="inlineStr">
        <is>
          <t>Ing. Sophia López Ramírez</t>
        </is>
      </c>
      <c r="M104" s="197" t="inlineStr">
        <is>
          <t>23/10/2026</t>
        </is>
      </c>
    </row>
    <row r="105" ht="19.95" customHeight="1" s="227">
      <c r="A105" s="192" t="n">
        <v>101</v>
      </c>
      <c r="B105" s="193" t="inlineStr">
        <is>
          <t>BM-075</t>
        </is>
      </c>
      <c r="C105" s="193" t="n">
        <v>215</v>
      </c>
      <c r="D105" s="194" t="inlineStr">
        <is>
          <t>H.M.E.O. Constituyentes</t>
        </is>
      </c>
      <c r="E105" s="192" t="inlineStr">
        <is>
          <t>CDMX</t>
        </is>
      </c>
      <c r="F105" s="194" t="inlineStr">
        <is>
          <t>I Región Militar (Valle de México)</t>
        </is>
      </c>
      <c r="G105" s="194" t="inlineStr">
        <is>
          <t>Unidad de banco de ojos, marca Varios, modelo Varios</t>
        </is>
      </c>
      <c r="H105" s="192" t="inlineStr">
        <is>
          <t>Varios</t>
        </is>
      </c>
      <c r="I105" s="192" t="inlineStr">
        <is>
          <t>OFTALMO</t>
        </is>
      </c>
      <c r="J105" s="193" t="n">
        <v>1</v>
      </c>
      <c r="K105" s="193" t="n">
        <v>2</v>
      </c>
      <c r="L105" s="322" t="inlineStr">
        <is>
          <t>Ing. Sophia López Ramírez</t>
        </is>
      </c>
      <c r="M105" s="193" t="inlineStr">
        <is>
          <t>23/10/2026</t>
        </is>
      </c>
    </row>
    <row r="106" ht="19.95" customHeight="1" s="227">
      <c r="A106" s="196" t="n">
        <v>102</v>
      </c>
      <c r="B106" s="197" t="inlineStr">
        <is>
          <t>BM-076</t>
        </is>
      </c>
      <c r="C106" s="197" t="n">
        <v>218</v>
      </c>
      <c r="D106" s="198" t="inlineStr">
        <is>
          <t>H.M.E.M. Y N. Lomas de Sotelo</t>
        </is>
      </c>
      <c r="E106" s="196" t="inlineStr">
        <is>
          <t>CDMX</t>
        </is>
      </c>
      <c r="F106" s="198" t="inlineStr">
        <is>
          <t>I Región Militar (Complejo Sotelo)</t>
        </is>
      </c>
      <c r="G106" s="198" t="inlineStr">
        <is>
          <t>Impresora para placas radiográficas, marca Codonics, modelo Horizon Ci</t>
        </is>
      </c>
      <c r="H106" s="196" t="inlineStr">
        <is>
          <t>50C00394C</t>
        </is>
      </c>
      <c r="I106" s="196" t="inlineStr">
        <is>
          <t>IMAGEN</t>
        </is>
      </c>
      <c r="J106" s="197" t="n">
        <v>1</v>
      </c>
      <c r="K106" s="197" t="n">
        <v>2</v>
      </c>
      <c r="L106" s="207" t="inlineStr">
        <is>
          <t>Ing. Axel Evangelista Salinas</t>
        </is>
      </c>
      <c r="M106" s="197" t="inlineStr">
        <is>
          <t>14/10/2026</t>
        </is>
      </c>
    </row>
    <row r="107" ht="19.95" customHeight="1" s="227">
      <c r="A107" s="192" t="n">
        <v>103</v>
      </c>
      <c r="B107" s="193" t="inlineStr">
        <is>
          <t>BM-077</t>
        </is>
      </c>
      <c r="C107" s="193" t="n">
        <v>221</v>
      </c>
      <c r="D107" s="194" t="inlineStr">
        <is>
          <t>H.M.Z. La Boticaría</t>
        </is>
      </c>
      <c r="E107" s="192" t="inlineStr">
        <is>
          <t>VERACRUZ</t>
        </is>
      </c>
      <c r="F107" s="194" t="inlineStr">
        <is>
          <t>VI Región Militar (Veracruz)</t>
        </is>
      </c>
      <c r="G107" s="194" t="inlineStr">
        <is>
          <t>Sistema de digitalización de imágenes, marca Fujifilm, modelo Digitalizador: FCR Capsula XLII (CR-IR 359) Impresora: Drypix Plus</t>
        </is>
      </c>
      <c r="H107" s="192" t="inlineStr">
        <is>
          <t>Digitalizador: 46770610 Impresora: 36753809</t>
        </is>
      </c>
      <c r="I107" s="192" t="inlineStr">
        <is>
          <t>IMAGEN</t>
        </is>
      </c>
      <c r="J107" s="193" t="n">
        <v>1</v>
      </c>
      <c r="K107" s="193" t="n">
        <v>2</v>
      </c>
      <c r="L107" s="207" t="inlineStr">
        <is>
          <t>Ing. Axel Evangelista Salinas</t>
        </is>
      </c>
      <c r="M107" s="193" t="inlineStr">
        <is>
          <t>19/10/2026</t>
        </is>
      </c>
    </row>
    <row r="108" ht="19.95" customHeight="1" s="227">
      <c r="A108" s="196" t="n">
        <v>104</v>
      </c>
      <c r="B108" s="197" t="inlineStr">
        <is>
          <t>BM-078</t>
        </is>
      </c>
      <c r="C108" s="197" t="n">
        <v>222</v>
      </c>
      <c r="D108" s="198" t="inlineStr">
        <is>
          <t>H.M.Z. La Boticaría</t>
        </is>
      </c>
      <c r="E108" s="196" t="inlineStr">
        <is>
          <t>VERACRUZ</t>
        </is>
      </c>
      <c r="F108" s="198" t="inlineStr">
        <is>
          <t>VI Región Militar (Veracruz)</t>
        </is>
      </c>
      <c r="G108" s="198" t="inlineStr">
        <is>
          <t>Ultrasonido oftálmico, marca OPTIKON, modelo HiScan</t>
        </is>
      </c>
      <c r="H108" s="196" t="inlineStr">
        <is>
          <t>387BC</t>
        </is>
      </c>
      <c r="I108" s="196" t="inlineStr">
        <is>
          <t>OFTALMO</t>
        </is>
      </c>
      <c r="J108" s="197" t="n">
        <v>1</v>
      </c>
      <c r="K108" s="197" t="n">
        <v>2</v>
      </c>
      <c r="L108" s="207" t="inlineStr">
        <is>
          <t>Ing. Axel Evangelista Salinas</t>
        </is>
      </c>
      <c r="M108" s="197" t="inlineStr">
        <is>
          <t>19/10/2026</t>
        </is>
      </c>
    </row>
    <row r="109" ht="19.95" customHeight="1" s="227">
      <c r="A109" s="192" t="n">
        <v>105</v>
      </c>
      <c r="B109" s="193" t="inlineStr">
        <is>
          <t>BM-128</t>
        </is>
      </c>
      <c r="C109" s="193" t="n">
        <v>223</v>
      </c>
      <c r="D109" s="194" t="inlineStr">
        <is>
          <t>H.M.R. Chilpancingo</t>
        </is>
      </c>
      <c r="E109" s="192" t="inlineStr">
        <is>
          <t>GUERRERO</t>
        </is>
      </c>
      <c r="F109" s="194" t="inlineStr">
        <is>
          <t>IX Región Militar (35/a. Zona Militar)</t>
        </is>
      </c>
      <c r="G109" s="194" t="inlineStr">
        <is>
          <t>Rayos X móvil, marca Shimadzu, modelo MobileArt Evolution</t>
        </is>
      </c>
      <c r="H109" s="192" t="inlineStr">
        <is>
          <t>41000333B017</t>
        </is>
      </c>
      <c r="I109" s="192" t="inlineStr">
        <is>
          <t>IMAGEN</t>
        </is>
      </c>
      <c r="J109" s="193" t="n">
        <v>1</v>
      </c>
      <c r="K109" s="193" t="n">
        <v>2</v>
      </c>
      <c r="L109" s="323" t="inlineStr">
        <is>
          <t>Ing. Jose Jorge Olivares Velazquez</t>
        </is>
      </c>
      <c r="M109" s="193" t="inlineStr">
        <is>
          <t>19/10/2026</t>
        </is>
      </c>
    </row>
    <row r="110" ht="19.95" customHeight="1" s="227">
      <c r="A110" s="196" t="n">
        <v>106</v>
      </c>
      <c r="B110" s="197" t="inlineStr">
        <is>
          <t>BM-129</t>
        </is>
      </c>
      <c r="C110" s="197" t="n">
        <v>225</v>
      </c>
      <c r="D110" s="198" t="inlineStr">
        <is>
          <t>H.M.Z. Guadalupe</t>
        </is>
      </c>
      <c r="E110" s="196" t="inlineStr">
        <is>
          <t>ZACATECAS</t>
        </is>
      </c>
      <c r="F110" s="198" t="inlineStr">
        <is>
          <t>V Región Militar (11/a. Zona Militar)</t>
        </is>
      </c>
      <c r="G110" s="198" t="inlineStr">
        <is>
          <t>Equipo de rayos X móvil, marca Technix, modelo TMS 320</t>
        </is>
      </c>
      <c r="H110" s="196" t="inlineStr">
        <is>
          <t>80-16-86-157</t>
        </is>
      </c>
      <c r="I110" s="196" t="inlineStr">
        <is>
          <t>IMAGEN</t>
        </is>
      </c>
      <c r="J110" s="197" t="n">
        <v>1</v>
      </c>
      <c r="K110" s="197" t="n">
        <v>2</v>
      </c>
      <c r="L110" s="324" t="inlineStr">
        <is>
          <t>Ing. Jose Paris Mendoza Cortes</t>
        </is>
      </c>
      <c r="M110" s="197" t="inlineStr">
        <is>
          <t>21/10/2026</t>
        </is>
      </c>
    </row>
    <row r="111" ht="19.95" customHeight="1" s="227">
      <c r="A111" s="192" t="n">
        <v>107</v>
      </c>
      <c r="B111" s="193" t="inlineStr">
        <is>
          <t>BM-130</t>
        </is>
      </c>
      <c r="C111" s="193" t="n">
        <v>226</v>
      </c>
      <c r="D111" s="194" t="inlineStr">
        <is>
          <t>H.M.R. Chihuahua</t>
        </is>
      </c>
      <c r="E111" s="192" t="inlineStr">
        <is>
          <t>CHIHUAHUA</t>
        </is>
      </c>
      <c r="F111" s="194" t="inlineStr">
        <is>
          <t>XI Región Militar (5/a. Zona Militar)</t>
        </is>
      </c>
      <c r="G111" s="194" t="inlineStr">
        <is>
          <t>Sistema de digitalización de imágenes, marca Fujifilm, modelo Digitalizador: FCR Capsula XLII (CR-IR 359) Impresora: Drypix 4000</t>
        </is>
      </c>
      <c r="H111" s="192" t="inlineStr">
        <is>
          <t>Digitalizador: 37240106 Impresora: 36653761</t>
        </is>
      </c>
      <c r="I111" s="192" t="inlineStr">
        <is>
          <t>IMAGEN</t>
        </is>
      </c>
      <c r="J111" s="193" t="n">
        <v>1</v>
      </c>
      <c r="K111" s="193" t="n">
        <v>2</v>
      </c>
      <c r="L111" s="323" t="inlineStr">
        <is>
          <t>Ing. Jose Jorge Olivares Velazquez</t>
        </is>
      </c>
      <c r="M111" s="193" t="inlineStr">
        <is>
          <t>23/10/2026</t>
        </is>
      </c>
    </row>
    <row r="112" ht="19.95" customHeight="1" s="227">
      <c r="A112" s="196" t="n">
        <v>108</v>
      </c>
      <c r="B112" s="197" t="inlineStr">
        <is>
          <t>BM-079</t>
        </is>
      </c>
      <c r="C112" s="197" t="n">
        <v>227</v>
      </c>
      <c r="D112" s="198" t="inlineStr">
        <is>
          <t>H.M.Z. Temamatla</t>
        </is>
      </c>
      <c r="E112" s="196" t="inlineStr">
        <is>
          <t>EDO DE MEX</t>
        </is>
      </c>
      <c r="F112" s="198" t="inlineStr">
        <is>
          <t>I Región Militar (Campo Militar 37-B)</t>
        </is>
      </c>
      <c r="G112" s="198" t="inlineStr">
        <is>
          <t>Sistema de digitalización de imágenes, marca Fujifilm, modelo Digitalizador: FCR Capsula XLII (CR-IR 359) Impresora: Drypix 4000</t>
        </is>
      </c>
      <c r="H112" s="196" t="inlineStr">
        <is>
          <t>Digitalizador: 46370281 Impresora: 36753805</t>
        </is>
      </c>
      <c r="I112" s="196" t="inlineStr">
        <is>
          <t>IMAGEN</t>
        </is>
      </c>
      <c r="J112" s="197" t="n">
        <v>1</v>
      </c>
      <c r="K112" s="197" t="n">
        <v>2</v>
      </c>
      <c r="L112" s="323" t="inlineStr">
        <is>
          <t>Ing. Jose Jorge Olivares Velazquez</t>
        </is>
      </c>
      <c r="M112" s="197" t="inlineStr">
        <is>
          <t>14/10/2026</t>
        </is>
      </c>
    </row>
    <row r="113" ht="19.95" customHeight="1" s="227">
      <c r="A113" s="192" t="n">
        <v>109</v>
      </c>
      <c r="B113" s="193" t="inlineStr">
        <is>
          <t>BM-080</t>
        </is>
      </c>
      <c r="C113" s="193" t="n">
        <v>228</v>
      </c>
      <c r="D113" s="194" t="inlineStr">
        <is>
          <t>H.M.Z. Temamatla</t>
        </is>
      </c>
      <c r="E113" s="192" t="inlineStr">
        <is>
          <t>EDO DE MEX</t>
        </is>
      </c>
      <c r="F113" s="194" t="inlineStr">
        <is>
          <t>I Región Militar (Campo Militar 37-B)</t>
        </is>
      </c>
      <c r="G113" s="194" t="inlineStr">
        <is>
          <t>Impresora para placas radiográficas, marca Konica Minolta, modelo DryPro 873</t>
        </is>
      </c>
      <c r="H113" s="192" t="inlineStr">
        <is>
          <t>0992-50128</t>
        </is>
      </c>
      <c r="I113" s="192" t="inlineStr">
        <is>
          <t>IMAGEN</t>
        </is>
      </c>
      <c r="J113" s="193" t="n">
        <v>1</v>
      </c>
      <c r="K113" s="193" t="n">
        <v>2</v>
      </c>
      <c r="L113" s="323" t="inlineStr">
        <is>
          <t>Ing. Jose Jorge Olivares Velazquez</t>
        </is>
      </c>
      <c r="M113" s="193" t="inlineStr">
        <is>
          <t>14/10/2026</t>
        </is>
      </c>
    </row>
    <row r="114" ht="19.95" customHeight="1" s="227">
      <c r="A114" s="196" t="n">
        <v>110</v>
      </c>
      <c r="B114" s="197" t="inlineStr">
        <is>
          <t>BM-131</t>
        </is>
      </c>
      <c r="C114" s="197" t="n">
        <v>230</v>
      </c>
      <c r="D114" s="198" t="inlineStr">
        <is>
          <t>H.M.R., Irapuato</t>
        </is>
      </c>
      <c r="E114" s="196" t="inlineStr">
        <is>
          <t>GUANAJUATO</t>
        </is>
      </c>
      <c r="F114" s="198" t="inlineStr">
        <is>
          <t>XII Región Militar (Guanajuato)</t>
        </is>
      </c>
      <c r="G114" s="198" t="inlineStr">
        <is>
          <t>Equipo de rayos X móvil, marca Technix, modelo TMS 320</t>
        </is>
      </c>
      <c r="H114" s="196" t="inlineStr">
        <is>
          <t>80-16-85-156</t>
        </is>
      </c>
      <c r="I114" s="196" t="inlineStr">
        <is>
          <t>IMAGEN</t>
        </is>
      </c>
      <c r="J114" s="197" t="n">
        <v>1</v>
      </c>
      <c r="K114" s="197" t="n">
        <v>2</v>
      </c>
      <c r="L114" s="324" t="inlineStr">
        <is>
          <t>Ing. Jose Paris Mendoza Cortes</t>
        </is>
      </c>
      <c r="M114" s="197" t="inlineStr">
        <is>
          <t>19/10/2026</t>
        </is>
      </c>
    </row>
    <row r="115" ht="19.95" customHeight="1" s="227">
      <c r="A115" s="192" t="n">
        <v>111</v>
      </c>
      <c r="B115" s="193" t="inlineStr">
        <is>
          <t>BM-081</t>
        </is>
      </c>
      <c r="C115" s="193" t="n">
        <v>231</v>
      </c>
      <c r="D115" s="194" t="inlineStr">
        <is>
          <t>H.M.Z. Cuernavaca</t>
        </is>
      </c>
      <c r="E115" s="192" t="inlineStr">
        <is>
          <t>MORELOS</t>
        </is>
      </c>
      <c r="F115" s="194" t="inlineStr">
        <is>
          <t>I Región Militar (24/a. Zona Militar)</t>
        </is>
      </c>
      <c r="G115" s="194" t="inlineStr">
        <is>
          <t>Sistema de digitalización de imágenes, marca Fujifilm, modelo Digitalizador: FCR Capsula XLII (CR-IR 359) Impresora: Drypix 4000</t>
        </is>
      </c>
      <c r="H115" s="192" t="inlineStr">
        <is>
          <t>Digitalizador: 46770614 Impresora: 36653758</t>
        </is>
      </c>
      <c r="I115" s="192" t="inlineStr">
        <is>
          <t>IMAGEN</t>
        </is>
      </c>
      <c r="J115" s="193" t="n">
        <v>1</v>
      </c>
      <c r="K115" s="193" t="n">
        <v>2</v>
      </c>
      <c r="L115" s="323" t="inlineStr">
        <is>
          <t>Ing. Jose Jorge Olivares Velazquez</t>
        </is>
      </c>
      <c r="M115" s="193" t="inlineStr">
        <is>
          <t>16/10/2026</t>
        </is>
      </c>
    </row>
    <row r="116" ht="19.95" customHeight="1" s="227">
      <c r="A116" s="196" t="n">
        <v>112</v>
      </c>
      <c r="B116" s="197" t="inlineStr">
        <is>
          <t>BM-082</t>
        </is>
      </c>
      <c r="C116" s="197" t="n">
        <v>232</v>
      </c>
      <c r="D116" s="198" t="inlineStr">
        <is>
          <t>H.M.R. Acapulco</t>
        </is>
      </c>
      <c r="E116" s="196" t="inlineStr">
        <is>
          <t>GUERRERO</t>
        </is>
      </c>
      <c r="F116" s="198" t="inlineStr">
        <is>
          <t>IX Región Militar (Guerrero)</t>
        </is>
      </c>
      <c r="G116" s="198" t="inlineStr">
        <is>
          <t>Digitalizador de placas radiográficas, marca Fujifilm, modelo CR-IR359</t>
        </is>
      </c>
      <c r="H116" s="196" t="inlineStr">
        <is>
          <t>46270262</t>
        </is>
      </c>
      <c r="I116" s="196" t="inlineStr">
        <is>
          <t>IMAGEN</t>
        </is>
      </c>
      <c r="J116" s="197" t="n">
        <v>1</v>
      </c>
      <c r="K116" s="197" t="n">
        <v>2</v>
      </c>
      <c r="L116" s="323" t="inlineStr">
        <is>
          <t>Ing. Jose Jorge Olivares Velazquez</t>
        </is>
      </c>
      <c r="M116" s="197" t="inlineStr">
        <is>
          <t>20/10/2026</t>
        </is>
      </c>
    </row>
    <row r="117" ht="19.95" customHeight="1" s="227">
      <c r="A117" s="192" t="n">
        <v>113</v>
      </c>
      <c r="B117" s="193" t="inlineStr">
        <is>
          <t>BM-132</t>
        </is>
      </c>
      <c r="C117" s="193" t="n">
        <v>265</v>
      </c>
      <c r="D117" s="194" t="inlineStr">
        <is>
          <t>H.M.Z. Santa María Rayón</t>
        </is>
      </c>
      <c r="E117" s="192" t="inlineStr">
        <is>
          <t>EDO DE MEX</t>
        </is>
      </c>
      <c r="F117" s="194" t="inlineStr">
        <is>
          <t>I Región Militar (22/a. Zona Militar)</t>
        </is>
      </c>
      <c r="G117" s="194" t="inlineStr">
        <is>
          <t>Rayos X móvil, marca Listem, modelo MOBIX-1000</t>
        </is>
      </c>
      <c r="H117" s="192" t="inlineStr">
        <is>
          <t>10 0155</t>
        </is>
      </c>
      <c r="I117" s="192" t="inlineStr">
        <is>
          <t>IMAGEN</t>
        </is>
      </c>
      <c r="J117" s="193" t="n">
        <v>1</v>
      </c>
      <c r="K117" s="193" t="n">
        <v>2</v>
      </c>
      <c r="L117" s="324" t="inlineStr">
        <is>
          <t>Ing. Jose Paris Mendoza Cortes</t>
        </is>
      </c>
      <c r="M117" s="193" t="inlineStr">
        <is>
          <t>13/10/2026</t>
        </is>
      </c>
    </row>
    <row r="118" ht="19.95" customHeight="1" s="227">
      <c r="A118" s="196" t="n">
        <v>114</v>
      </c>
      <c r="B118" s="197" t="inlineStr">
        <is>
          <t>BM-083</t>
        </is>
      </c>
      <c r="C118" s="197" t="n">
        <v>268</v>
      </c>
      <c r="D118" s="198" t="inlineStr">
        <is>
          <t>H.M.Z. Ixcotel</t>
        </is>
      </c>
      <c r="E118" s="196" t="inlineStr">
        <is>
          <t>OAXACA</t>
        </is>
      </c>
      <c r="F118" s="198" t="inlineStr">
        <is>
          <t>VIII Región Militar (Oaxaca)</t>
        </is>
      </c>
      <c r="G118" s="198" t="inlineStr">
        <is>
          <t>Fotocoagulador láser , marca Meridian AG, modelo SLA-UNI</t>
        </is>
      </c>
      <c r="H118" s="196" t="inlineStr">
        <is>
          <t>0069</t>
        </is>
      </c>
      <c r="I118" s="196" t="inlineStr">
        <is>
          <t>OFTALMO</t>
        </is>
      </c>
      <c r="J118" s="197" t="n">
        <v>1</v>
      </c>
      <c r="K118" s="197" t="n">
        <v>2</v>
      </c>
      <c r="L118" s="321" t="inlineStr">
        <is>
          <t>Ing. Jose Romero Najera</t>
        </is>
      </c>
      <c r="M118" s="197" t="inlineStr">
        <is>
          <t>19/10/2026</t>
        </is>
      </c>
    </row>
    <row r="119" ht="19.95" customHeight="1" s="227">
      <c r="A119" s="192" t="n">
        <v>115</v>
      </c>
      <c r="B119" s="193" t="inlineStr">
        <is>
          <t>BM-084</t>
        </is>
      </c>
      <c r="C119" s="193" t="n">
        <v>273</v>
      </c>
      <c r="D119" s="194" t="inlineStr">
        <is>
          <t>H.M.Z. Ixcotel</t>
        </is>
      </c>
      <c r="E119" s="192" t="inlineStr">
        <is>
          <t>OAXACA</t>
        </is>
      </c>
      <c r="F119" s="194" t="inlineStr">
        <is>
          <t>VIII Región Militar (Oaxaca)</t>
        </is>
      </c>
      <c r="G119" s="194" t="inlineStr">
        <is>
          <t>Láser oftálmico, marca Alcon, modelo 3000LE</t>
        </is>
      </c>
      <c r="H119" s="192" t="inlineStr">
        <is>
          <t>5342LX</t>
        </is>
      </c>
      <c r="I119" s="192" t="inlineStr">
        <is>
          <t>OFTALMO</t>
        </is>
      </c>
      <c r="J119" s="193" t="n">
        <v>1</v>
      </c>
      <c r="K119" s="193" t="n">
        <v>2</v>
      </c>
      <c r="L119" s="321" t="inlineStr">
        <is>
          <t>Ing. Jose Romero Najera</t>
        </is>
      </c>
      <c r="M119" s="193" t="inlineStr">
        <is>
          <t>19/10/2026</t>
        </is>
      </c>
    </row>
    <row r="120" ht="19.95" customHeight="1" s="227">
      <c r="A120" s="196" t="n">
        <v>116</v>
      </c>
      <c r="B120" s="197" t="inlineStr">
        <is>
          <t>BM-085</t>
        </is>
      </c>
      <c r="C120" s="197" t="n">
        <v>283</v>
      </c>
      <c r="D120" s="198" t="inlineStr">
        <is>
          <t>H.M.E.O. Constituyentes</t>
        </is>
      </c>
      <c r="E120" s="196" t="inlineStr">
        <is>
          <t>CDMX</t>
        </is>
      </c>
      <c r="F120" s="198" t="inlineStr">
        <is>
          <t>I Región Militar (Valle de México)</t>
        </is>
      </c>
      <c r="G120" s="198" t="inlineStr">
        <is>
          <t>Láser excimer, marca Bausch &amp; Lomb, modelo Zyoptix XP</t>
        </is>
      </c>
      <c r="H120" s="196" t="inlineStr">
        <is>
          <t>2805</t>
        </is>
      </c>
      <c r="I120" s="196" t="inlineStr">
        <is>
          <t>OFTALMO</t>
        </is>
      </c>
      <c r="J120" s="197" t="n">
        <v>1</v>
      </c>
      <c r="K120" s="197" t="n">
        <v>2</v>
      </c>
      <c r="L120" s="322" t="inlineStr">
        <is>
          <t>Ing. Sophia López Ramírez</t>
        </is>
      </c>
      <c r="M120" s="197" t="inlineStr">
        <is>
          <t>23/10/2026</t>
        </is>
      </c>
    </row>
    <row r="121" ht="19.95" customHeight="1" s="227">
      <c r="A121" s="192" t="n">
        <v>117</v>
      </c>
      <c r="B121" s="193" t="inlineStr">
        <is>
          <t>BM-086</t>
        </is>
      </c>
      <c r="C121" s="193" t="n">
        <v>291</v>
      </c>
      <c r="D121" s="194" t="inlineStr">
        <is>
          <t>H.M.E.O. Constituyentes</t>
        </is>
      </c>
      <c r="E121" s="192" t="inlineStr">
        <is>
          <t>CDMX</t>
        </is>
      </c>
      <c r="F121" s="194" t="inlineStr">
        <is>
          <t>I Región Militar (Valle de México)</t>
        </is>
      </c>
      <c r="G121" s="194" t="inlineStr">
        <is>
          <t>Láser excimer, marca Bausch &amp; Lomb, modelo Zyoptix XP</t>
        </is>
      </c>
      <c r="H121" s="192" t="inlineStr">
        <is>
          <t>XL500322</t>
        </is>
      </c>
      <c r="I121" s="192" t="inlineStr">
        <is>
          <t>OFTALMO</t>
        </is>
      </c>
      <c r="J121" s="193" t="n">
        <v>1</v>
      </c>
      <c r="K121" s="193" t="n">
        <v>2</v>
      </c>
      <c r="L121" s="322" t="inlineStr">
        <is>
          <t>Ing. Sophia López Ramírez</t>
        </is>
      </c>
      <c r="M121" s="193" t="inlineStr">
        <is>
          <t>23/10/2026</t>
        </is>
      </c>
    </row>
    <row r="122" ht="19.95" customHeight="1" s="227">
      <c r="A122" s="196" t="n">
        <v>118</v>
      </c>
      <c r="B122" s="197" t="inlineStr">
        <is>
          <t>BM-087</t>
        </is>
      </c>
      <c r="C122" s="197" t="n">
        <v>292</v>
      </c>
      <c r="D122" s="198" t="inlineStr">
        <is>
          <t>H.M.E.O. Constituyentes</t>
        </is>
      </c>
      <c r="E122" s="196" t="inlineStr">
        <is>
          <t>CDMX</t>
        </is>
      </c>
      <c r="F122" s="198" t="inlineStr">
        <is>
          <t>I Región Militar (Valle de México)</t>
        </is>
      </c>
      <c r="G122" s="198" t="inlineStr">
        <is>
          <t>Microscopio especular, marca Konan, modelo CellChek XL NSP9900</t>
        </is>
      </c>
      <c r="H122" s="196" t="inlineStr">
        <is>
          <t>NPA-3-1816</t>
        </is>
      </c>
      <c r="I122" s="196" t="inlineStr">
        <is>
          <t>OFTALMO</t>
        </is>
      </c>
      <c r="J122" s="197" t="n">
        <v>1</v>
      </c>
      <c r="K122" s="197" t="n">
        <v>2</v>
      </c>
      <c r="L122" s="322" t="inlineStr">
        <is>
          <t>Ing. Sophia López Ramírez</t>
        </is>
      </c>
      <c r="M122" s="197" t="inlineStr">
        <is>
          <t>23/10/2026</t>
        </is>
      </c>
    </row>
    <row r="123" ht="19.95" customHeight="1" s="227">
      <c r="A123" s="192" t="n">
        <v>119</v>
      </c>
      <c r="B123" s="193" t="inlineStr">
        <is>
          <t>BM-088</t>
        </is>
      </c>
      <c r="C123" s="193" t="n">
        <v>298</v>
      </c>
      <c r="D123" s="194" t="inlineStr">
        <is>
          <t>H.M.Z. Chetumal</t>
        </is>
      </c>
      <c r="E123" s="192" t="inlineStr">
        <is>
          <t>QUINTANA ROO</t>
        </is>
      </c>
      <c r="F123" s="194" t="inlineStr">
        <is>
          <t>X Región Militar (34/a. Zona Militar)</t>
        </is>
      </c>
      <c r="G123" s="194" t="inlineStr">
        <is>
          <t>Sistema de digitalización de imágenes, marca Fujifilm, modelo Digitalizador: FCR Capsula XLII (CR-IR 359)</t>
        </is>
      </c>
      <c r="H123" s="192" t="inlineStr">
        <is>
          <t>46770608</t>
        </is>
      </c>
      <c r="I123" s="192" t="inlineStr">
        <is>
          <t>IMAGEN</t>
        </is>
      </c>
      <c r="J123" s="193" t="n">
        <v>1</v>
      </c>
      <c r="K123" s="193" t="n">
        <v>2</v>
      </c>
      <c r="L123" s="325" t="inlineStr">
        <is>
          <t>Ing. Fernando Javier Michel Euan</t>
        </is>
      </c>
      <c r="M123" s="193" t="inlineStr">
        <is>
          <t>20/10/2026</t>
        </is>
      </c>
      <c r="N123" t="inlineStr">
        <is>
          <t>SEMANA 2 (FORÁNEO)</t>
        </is>
      </c>
    </row>
    <row r="124" ht="19.95" customHeight="1" s="227">
      <c r="A124" s="196" t="n">
        <v>120</v>
      </c>
      <c r="B124" s="197" t="inlineStr">
        <is>
          <t>BM-133</t>
        </is>
      </c>
      <c r="C124" s="197" t="n">
        <v>301</v>
      </c>
      <c r="D124" s="198" t="inlineStr">
        <is>
          <t>Subcentro de Evaluación Médica, Campo Militar 1-A</t>
        </is>
      </c>
      <c r="E124" s="196" t="inlineStr">
        <is>
          <t>CDMX</t>
        </is>
      </c>
      <c r="F124" s="198" t="inlineStr">
        <is>
          <t>I Región Militar (Valle de México)</t>
        </is>
      </c>
      <c r="G124" s="198" t="inlineStr">
        <is>
          <t>Rayos X fijo, marca Osko, modelo XR5</t>
        </is>
      </c>
      <c r="H124" s="196" t="inlineStr">
        <is>
          <t>XRC1094990MX</t>
        </is>
      </c>
      <c r="I124" s="196" t="inlineStr">
        <is>
          <t>IMAGEN</t>
        </is>
      </c>
      <c r="J124" s="197" t="n">
        <v>1</v>
      </c>
      <c r="K124" s="197" t="n">
        <v>2</v>
      </c>
      <c r="L124" s="207" t="inlineStr">
        <is>
          <t>Ing. Axel Evangelista Salinas</t>
        </is>
      </c>
      <c r="M124" s="197" t="inlineStr">
        <is>
          <t>16/10/2026</t>
        </is>
      </c>
    </row>
    <row r="125" ht="19.95" customHeight="1" s="227">
      <c r="A125" s="192" t="n">
        <v>121</v>
      </c>
      <c r="B125" s="193" t="inlineStr">
        <is>
          <t>BM-134</t>
        </is>
      </c>
      <c r="C125" s="193" t="n">
        <v>302</v>
      </c>
      <c r="D125" s="194" t="inlineStr">
        <is>
          <t>Subcentro de Evaluación Médica, Campo Militar 1-A</t>
        </is>
      </c>
      <c r="E125" s="192" t="inlineStr">
        <is>
          <t>CDMX</t>
        </is>
      </c>
      <c r="F125" s="194" t="inlineStr">
        <is>
          <t>I Región Militar (Valle de México)</t>
        </is>
      </c>
      <c r="G125" s="194" t="inlineStr">
        <is>
          <t>Rayos X fijo, marca Osko, modelo XR5</t>
        </is>
      </c>
      <c r="H125" s="192" t="inlineStr">
        <is>
          <t>XRC1095095MX</t>
        </is>
      </c>
      <c r="I125" s="192" t="inlineStr">
        <is>
          <t>IMAGEN</t>
        </is>
      </c>
      <c r="J125" s="193" t="n">
        <v>1</v>
      </c>
      <c r="K125" s="193" t="n">
        <v>2</v>
      </c>
      <c r="L125" s="207" t="inlineStr">
        <is>
          <t>Ing. Axel Evangelista Salinas</t>
        </is>
      </c>
      <c r="M125" s="193" t="inlineStr">
        <is>
          <t>16/10/2026</t>
        </is>
      </c>
    </row>
    <row r="126" ht="19.95" customHeight="1" s="227">
      <c r="A126" s="196" t="n">
        <v>122</v>
      </c>
      <c r="B126" s="197" t="inlineStr">
        <is>
          <t>BM-135</t>
        </is>
      </c>
      <c r="C126" s="197" t="n">
        <v>303</v>
      </c>
      <c r="D126" s="198" t="inlineStr">
        <is>
          <t>Subcentro de Evaluación Médica, Campo Militar 1-A</t>
        </is>
      </c>
      <c r="E126" s="196" t="inlineStr">
        <is>
          <t>CDMX</t>
        </is>
      </c>
      <c r="F126" s="198" t="inlineStr">
        <is>
          <t>I Región Militar (Valle de México)</t>
        </is>
      </c>
      <c r="G126" s="198" t="inlineStr">
        <is>
          <t>Rayos X fijo, marca Osko, modelo XR5</t>
        </is>
      </c>
      <c r="H126" s="196" t="inlineStr">
        <is>
          <t>XRC1094988MX</t>
        </is>
      </c>
      <c r="I126" s="196" t="inlineStr">
        <is>
          <t>IMAGEN</t>
        </is>
      </c>
      <c r="J126" s="197" t="n">
        <v>1</v>
      </c>
      <c r="K126" s="197" t="n">
        <v>2</v>
      </c>
      <c r="L126" s="207" t="inlineStr">
        <is>
          <t>Ing. Axel Evangelista Salinas</t>
        </is>
      </c>
      <c r="M126" s="197" t="inlineStr">
        <is>
          <t>16/10/2026</t>
        </is>
      </c>
    </row>
    <row r="127" ht="19.95" customHeight="1" s="227">
      <c r="A127" s="192" t="n">
        <v>123</v>
      </c>
      <c r="B127" s="193" t="inlineStr">
        <is>
          <t>BM-089</t>
        </is>
      </c>
      <c r="C127" s="193" t="n">
        <v>304</v>
      </c>
      <c r="D127" s="194" t="inlineStr">
        <is>
          <t>Subcentro de Evaluación Médica, Campo Militar 1-A</t>
        </is>
      </c>
      <c r="E127" s="192" t="inlineStr">
        <is>
          <t>CDMX</t>
        </is>
      </c>
      <c r="F127" s="194" t="inlineStr">
        <is>
          <t>I Región Militar (Valle de México)</t>
        </is>
      </c>
      <c r="G127" s="194" t="inlineStr">
        <is>
          <t>Impresora para placas radiográficas, marca Fujifilm, modelo Drypix 8000</t>
        </is>
      </c>
      <c r="H127" s="192" t="inlineStr">
        <is>
          <t>17130510</t>
        </is>
      </c>
      <c r="I127" s="192" t="inlineStr">
        <is>
          <t>IMAGEN</t>
        </is>
      </c>
      <c r="J127" s="193" t="n">
        <v>1</v>
      </c>
      <c r="K127" s="193" t="n">
        <v>2</v>
      </c>
      <c r="L127" s="207" t="inlineStr">
        <is>
          <t>Ing. Axel Evangelista Salinas</t>
        </is>
      </c>
      <c r="M127" s="193" t="inlineStr">
        <is>
          <t>16/10/2026</t>
        </is>
      </c>
    </row>
    <row r="128" ht="19.95" customHeight="1" s="227">
      <c r="A128" s="196" t="n">
        <v>124</v>
      </c>
      <c r="B128" s="197" t="inlineStr">
        <is>
          <t>BM-090</t>
        </is>
      </c>
      <c r="C128" s="197" t="n">
        <v>305</v>
      </c>
      <c r="D128" s="198" t="inlineStr">
        <is>
          <t>Subcentro de Evaluación Médica, Campo Militar 1-A</t>
        </is>
      </c>
      <c r="E128" s="196" t="inlineStr">
        <is>
          <t>CDMX</t>
        </is>
      </c>
      <c r="F128" s="198" t="inlineStr">
        <is>
          <t>I Región Militar (Valle de México)</t>
        </is>
      </c>
      <c r="G128" s="198" t="inlineStr">
        <is>
          <t>Impresora para placas radiográficas, marca Fujifilm, modelo Drypix 8000</t>
        </is>
      </c>
      <c r="H128" s="196" t="inlineStr">
        <is>
          <t>17130513</t>
        </is>
      </c>
      <c r="I128" s="196" t="inlineStr">
        <is>
          <t>IMAGEN</t>
        </is>
      </c>
      <c r="J128" s="197" t="n">
        <v>1</v>
      </c>
      <c r="K128" s="197" t="n">
        <v>2</v>
      </c>
      <c r="L128" s="207" t="inlineStr">
        <is>
          <t>Ing. Axel Evangelista Salinas</t>
        </is>
      </c>
      <c r="M128" s="197" t="inlineStr">
        <is>
          <t>16/10/2026</t>
        </is>
      </c>
    </row>
    <row r="129" ht="19.95" customHeight="1" s="227">
      <c r="A129" s="192" t="n">
        <v>125</v>
      </c>
      <c r="B129" s="193" t="inlineStr">
        <is>
          <t>BM-091</t>
        </is>
      </c>
      <c r="C129" s="193" t="n">
        <v>306</v>
      </c>
      <c r="D129" s="194" t="inlineStr">
        <is>
          <t>Subcentro de Evaluación Médica, Campo Militar 1-A</t>
        </is>
      </c>
      <c r="E129" s="192" t="inlineStr">
        <is>
          <t>CDMX</t>
        </is>
      </c>
      <c r="F129" s="194" t="inlineStr">
        <is>
          <t>I Región Militar (Valle de México)</t>
        </is>
      </c>
      <c r="G129" s="194" t="inlineStr">
        <is>
          <t>Impresora para placas radiográficas, marca Fujifilm, modelo Drypix 8000</t>
        </is>
      </c>
      <c r="H129" s="192" t="inlineStr">
        <is>
          <t>17130554</t>
        </is>
      </c>
      <c r="I129" s="192" t="inlineStr">
        <is>
          <t>IMAGEN</t>
        </is>
      </c>
      <c r="J129" s="193" t="n">
        <v>1</v>
      </c>
      <c r="K129" s="193" t="n">
        <v>2</v>
      </c>
      <c r="L129" s="207" t="inlineStr">
        <is>
          <t>Ing. Axel Evangelista Salinas</t>
        </is>
      </c>
      <c r="M129" s="193" t="inlineStr">
        <is>
          <t>16/10/2026</t>
        </is>
      </c>
    </row>
    <row r="130" ht="19.95" customHeight="1" s="227">
      <c r="A130" s="196" t="n">
        <v>126</v>
      </c>
      <c r="B130" s="197" t="inlineStr">
        <is>
          <t>BM-092</t>
        </is>
      </c>
      <c r="C130" s="197" t="n">
        <v>307</v>
      </c>
      <c r="D130" s="198" t="inlineStr">
        <is>
          <t>Subcentro de Evaluación Médica, Campo Militar 1-A</t>
        </is>
      </c>
      <c r="E130" s="196" t="inlineStr">
        <is>
          <t>CDMX</t>
        </is>
      </c>
      <c r="F130" s="198" t="inlineStr">
        <is>
          <t>I Región Militar (Valle de México)</t>
        </is>
      </c>
      <c r="G130" s="198" t="inlineStr">
        <is>
          <t>Cámara de Scheimpflug, marca Oculus, modelo Pentacam HR</t>
        </is>
      </c>
      <c r="H130" s="196" t="inlineStr">
        <is>
          <t>70900 2455 1210</t>
        </is>
      </c>
      <c r="I130" s="196" t="inlineStr">
        <is>
          <t>OFTALMO</t>
        </is>
      </c>
      <c r="J130" s="197" t="n">
        <v>1</v>
      </c>
      <c r="K130" s="197" t="n">
        <v>2</v>
      </c>
      <c r="L130" s="207" t="inlineStr">
        <is>
          <t>Ing. Axel Evangelista Salinas</t>
        </is>
      </c>
      <c r="M130" s="197" t="inlineStr">
        <is>
          <t>16/10/2026</t>
        </is>
      </c>
    </row>
    <row r="131" ht="19.95" customHeight="1" s="227">
      <c r="A131" s="192" t="n">
        <v>127</v>
      </c>
      <c r="B131" s="193" t="inlineStr">
        <is>
          <t>BM-136</t>
        </is>
      </c>
      <c r="C131" s="193" t="n">
        <v>309</v>
      </c>
      <c r="D131" s="194" t="inlineStr">
        <is>
          <t>H.M.R. La Paz</t>
        </is>
      </c>
      <c r="E131" s="192" t="inlineStr">
        <is>
          <t>BAJA CALIFORNIA SUR</t>
        </is>
      </c>
      <c r="F131" s="194" t="inlineStr">
        <is>
          <t>II Región Militar (3/a. Zona Militar)</t>
        </is>
      </c>
      <c r="G131" s="194" t="inlineStr">
        <is>
          <t>Equipo de rayos X móvil, marca Technix, modelo TMS 320</t>
        </is>
      </c>
      <c r="H131" s="192" t="inlineStr">
        <is>
          <t>80-16-82-153</t>
        </is>
      </c>
      <c r="I131" s="192" t="inlineStr">
        <is>
          <t>IMAGEN</t>
        </is>
      </c>
      <c r="J131" s="193" t="n">
        <v>1</v>
      </c>
      <c r="K131" s="193" t="n">
        <v>2</v>
      </c>
      <c r="L131" s="326" t="inlineStr">
        <is>
          <t>Ing. Rogelio Ramos Centeno</t>
        </is>
      </c>
      <c r="M131" s="193" t="inlineStr">
        <is>
          <t>20/10/2026</t>
        </is>
      </c>
    </row>
    <row r="132" ht="19.95" customHeight="1" s="227">
      <c r="A132" s="196" t="n">
        <v>128</v>
      </c>
      <c r="B132" s="197" t="inlineStr">
        <is>
          <t>BM-093</t>
        </is>
      </c>
      <c r="C132" s="197" t="n">
        <v>310</v>
      </c>
      <c r="D132" s="198" t="inlineStr">
        <is>
          <t>H.M.R. La Paz</t>
        </is>
      </c>
      <c r="E132" s="196" t="inlineStr">
        <is>
          <t>BAJA CALIFORNIA SUR</t>
        </is>
      </c>
      <c r="F132" s="198" t="inlineStr">
        <is>
          <t>II Región Militar (3/a. Zona Militar)</t>
        </is>
      </c>
      <c r="G132" s="198" t="inlineStr">
        <is>
          <t>Fotocoagulador láser , marca Quantel Medical, modelo Supra Scan</t>
        </is>
      </c>
      <c r="H132" s="196" t="inlineStr">
        <is>
          <t>454</t>
        </is>
      </c>
      <c r="I132" s="196" t="inlineStr">
        <is>
          <t>OFTALMO</t>
        </is>
      </c>
      <c r="J132" s="197" t="n">
        <v>1</v>
      </c>
      <c r="K132" s="197" t="n">
        <v>2</v>
      </c>
      <c r="L132" s="326" t="inlineStr">
        <is>
          <t>Ing. Rogelio Ramos Centeno</t>
        </is>
      </c>
      <c r="M132" s="197" t="inlineStr">
        <is>
          <t>20/10/2026</t>
        </is>
      </c>
    </row>
    <row r="133" ht="19.95" customHeight="1" s="227">
      <c r="A133" s="192" t="n">
        <v>129</v>
      </c>
      <c r="B133" s="193" t="inlineStr">
        <is>
          <t>BM-137</t>
        </is>
      </c>
      <c r="C133" s="193" t="n">
        <v>313</v>
      </c>
      <c r="D133" s="194" t="inlineStr">
        <is>
          <t>H.M.R.E. Mazatlán</t>
        </is>
      </c>
      <c r="E133" s="192" t="inlineStr">
        <is>
          <t>SINALOA</t>
        </is>
      </c>
      <c r="F133" s="194" t="inlineStr">
        <is>
          <t>III Región Militar (Sinaloa)</t>
        </is>
      </c>
      <c r="G133" s="194" t="inlineStr">
        <is>
          <t>Rayos X móvil, marca Villa Sistemi Medicali, modelo Visitor T30 M-DR</t>
        </is>
      </c>
      <c r="H133" s="192" t="inlineStr">
        <is>
          <t>14-11-1038</t>
        </is>
      </c>
      <c r="I133" s="192" t="inlineStr">
        <is>
          <t>IMAGEN</t>
        </is>
      </c>
      <c r="J133" s="193" t="n">
        <v>1</v>
      </c>
      <c r="K133" s="193" t="n">
        <v>2</v>
      </c>
      <c r="L133" s="326" t="inlineStr">
        <is>
          <t>Ing. Rogelio Ramos Centeno</t>
        </is>
      </c>
      <c r="M133" s="193" t="inlineStr">
        <is>
          <t>19/10/2026</t>
        </is>
      </c>
    </row>
    <row r="134" ht="19.95" customHeight="1" s="227">
      <c r="A134" s="196" t="n">
        <v>130</v>
      </c>
      <c r="B134" s="197" t="inlineStr">
        <is>
          <t>BM-138</t>
        </is>
      </c>
      <c r="C134" s="197" t="n">
        <v>314</v>
      </c>
      <c r="D134" s="198" t="inlineStr">
        <is>
          <t>H.M.R. Puebla</t>
        </is>
      </c>
      <c r="E134" s="196" t="inlineStr">
        <is>
          <t>PUEBLA</t>
        </is>
      </c>
      <c r="F134" s="198" t="inlineStr">
        <is>
          <t>VI Región Militar (25/a. Zona Militar)</t>
        </is>
      </c>
      <c r="G134" s="198" t="inlineStr">
        <is>
          <t>Equipo de rayos X móvil, marca Technix, modelo TMS 320</t>
        </is>
      </c>
      <c r="H134" s="196" t="inlineStr">
        <is>
          <t>80-16-101-172</t>
        </is>
      </c>
      <c r="I134" s="196" t="inlineStr">
        <is>
          <t>IMAGEN</t>
        </is>
      </c>
      <c r="J134" s="197" t="n">
        <v>1</v>
      </c>
      <c r="K134" s="197" t="n">
        <v>2</v>
      </c>
      <c r="L134" s="324" t="inlineStr">
        <is>
          <t>Ing. Jose Paris Mendoza Cortes</t>
        </is>
      </c>
      <c r="M134" s="197" t="inlineStr">
        <is>
          <t>16/10/2026</t>
        </is>
      </c>
    </row>
    <row r="135" ht="19.95" customHeight="1" s="227">
      <c r="A135" s="192" t="n">
        <v>131</v>
      </c>
      <c r="B135" s="193" t="inlineStr">
        <is>
          <t>BM-139</t>
        </is>
      </c>
      <c r="C135" s="193" t="n">
        <v>316</v>
      </c>
      <c r="D135" s="194" t="inlineStr">
        <is>
          <t>H.M.R. Puebla</t>
        </is>
      </c>
      <c r="E135" s="192" t="inlineStr">
        <is>
          <t>PUEBLA</t>
        </is>
      </c>
      <c r="F135" s="194" t="inlineStr">
        <is>
          <t>VI Región Militar (25/a. Zona Militar)</t>
        </is>
      </c>
      <c r="G135" s="194" t="inlineStr">
        <is>
          <t>Equipo de rayos X móvil, marca Mindray, modelo MobiEye 700</t>
        </is>
      </c>
      <c r="H135" s="192" t="inlineStr">
        <is>
          <t>C8-05002378T</t>
        </is>
      </c>
      <c r="I135" s="192" t="inlineStr">
        <is>
          <t>IMAGEN</t>
        </is>
      </c>
      <c r="J135" s="193" t="n">
        <v>1</v>
      </c>
      <c r="K135" s="193" t="n">
        <v>2</v>
      </c>
      <c r="L135" s="324" t="inlineStr">
        <is>
          <t>Ing. Jose Paris Mendoza Cortes</t>
        </is>
      </c>
      <c r="M135" s="193" t="inlineStr">
        <is>
          <t>16/10/2026</t>
        </is>
      </c>
    </row>
    <row r="136" ht="19.95" customHeight="1" s="227">
      <c r="A136" s="196" t="n">
        <v>132</v>
      </c>
      <c r="B136" s="197" t="inlineStr">
        <is>
          <t>BM-094</t>
        </is>
      </c>
      <c r="C136" s="197" t="n">
        <v>319</v>
      </c>
      <c r="D136" s="198" t="inlineStr">
        <is>
          <t>H.M.Z. Campo Militar No. 1-A</t>
        </is>
      </c>
      <c r="E136" s="196" t="inlineStr">
        <is>
          <t>CDMX</t>
        </is>
      </c>
      <c r="F136" s="198" t="inlineStr">
        <is>
          <t>I Región Militar (Naucalpan)</t>
        </is>
      </c>
      <c r="G136" s="198" t="inlineStr">
        <is>
          <t>Arco en C, marca Ziehm Imaging, modelo Vision R</t>
        </is>
      </c>
      <c r="H136" s="196" t="inlineStr">
        <is>
          <t>10705</t>
        </is>
      </c>
      <c r="I136" s="196" t="inlineStr">
        <is>
          <t>IMAGEN</t>
        </is>
      </c>
      <c r="J136" s="197" t="n">
        <v>1</v>
      </c>
      <c r="K136" s="197" t="n">
        <v>2</v>
      </c>
      <c r="L136" s="207" t="inlineStr">
        <is>
          <t>Ing. Axel Evangelista Salinas</t>
        </is>
      </c>
      <c r="M136" s="197" t="inlineStr">
        <is>
          <t>15/10/2026</t>
        </is>
      </c>
    </row>
    <row r="137" ht="19.95" customHeight="1" s="227">
      <c r="A137" s="192" t="n">
        <v>133</v>
      </c>
      <c r="B137" s="193" t="inlineStr">
        <is>
          <t>BM-095</t>
        </is>
      </c>
      <c r="C137" s="193" t="n">
        <v>321</v>
      </c>
      <c r="D137" s="194" t="inlineStr">
        <is>
          <t>H.M.Z. Zapopan</t>
        </is>
      </c>
      <c r="E137" s="192" t="inlineStr">
        <is>
          <t>JALISCO</t>
        </is>
      </c>
      <c r="F137" s="194" t="inlineStr">
        <is>
          <t>V Región Militar (Base Aérea Militar No. 5)</t>
        </is>
      </c>
      <c r="G137" s="194" t="inlineStr">
        <is>
          <t>Microscopio quirúrgico oftalmológico, marca Leica, modelo M822 F40</t>
        </is>
      </c>
      <c r="H137" s="192" t="inlineStr">
        <is>
          <t>160219002</t>
        </is>
      </c>
      <c r="I137" s="192" t="inlineStr">
        <is>
          <t>OFTALMO</t>
        </is>
      </c>
      <c r="J137" s="193" t="n">
        <v>1</v>
      </c>
      <c r="K137" s="193" t="n">
        <v>2</v>
      </c>
      <c r="L137" s="326" t="inlineStr">
        <is>
          <t>Ing. Rogelio Ramos Centeno</t>
        </is>
      </c>
      <c r="M137" s="193" t="inlineStr">
        <is>
          <t>14/10/2026</t>
        </is>
      </c>
      <c r="N137" t="inlineStr">
        <is>
          <t>SEMANA 1 (LOCAL/LEICA)</t>
        </is>
      </c>
    </row>
    <row r="138" ht="19.95" customHeight="1" s="227">
      <c r="A138" s="196" t="n">
        <v>134</v>
      </c>
      <c r="B138" s="197" t="inlineStr">
        <is>
          <t>BM-140</t>
        </is>
      </c>
      <c r="C138" s="197" t="n">
        <v>335</v>
      </c>
      <c r="D138" s="198" t="inlineStr">
        <is>
          <t>H.M.E.M. Y N. Lomas de Sotelo</t>
        </is>
      </c>
      <c r="E138" s="196" t="inlineStr">
        <is>
          <t>CDMX</t>
        </is>
      </c>
      <c r="F138" s="198" t="inlineStr">
        <is>
          <t>I Región Militar (Complejo Sotelo)</t>
        </is>
      </c>
      <c r="G138" s="198" t="inlineStr">
        <is>
          <t>Rayos X móvil, marca Philips, modelo MobileDiagnost wDR Release 2</t>
        </is>
      </c>
      <c r="H138" s="196" t="inlineStr">
        <is>
          <t>15100252</t>
        </is>
      </c>
      <c r="I138" s="196" t="inlineStr">
        <is>
          <t>IMAGEN</t>
        </is>
      </c>
      <c r="J138" s="197" t="n">
        <v>1</v>
      </c>
      <c r="K138" s="197" t="n">
        <v>2</v>
      </c>
      <c r="L138" s="207" t="inlineStr">
        <is>
          <t>Ing. Axel Evangelista Salinas</t>
        </is>
      </c>
      <c r="M138" s="197" t="inlineStr">
        <is>
          <t>14/10/2026</t>
        </is>
      </c>
    </row>
    <row r="139" ht="19.95" customHeight="1" s="227">
      <c r="A139" s="192" t="n">
        <v>135</v>
      </c>
      <c r="B139" s="193" t="inlineStr">
        <is>
          <t>BM-141</t>
        </is>
      </c>
      <c r="C139" s="193" t="n">
        <v>336</v>
      </c>
      <c r="D139" s="194" t="inlineStr">
        <is>
          <t>H.M.R.E. Monterrey</t>
        </is>
      </c>
      <c r="E139" s="192" t="inlineStr">
        <is>
          <t>NUEVO LEON</t>
        </is>
      </c>
      <c r="F139" s="194" t="inlineStr">
        <is>
          <t>IV Región Militar (Noreste)</t>
        </is>
      </c>
      <c r="G139" s="194" t="inlineStr">
        <is>
          <t>Rayos X móvil, marca Philips, modelo MobileDiagnost wDR Release 2</t>
        </is>
      </c>
      <c r="H139" s="192" t="inlineStr">
        <is>
          <t>16200158</t>
        </is>
      </c>
      <c r="I139" s="192" t="inlineStr">
        <is>
          <t>IMAGEN</t>
        </is>
      </c>
      <c r="J139" s="193" t="n">
        <v>1</v>
      </c>
      <c r="K139" s="193" t="n">
        <v>2</v>
      </c>
      <c r="L139" s="207" t="inlineStr">
        <is>
          <t>Ing. Axel Evangelista Salinas</t>
        </is>
      </c>
      <c r="M139" s="193" t="inlineStr">
        <is>
          <t>22/10/2026</t>
        </is>
      </c>
    </row>
    <row r="140" ht="19.95" customHeight="1" s="227">
      <c r="A140" s="196" t="n">
        <v>136</v>
      </c>
      <c r="B140" s="197" t="inlineStr">
        <is>
          <t>BM-096</t>
        </is>
      </c>
      <c r="C140" s="197" t="n">
        <v>338</v>
      </c>
      <c r="D140" s="198" t="inlineStr">
        <is>
          <t>H.M.E.O. Constituyentes</t>
        </is>
      </c>
      <c r="E140" s="196" t="inlineStr">
        <is>
          <t>CDMX</t>
        </is>
      </c>
      <c r="F140" s="198" t="inlineStr">
        <is>
          <t>I Región Militar (Valle de México)</t>
        </is>
      </c>
      <c r="G140" s="198" t="inlineStr">
        <is>
          <t>Láser de femtosegundo, marca Alcon, modelo LenSx</t>
        </is>
      </c>
      <c r="H140" s="196" t="inlineStr">
        <is>
          <t>2102004501X</t>
        </is>
      </c>
      <c r="I140" s="196" t="inlineStr">
        <is>
          <t>OFTALMO</t>
        </is>
      </c>
      <c r="J140" s="197" t="n">
        <v>1</v>
      </c>
      <c r="K140" s="197" t="n">
        <v>2</v>
      </c>
      <c r="L140" s="322" t="inlineStr">
        <is>
          <t>Ing. Sophia López Ramírez</t>
        </is>
      </c>
      <c r="M140" s="197" t="inlineStr">
        <is>
          <t>23/10/2026</t>
        </is>
      </c>
    </row>
    <row r="141" ht="19.95" customHeight="1" s="227">
      <c r="A141" s="192" t="n">
        <v>137</v>
      </c>
      <c r="B141" s="193" t="inlineStr">
        <is>
          <t>BM-097</t>
        </is>
      </c>
      <c r="C141" s="193" t="n">
        <v>351</v>
      </c>
      <c r="D141" s="194" t="inlineStr">
        <is>
          <t>H.M.E.O. Constituyentes</t>
        </is>
      </c>
      <c r="E141" s="192" t="inlineStr">
        <is>
          <t>CDMX</t>
        </is>
      </c>
      <c r="F141" s="194" t="inlineStr">
        <is>
          <t>I Región Militar (Valle de México)</t>
        </is>
      </c>
      <c r="G141" s="194" t="inlineStr">
        <is>
          <t>Sistema de diagnóstico oftálmico avanzado, marca Nidek, modelo OPD-Scan III</t>
        </is>
      </c>
      <c r="H141" s="192" t="inlineStr">
        <is>
          <t>470023</t>
        </is>
      </c>
      <c r="I141" s="192" t="inlineStr">
        <is>
          <t>OFTALMO</t>
        </is>
      </c>
      <c r="J141" s="193" t="n">
        <v>1</v>
      </c>
      <c r="K141" s="193" t="n">
        <v>2</v>
      </c>
      <c r="L141" s="322" t="inlineStr">
        <is>
          <t>Ing. Sophia López Ramírez</t>
        </is>
      </c>
      <c r="M141" s="193" t="inlineStr">
        <is>
          <t>23/10/2026</t>
        </is>
      </c>
    </row>
    <row r="142" ht="19.95" customHeight="1" s="227">
      <c r="A142" s="196" t="n">
        <v>138</v>
      </c>
      <c r="B142" s="197" t="inlineStr">
        <is>
          <t>BM-142</t>
        </is>
      </c>
      <c r="C142" s="197" t="n">
        <v>353</v>
      </c>
      <c r="D142" s="198" t="inlineStr">
        <is>
          <t>U.M.C.E. Tlalpan</t>
        </is>
      </c>
      <c r="E142" s="196" t="inlineStr">
        <is>
          <t>CDMX</t>
        </is>
      </c>
      <c r="F142" s="198" t="inlineStr">
        <is>
          <t>I Región Militar (Heroico Colegio Militar)</t>
        </is>
      </c>
      <c r="G142" s="198" t="inlineStr">
        <is>
          <t>Rayos X portátil, marca Carestream, modelo DRX Revolution</t>
        </is>
      </c>
      <c r="H142" s="196" t="inlineStr">
        <is>
          <t>21F0363</t>
        </is>
      </c>
      <c r="I142" s="196" t="inlineStr">
        <is>
          <t>IMAGEN</t>
        </is>
      </c>
      <c r="J142" s="197" t="n">
        <v>1</v>
      </c>
      <c r="K142" s="197" t="n">
        <v>2</v>
      </c>
      <c r="L142" s="324" t="inlineStr">
        <is>
          <t>Ing. Jose Paris Mendoza Cortes</t>
        </is>
      </c>
      <c r="M142" s="197" t="inlineStr">
        <is>
          <t>15/10/2026</t>
        </is>
      </c>
    </row>
    <row r="143" ht="19.95" customHeight="1" s="227">
      <c r="A143" s="192" t="n">
        <v>139</v>
      </c>
      <c r="B143" s="193" t="inlineStr">
        <is>
          <t>BM-098</t>
        </is>
      </c>
      <c r="C143" s="193" t="n">
        <v>357</v>
      </c>
      <c r="D143" s="194" t="inlineStr">
        <is>
          <t>H.M.R.E. Monterrey</t>
        </is>
      </c>
      <c r="E143" s="192" t="inlineStr">
        <is>
          <t>NUEVO LEON</t>
        </is>
      </c>
      <c r="F143" s="194" t="inlineStr">
        <is>
          <t>IV Región Militar (Noreste)</t>
        </is>
      </c>
      <c r="G143" s="194" t="inlineStr">
        <is>
          <t>Topógrafo corneal, marca Zeiss, modelo Atlas 9000</t>
        </is>
      </c>
      <c r="H143" s="192" t="inlineStr">
        <is>
          <t>9000-2972</t>
        </is>
      </c>
      <c r="I143" s="192" t="inlineStr">
        <is>
          <t>OFTALMO</t>
        </is>
      </c>
      <c r="J143" s="193" t="n">
        <v>1</v>
      </c>
      <c r="K143" s="193" t="n">
        <v>2</v>
      </c>
      <c r="L143" s="207" t="inlineStr">
        <is>
          <t>Ing. Axel Evangelista Salinas</t>
        </is>
      </c>
      <c r="M143" s="193" t="inlineStr">
        <is>
          <t>22/10/2026</t>
        </is>
      </c>
    </row>
    <row r="144" ht="19.95" customHeight="1" s="227">
      <c r="A144" s="196" t="n">
        <v>140</v>
      </c>
      <c r="B144" s="197" t="inlineStr">
        <is>
          <t>BM-099</t>
        </is>
      </c>
      <c r="C144" s="197" t="n">
        <v>358</v>
      </c>
      <c r="D144" s="198" t="inlineStr">
        <is>
          <t>H.M.R.E. Guadalajara</t>
        </is>
      </c>
      <c r="E144" s="196" t="inlineStr">
        <is>
          <t>JALISCO</t>
        </is>
      </c>
      <c r="F144" s="198" t="inlineStr">
        <is>
          <t>V Región Militar (Occidente)</t>
        </is>
      </c>
      <c r="G144" s="198" t="inlineStr">
        <is>
          <t>Microscopio, marca Carl Zeiss, modelo OPMI Visu 160</t>
        </is>
      </c>
      <c r="H144" s="196" t="inlineStr">
        <is>
          <t>6213404030</t>
        </is>
      </c>
      <c r="I144" s="196" t="inlineStr">
        <is>
          <t>OFTALMO</t>
        </is>
      </c>
      <c r="J144" s="197" t="n">
        <v>1</v>
      </c>
      <c r="K144" s="197" t="n">
        <v>2</v>
      </c>
      <c r="L144" s="326" t="inlineStr">
        <is>
          <t>Ing. Rogelio Ramos Centeno</t>
        </is>
      </c>
      <c r="M144" s="197" t="inlineStr">
        <is>
          <t>16/10/2026</t>
        </is>
      </c>
    </row>
    <row r="145" ht="19.95" customHeight="1" s="227">
      <c r="A145" s="192" t="n">
        <v>141</v>
      </c>
      <c r="B145" s="193" t="inlineStr">
        <is>
          <t>BM-100</t>
        </is>
      </c>
      <c r="C145" s="193" t="n">
        <v>363</v>
      </c>
      <c r="D145" s="194" t="inlineStr">
        <is>
          <t>H.M.Z. Villahermosa</t>
        </is>
      </c>
      <c r="E145" s="192" t="inlineStr">
        <is>
          <t>TABASCO</t>
        </is>
      </c>
      <c r="F145" s="194" t="inlineStr">
        <is>
          <t>VII Región Militar (Tabasco)</t>
        </is>
      </c>
      <c r="G145" s="194" t="inlineStr">
        <is>
          <t>Campímetro, marca Carl Zeiss Meditec, modelo Humphrey 740I</t>
        </is>
      </c>
      <c r="H145" s="192" t="inlineStr">
        <is>
          <t>740I-14200</t>
        </is>
      </c>
      <c r="I145" s="192" t="inlineStr">
        <is>
          <t>OFTALMO</t>
        </is>
      </c>
      <c r="J145" s="193" t="n">
        <v>1</v>
      </c>
      <c r="K145" s="193" t="n">
        <v>2</v>
      </c>
      <c r="L145" s="325" t="inlineStr">
        <is>
          <t>Ing. Fernando Javier Michel Euan</t>
        </is>
      </c>
      <c r="M145" s="193" t="inlineStr">
        <is>
          <t>21/10/2026</t>
        </is>
      </c>
      <c r="N145" t="inlineStr">
        <is>
          <t>SEMANA 2 (FORÁNEO)</t>
        </is>
      </c>
    </row>
    <row r="146" ht="19.95" customHeight="1" s="227">
      <c r="A146" s="196" t="n">
        <v>142</v>
      </c>
      <c r="B146" s="197" t="inlineStr">
        <is>
          <t>BM-101</t>
        </is>
      </c>
      <c r="C146" s="197" t="n">
        <v>367</v>
      </c>
      <c r="D146" s="198" t="inlineStr">
        <is>
          <t>H.M.Z. Santa Gertrudis</t>
        </is>
      </c>
      <c r="E146" s="196" t="inlineStr">
        <is>
          <t>CHIHUAHUA</t>
        </is>
      </c>
      <c r="F146" s="198" t="inlineStr">
        <is>
          <t>XI Región Militar (Campo Militar 42-A)</t>
        </is>
      </c>
      <c r="G146" s="198" t="inlineStr">
        <is>
          <t>Equipo de rayos X móvil, marca Primax, modelo Raybow dR</t>
        </is>
      </c>
      <c r="H146" s="196" t="inlineStr">
        <is>
          <t>10076715</t>
        </is>
      </c>
      <c r="I146" s="196" t="inlineStr">
        <is>
          <t>IMAGEN</t>
        </is>
      </c>
      <c r="J146" s="197" t="n">
        <v>1</v>
      </c>
      <c r="K146" s="197" t="n">
        <v>2</v>
      </c>
      <c r="L146" s="323" t="inlineStr">
        <is>
          <t>Ing. Jose Jorge Olivares Velazquez</t>
        </is>
      </c>
      <c r="M146" s="197" t="inlineStr">
        <is>
          <t>22/10/2026</t>
        </is>
      </c>
    </row>
    <row r="147" ht="19.95" customHeight="1" s="227">
      <c r="A147" s="192" t="n">
        <v>143</v>
      </c>
      <c r="B147" s="193" t="inlineStr">
        <is>
          <t>BM-143</t>
        </is>
      </c>
      <c r="C147" s="193" t="n">
        <v>369</v>
      </c>
      <c r="D147" s="194" t="inlineStr">
        <is>
          <t>U.M.C.E. Reynosa</t>
        </is>
      </c>
      <c r="E147" s="192" t="inlineStr">
        <is>
          <t>TAMAULIPAS</t>
        </is>
      </c>
      <c r="F147" s="194" t="inlineStr">
        <is>
          <t>IV Región Militar (8/a. Zona Militar)</t>
        </is>
      </c>
      <c r="G147" s="194" t="inlineStr">
        <is>
          <t>Equipo de rayos X móvil, marca Primax, modelo Raybow dR</t>
        </is>
      </c>
      <c r="H147" s="192" t="inlineStr">
        <is>
          <t>10116715</t>
        </is>
      </c>
      <c r="I147" s="192" t="inlineStr">
        <is>
          <t>IMAGEN</t>
        </is>
      </c>
      <c r="J147" s="193" t="n">
        <v>1</v>
      </c>
      <c r="K147" s="193" t="n">
        <v>2</v>
      </c>
      <c r="L147" s="207" t="inlineStr">
        <is>
          <t>Ing. Axel Evangelista Salinas</t>
        </is>
      </c>
      <c r="M147" s="193" t="inlineStr">
        <is>
          <t>23/10/2026</t>
        </is>
      </c>
    </row>
    <row r="148" ht="24" customHeight="1" s="227" thickBot="1">
      <c r="A148" s="223" t="inlineStr">
        <is>
          <t>TOTAL DE EQUIPOS PROGRAMADOS (143 EQUIPOS EN 37 HOSPITALES):</t>
        </is>
      </c>
      <c r="B148" s="224" t="n"/>
      <c r="C148" s="224" t="n"/>
      <c r="D148" s="224" t="n"/>
      <c r="E148" s="224" t="n"/>
      <c r="F148" s="224" t="n"/>
      <c r="G148" s="224" t="n"/>
      <c r="H148" s="224" t="n"/>
      <c r="I148" s="225" t="n"/>
      <c r="J148" s="214">
        <f>SUM(J5:J147)</f>
        <v/>
      </c>
      <c r="K148" s="214">
        <f>SUM(K5:K147)</f>
        <v/>
      </c>
      <c r="L148" s="215" t="inlineStr">
        <is>
          <t>7 Ingenieros Asignados</t>
        </is>
      </c>
      <c r="M148" s="215" t="inlineStr">
        <is>
          <t>13 al 23 de Octubre</t>
        </is>
      </c>
    </row>
  </sheetData>
  <autoFilter ref="A4:M147"/>
  <mergeCells count="3">
    <mergeCell ref="A148:I148"/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90"/>
  <sheetViews>
    <sheetView view="pageBreakPreview" zoomScale="48" zoomScaleNormal="70" zoomScaleSheetLayoutView="90" workbookViewId="0">
      <selection activeCell="G121" sqref="G121"/>
    </sheetView>
  </sheetViews>
  <sheetFormatPr baseColWidth="10" defaultColWidth="11.44140625" defaultRowHeight="15.6"/>
  <cols>
    <col width="25.5546875" customWidth="1" style="267" min="1" max="1"/>
    <col width="9.44140625" customWidth="1" style="267" min="2" max="2"/>
    <col width="10.33203125" customWidth="1" style="267" min="3" max="3"/>
    <col width="14.88671875" customWidth="1" style="267" min="4" max="4"/>
    <col width="17.109375" customWidth="1" style="267" min="5" max="5"/>
    <col width="18" customWidth="1" style="267" min="6" max="6"/>
    <col width="63.33203125" customWidth="1" style="267" min="7" max="7"/>
    <col width="11.6640625" customWidth="1" style="267" min="8" max="8"/>
    <col width="6.5546875" customWidth="1" style="3" min="9" max="10"/>
    <col width="8.88671875" bestFit="1" customWidth="1" style="267" min="11" max="11"/>
    <col width="17.6640625" customWidth="1" style="277" min="12" max="13"/>
    <col width="18.109375" bestFit="1" customWidth="1" style="267" min="14" max="14"/>
    <col width="21.88671875" bestFit="1" customWidth="1" style="267" min="15" max="16"/>
    <col width="19.88671875" bestFit="1" customWidth="1" style="267" min="17" max="17"/>
    <col width="19.109375" bestFit="1" customWidth="1" style="267" min="18" max="18"/>
    <col width="19.88671875" bestFit="1" customWidth="1" style="267" min="19" max="19"/>
    <col width="32.44140625" customWidth="1" style="4" min="20" max="20"/>
    <col width="10.88671875" bestFit="1" customWidth="1" style="267" min="21" max="21"/>
    <col width="17" customWidth="1" style="267" min="22" max="22"/>
    <col width="23.109375" customWidth="1" style="267" min="23" max="23"/>
    <col width="18.5546875" bestFit="1" customWidth="1" style="64" min="24" max="24"/>
    <col width="11.44140625" customWidth="1" style="5" min="25" max="47"/>
    <col width="11.44140625" customWidth="1" style="5" min="48" max="16384"/>
  </cols>
  <sheetData>
    <row r="1">
      <c r="L1" s="267" t="n"/>
      <c r="M1" s="267" t="n"/>
    </row>
    <row r="2" ht="15.75" customHeight="1" s="227">
      <c r="A2" s="1" t="n"/>
      <c r="B2" s="1" t="n"/>
      <c r="L2" s="267" t="n"/>
      <c r="M2" s="267" t="n"/>
    </row>
    <row r="3" ht="15.75" customHeight="1" s="227">
      <c r="A3" s="1" t="n"/>
      <c r="B3" s="1" t="n"/>
      <c r="L3" s="267" t="n"/>
      <c r="M3" s="267" t="n"/>
    </row>
    <row r="4" ht="15.75" customHeight="1" s="227">
      <c r="A4" s="1" t="n"/>
      <c r="B4" s="1" t="n"/>
      <c r="G4" s="3" t="n"/>
      <c r="L4" s="267" t="n"/>
      <c r="M4" s="267" t="n"/>
    </row>
    <row r="5">
      <c r="A5" s="268" t="n"/>
      <c r="L5" s="267" t="n"/>
      <c r="M5" s="267" t="n"/>
    </row>
    <row r="6" ht="15.75" customHeight="1" s="227">
      <c r="L6" s="267" t="n"/>
      <c r="M6" s="267" t="n"/>
      <c r="Q6" s="5" t="n"/>
      <c r="T6" s="6" t="n"/>
    </row>
    <row r="7">
      <c r="L7" s="267" t="n"/>
      <c r="M7" s="267" t="n"/>
    </row>
    <row r="8" ht="33.75" customHeight="1" s="227">
      <c r="L8" s="267" t="n"/>
      <c r="M8" s="267" t="n"/>
      <c r="N8" s="266" t="inlineStr">
        <is>
          <t xml:space="preserve">COTIZACION
MEDICAL DIMEGAR S.A. DE C.V. </t>
        </is>
      </c>
    </row>
    <row r="9">
      <c r="L9" s="267" t="n"/>
      <c r="M9" s="267" t="n"/>
      <c r="R9" s="7" t="n">
        <v>0.16</v>
      </c>
    </row>
    <row r="10" ht="15.75" customFormat="1" customHeight="1" s="11">
      <c r="A10" s="8" t="n"/>
      <c r="B10" s="9" t="n"/>
      <c r="C10" s="9" t="n"/>
      <c r="D10" s="9" t="n"/>
      <c r="E10" s="9" t="n"/>
      <c r="F10" s="9" t="n"/>
      <c r="G10" s="9" t="n"/>
      <c r="H10" s="9" t="n"/>
      <c r="I10" s="10" t="n"/>
      <c r="J10" s="10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255" t="n"/>
      <c r="W10" s="256" t="n"/>
      <c r="X10" s="254" t="n"/>
    </row>
    <row r="11" ht="15.6" customFormat="1" customHeight="1" s="265">
      <c r="A11" s="264" t="inlineStr">
        <is>
          <t xml:space="preserve">Nombre del proyecto:  "Servicio de Mantenimiento Integral a Equipos Médicos de Diversas Marcas". </t>
        </is>
      </c>
    </row>
    <row r="12" ht="31.2" customFormat="1" customHeight="1" s="17">
      <c r="A12" s="258" t="inlineStr">
        <is>
          <t>Partida</t>
        </is>
      </c>
      <c r="B12" s="13" t="inlineStr">
        <is>
          <t>Estado</t>
        </is>
      </c>
      <c r="C12" s="13" t="inlineStr">
        <is>
          <t>BL</t>
        </is>
      </c>
      <c r="D12" s="13" t="inlineStr">
        <is>
          <t>Equipo</t>
        </is>
      </c>
      <c r="E12" s="13" t="inlineStr">
        <is>
          <t>N/S</t>
        </is>
      </c>
      <c r="F12" s="13" t="inlineStr">
        <is>
          <t>Unidad Médica</t>
        </is>
      </c>
      <c r="G12" s="257" t="inlineStr">
        <is>
          <t>Descripcion del servicio</t>
        </is>
      </c>
      <c r="H12" s="258" t="inlineStr">
        <is>
          <t>Unidad de medida</t>
        </is>
      </c>
      <c r="I12" s="257" t="inlineStr">
        <is>
          <t>Cantidad solicitada</t>
        </is>
      </c>
      <c r="J12" s="254" t="n"/>
      <c r="K12" s="13" t="inlineStr">
        <is>
          <t xml:space="preserve">País de origen </t>
        </is>
      </c>
      <c r="L12" s="262" t="inlineStr">
        <is>
          <t>P. Máximo</t>
        </is>
      </c>
      <c r="M12" s="263" t="inlineStr">
        <is>
          <t>costo</t>
        </is>
      </c>
      <c r="N12" s="13" t="inlineStr">
        <is>
          <t>Precio Unitario</t>
        </is>
      </c>
      <c r="O12" s="14" t="inlineStr">
        <is>
          <t>Precio unitario sin I.V.A.</t>
        </is>
      </c>
      <c r="P12" s="15" t="inlineStr">
        <is>
          <t>Precio unitario sin I.V.A.</t>
        </is>
      </c>
      <c r="Q12" s="13" t="inlineStr">
        <is>
          <t>Total sin I.V.A.</t>
        </is>
      </c>
      <c r="R12" s="13" t="inlineStr">
        <is>
          <t>I.V.A.</t>
        </is>
      </c>
      <c r="S12" s="13" t="inlineStr">
        <is>
          <t>Total con I.V.A.</t>
        </is>
      </c>
      <c r="T12" s="16" t="inlineStr">
        <is>
          <t>Observaciones</t>
        </is>
      </c>
      <c r="U12" s="13" t="inlineStr">
        <is>
          <t xml:space="preserve">Garantía </t>
        </is>
      </c>
      <c r="V12" s="14" t="inlineStr">
        <is>
          <t>Cumple la normatividad</t>
        </is>
      </c>
      <c r="W12" s="260" t="inlineStr">
        <is>
          <t>ESPECIALIDAD</t>
        </is>
      </c>
      <c r="X12" s="260" t="inlineStr">
        <is>
          <t>PROVEEDOR</t>
        </is>
      </c>
    </row>
    <row r="13" ht="25.5" customFormat="1" customHeight="1" s="26">
      <c r="A13" s="259" t="n"/>
      <c r="B13" s="18" t="n"/>
      <c r="C13" s="19" t="n"/>
      <c r="D13" s="20" t="n"/>
      <c r="E13" s="20" t="n"/>
      <c r="F13" s="20" t="n"/>
      <c r="G13" s="259" t="n"/>
      <c r="H13" s="259" t="n"/>
      <c r="I13" s="21" t="n">
        <v>2026</v>
      </c>
      <c r="J13" s="21" t="n">
        <v>2027</v>
      </c>
      <c r="K13" s="20" t="n"/>
      <c r="L13" s="259" t="n"/>
      <c r="M13" s="259" t="n"/>
      <c r="N13" s="19" t="n"/>
      <c r="O13" s="22" t="n">
        <v>2026</v>
      </c>
      <c r="P13" s="23" t="n">
        <v>2027</v>
      </c>
      <c r="Q13" s="19" t="n"/>
      <c r="R13" s="19" t="n"/>
      <c r="S13" s="19" t="n"/>
      <c r="T13" s="24" t="n"/>
      <c r="U13" s="20" t="n"/>
      <c r="V13" s="25" t="inlineStr">
        <is>
          <t>Si/No</t>
        </is>
      </c>
      <c r="W13" s="261" t="n"/>
      <c r="X13" s="261" t="n"/>
    </row>
    <row r="14" ht="124.95" customFormat="1" customHeight="1" s="29">
      <c r="A14" s="49" t="n">
        <v>6</v>
      </c>
      <c r="B14" s="68" t="inlineStr">
        <is>
          <t>CDMX</t>
        </is>
      </c>
      <c r="C14" s="27" t="inlineStr">
        <is>
          <t>XP SU</t>
        </is>
      </c>
      <c r="D14" s="69" t="inlineStr">
        <is>
          <t>Microscopio avanzado, marca Leica, modelo M320F12</t>
        </is>
      </c>
      <c r="E14" s="70" t="inlineStr">
        <is>
          <t>10724001</t>
        </is>
      </c>
      <c r="F14" s="71" t="inlineStr">
        <is>
          <t>H.C.M. Lomas de Sotelo</t>
        </is>
      </c>
      <c r="G14" s="50" t="inlineStr">
        <is>
          <t>Servicio de mantenimiento integral para: Microscopio avanzado, marca Leica, modelo M320F12, serie 10724001;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4" s="51" t="inlineStr">
        <is>
          <t>Servicio</t>
        </is>
      </c>
      <c r="I14" s="52" t="n">
        <v>1</v>
      </c>
      <c r="J14" s="53" t="n">
        <v>2</v>
      </c>
      <c r="K14" s="54" t="inlineStr">
        <is>
          <t>México</t>
        </is>
      </c>
      <c r="L14" s="290" t="n">
        <v>156725</v>
      </c>
      <c r="M14" s="291" t="n">
        <v>125000</v>
      </c>
      <c r="N14" s="292" t="n">
        <v>150000</v>
      </c>
      <c r="O14" s="292">
        <f>I14*N14</f>
        <v/>
      </c>
      <c r="P14" s="292">
        <f>J14*N14</f>
        <v/>
      </c>
      <c r="Q14" s="292">
        <f>SUM(O14:P14)</f>
        <v/>
      </c>
      <c r="R14" s="292">
        <f>Q14*$R$9</f>
        <v/>
      </c>
      <c r="S14" s="292">
        <f>SUM(Q14:R14)</f>
        <v/>
      </c>
      <c r="T14" s="56" t="inlineStr">
        <is>
          <t>Accesorios: No incluye
Consumibles: No incluye</t>
        </is>
      </c>
      <c r="U14" s="54" t="inlineStr">
        <is>
          <t>Durante la vigencia del contrato</t>
        </is>
      </c>
      <c r="V14" s="57" t="inlineStr">
        <is>
          <t>SI</t>
        </is>
      </c>
      <c r="W14" s="54" t="inlineStr">
        <is>
          <t>OFTALMO</t>
        </is>
      </c>
      <c r="X14" s="66" t="inlineStr">
        <is>
          <t>COINDISA</t>
        </is>
      </c>
    </row>
    <row r="15" ht="140.4" customFormat="1" customHeight="1" s="29">
      <c r="A15" s="49" t="n">
        <v>16</v>
      </c>
      <c r="B15" s="68" t="inlineStr">
        <is>
          <t>OAXACA</t>
        </is>
      </c>
      <c r="C15" s="27" t="inlineStr">
        <is>
          <t>RO</t>
        </is>
      </c>
      <c r="D15" s="72" t="inlineStr">
        <is>
          <t>Sistema de diagnóstico oftálmico avanzado, marca Heidelberg Engineering, modelo Anterion</t>
        </is>
      </c>
      <c r="E15" s="73" t="inlineStr">
        <is>
          <t>01827B0106</t>
        </is>
      </c>
      <c r="F15" s="72" t="inlineStr">
        <is>
          <t>H.M.Z. Ixcotel</t>
        </is>
      </c>
      <c r="G15" s="50" t="inlineStr">
        <is>
          <t>Servicio de mantenimiento integral para: Sistema de diagnóstico oftálmico avanzado, marca Heidelberg Engineering, modelo Anterion, serie 01827B0106;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5" s="51" t="inlineStr">
        <is>
          <t>Servicio</t>
        </is>
      </c>
      <c r="I15" s="52" t="n">
        <v>1</v>
      </c>
      <c r="J15" s="53" t="n">
        <v>2</v>
      </c>
      <c r="K15" s="54" t="inlineStr">
        <is>
          <t>México</t>
        </is>
      </c>
      <c r="L15" s="290" t="n">
        <v>182160</v>
      </c>
      <c r="M15" s="291" t="n">
        <v>110000</v>
      </c>
      <c r="N15" s="292" t="n">
        <v>180000</v>
      </c>
      <c r="O15" s="292">
        <f>I15*N15</f>
        <v/>
      </c>
      <c r="P15" s="292">
        <f>J15*N15</f>
        <v/>
      </c>
      <c r="Q15" s="292">
        <f>SUM(O15:P15)</f>
        <v/>
      </c>
      <c r="R15" s="292">
        <f>Q15*$R$9</f>
        <v/>
      </c>
      <c r="S15" s="292">
        <f>SUM(Q15:R15)</f>
        <v/>
      </c>
      <c r="T15" s="56" t="inlineStr">
        <is>
          <t>Accesorios: No incluye
Consumibles: No incluye</t>
        </is>
      </c>
      <c r="U15" s="54" t="inlineStr">
        <is>
          <t>Durante la vigencia del contrato</t>
        </is>
      </c>
      <c r="V15" s="57" t="inlineStr">
        <is>
          <t>SI</t>
        </is>
      </c>
      <c r="W15" s="54" t="inlineStr">
        <is>
          <t>OFTALMO</t>
        </is>
      </c>
      <c r="X15" s="66" t="inlineStr">
        <is>
          <t>ARFAMEX</t>
        </is>
      </c>
    </row>
    <row r="16" ht="140.4" customFormat="1" customHeight="1" s="29">
      <c r="A16" s="49" t="n">
        <v>17</v>
      </c>
      <c r="B16" s="68" t="inlineStr">
        <is>
          <t>OAXACA</t>
        </is>
      </c>
      <c r="C16" s="27" t="inlineStr">
        <is>
          <t>US</t>
        </is>
      </c>
      <c r="D16" s="69" t="inlineStr">
        <is>
          <t>Sistema de diagnóstico oftálmico avanzado, marca Heidelberg Engineering, modelo Spectralis</t>
        </is>
      </c>
      <c r="E16" s="70" t="inlineStr">
        <is>
          <t>SPEC-CAM-22694-S3610</t>
        </is>
      </c>
      <c r="F16" s="71" t="inlineStr">
        <is>
          <t>H.M.Z. Ixcotel</t>
        </is>
      </c>
      <c r="G16" s="50" t="inlineStr">
        <is>
          <t>Servicio de mantenimiento integral para: Sistema de diagnóstico oftálmico avanzado, marca Heidelberg Engineering, modelo Spectralis, serie SPEC-CAM-22694-S3610;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6" s="51" t="inlineStr">
        <is>
          <t>Servicio</t>
        </is>
      </c>
      <c r="I16" s="52" t="n">
        <v>1</v>
      </c>
      <c r="J16" s="53" t="n">
        <v>2</v>
      </c>
      <c r="K16" s="54" t="inlineStr">
        <is>
          <t>México</t>
        </is>
      </c>
      <c r="L16" s="290" t="n">
        <v>230215.52</v>
      </c>
      <c r="M16" s="291" t="n">
        <v>125000</v>
      </c>
      <c r="N16" s="292" t="n">
        <v>225000</v>
      </c>
      <c r="O16" s="292">
        <f>I16*N16</f>
        <v/>
      </c>
      <c r="P16" s="292">
        <f>J16*N16</f>
        <v/>
      </c>
      <c r="Q16" s="292">
        <f>SUM(O16:P16)</f>
        <v/>
      </c>
      <c r="R16" s="292">
        <f>Q16*$R$9</f>
        <v/>
      </c>
      <c r="S16" s="292">
        <f>SUM(Q16:R16)</f>
        <v/>
      </c>
      <c r="T16" s="56" t="inlineStr">
        <is>
          <t>Accesorios: No incluye
Consumibles: No incluye</t>
        </is>
      </c>
      <c r="U16" s="54" t="inlineStr">
        <is>
          <t>Durante la vigencia del contrato</t>
        </is>
      </c>
      <c r="V16" s="57" t="inlineStr">
        <is>
          <t>SI</t>
        </is>
      </c>
      <c r="W16" s="54" t="inlineStr">
        <is>
          <t>OFTALMO</t>
        </is>
      </c>
      <c r="X16" s="66" t="inlineStr">
        <is>
          <t>ARFAMEX</t>
        </is>
      </c>
    </row>
    <row r="17" ht="124.95" customFormat="1" customHeight="1" s="29">
      <c r="A17" s="49" t="n">
        <v>19</v>
      </c>
      <c r="B17" s="68" t="inlineStr">
        <is>
          <t>CDMX</t>
        </is>
      </c>
      <c r="C17" s="27" t="inlineStr">
        <is>
          <t>XP WH / D&amp;A</t>
        </is>
      </c>
      <c r="D17" s="72" t="inlineStr">
        <is>
          <t>Sistema de facoemulsificación, marca Alcon, modelo Centurion</t>
        </is>
      </c>
      <c r="E17" s="73" t="inlineStr">
        <is>
          <t>2201601801X</t>
        </is>
      </c>
      <c r="F17" s="72" t="inlineStr">
        <is>
          <t>H.M.E.O. Constituyentes</t>
        </is>
      </c>
      <c r="G17" s="50" t="inlineStr">
        <is>
          <t>Servicio de mantenimiento integral para: Sistema de facoemulsificación, marca Alcon, modelo Centurion, serie 2201601801X;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7" s="51" t="inlineStr">
        <is>
          <t>Servicio</t>
        </is>
      </c>
      <c r="I17" s="52" t="n">
        <v>1</v>
      </c>
      <c r="J17" s="53" t="n">
        <v>2</v>
      </c>
      <c r="K17" s="54" t="inlineStr">
        <is>
          <t>México</t>
        </is>
      </c>
      <c r="L17" s="290" t="n">
        <v>230215.52</v>
      </c>
      <c r="M17" s="291" t="n">
        <v>75000</v>
      </c>
      <c r="N17" s="292" t="n">
        <v>160000</v>
      </c>
      <c r="O17" s="292">
        <f>I17*N17</f>
        <v/>
      </c>
      <c r="P17" s="292">
        <f>J17*N17</f>
        <v/>
      </c>
      <c r="Q17" s="292">
        <f>SUM(O17:P17)</f>
        <v/>
      </c>
      <c r="R17" s="292">
        <f>Q17*$R$9</f>
        <v/>
      </c>
      <c r="S17" s="292">
        <f>SUM(Q17:R17)</f>
        <v/>
      </c>
      <c r="T17" s="56" t="inlineStr">
        <is>
          <t>Accesorios: No incluye
Consumibles: No incluye</t>
        </is>
      </c>
      <c r="U17" s="54" t="inlineStr">
        <is>
          <t>Durante la vigencia del contrato</t>
        </is>
      </c>
      <c r="V17" s="57" t="inlineStr">
        <is>
          <t>SI</t>
        </is>
      </c>
      <c r="W17" s="54" t="inlineStr">
        <is>
          <t>OFTALMO</t>
        </is>
      </c>
      <c r="X17" s="66" t="inlineStr">
        <is>
          <t>ALCON</t>
        </is>
      </c>
    </row>
    <row r="18" ht="124.95" customFormat="1" customHeight="1" s="29">
      <c r="A18" s="49" t="n">
        <v>20</v>
      </c>
      <c r="B18" s="68" t="inlineStr">
        <is>
          <t>CDMX</t>
        </is>
      </c>
      <c r="C18" s="27" t="inlineStr">
        <is>
          <t>XP SU</t>
        </is>
      </c>
      <c r="D18" s="72" t="inlineStr">
        <is>
          <t>Sistema de facoemulsificación, marca Alcon, modelo Centurion</t>
        </is>
      </c>
      <c r="E18" s="68" t="inlineStr">
        <is>
          <t>2201483301X</t>
        </is>
      </c>
      <c r="F18" s="69" t="inlineStr">
        <is>
          <t>H.M.E.O. Constituyentes</t>
        </is>
      </c>
      <c r="G18" s="50" t="inlineStr">
        <is>
          <t>Servicio de mantenimiento integral para: Sistema de facoemulsificación, marca Alcon, modelo Centurion, serie 2201483301X;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8" s="51" t="inlineStr">
        <is>
          <t>Servicio</t>
        </is>
      </c>
      <c r="I18" s="52" t="n">
        <v>1</v>
      </c>
      <c r="J18" s="53" t="n">
        <v>2</v>
      </c>
      <c r="K18" s="54" t="inlineStr">
        <is>
          <t>México</t>
        </is>
      </c>
      <c r="L18" s="290" t="n">
        <v>213318.97</v>
      </c>
      <c r="M18" s="291" t="n">
        <v>75000</v>
      </c>
      <c r="N18" s="292" t="n">
        <v>160000</v>
      </c>
      <c r="O18" s="292">
        <f>I18*N18</f>
        <v/>
      </c>
      <c r="P18" s="292">
        <f>J18*N18</f>
        <v/>
      </c>
      <c r="Q18" s="292">
        <f>SUM(O18:P18)</f>
        <v/>
      </c>
      <c r="R18" s="292">
        <f>Q18*$R$9</f>
        <v/>
      </c>
      <c r="S18" s="292">
        <f>SUM(Q18:R18)</f>
        <v/>
      </c>
      <c r="T18" s="56" t="inlineStr">
        <is>
          <t>Accesorios: No incluye
Consumibles: No incluye</t>
        </is>
      </c>
      <c r="U18" s="54" t="inlineStr">
        <is>
          <t>Durante la vigencia del contrato</t>
        </is>
      </c>
      <c r="V18" s="57" t="inlineStr">
        <is>
          <t>SI</t>
        </is>
      </c>
      <c r="W18" s="54" t="inlineStr">
        <is>
          <t>OFTALMO</t>
        </is>
      </c>
      <c r="X18" s="66" t="inlineStr">
        <is>
          <t>ALCON</t>
        </is>
      </c>
    </row>
    <row r="19" ht="140.4" customFormat="1" customHeight="1" s="29">
      <c r="A19" s="49" t="n">
        <v>21</v>
      </c>
      <c r="B19" s="68" t="inlineStr">
        <is>
          <t>CDMX</t>
        </is>
      </c>
      <c r="C19" s="27" t="inlineStr">
        <is>
          <t>AXA</t>
        </is>
      </c>
      <c r="D19" s="72" t="inlineStr">
        <is>
          <t>Sistema de facoemulsificación, marca Alcon, modelo Centurion</t>
        </is>
      </c>
      <c r="E19" s="73" t="inlineStr">
        <is>
          <t>2201602101X</t>
        </is>
      </c>
      <c r="F19" s="72" t="inlineStr">
        <is>
          <t>H.M.E.O. Constituyentes</t>
        </is>
      </c>
      <c r="G19" s="58" t="inlineStr">
        <is>
          <t>Servicio de mantenimiento integral para: Sistema de facoemulsificación, marca Alcon, modelo Centurion, serie 2201602101X;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9" s="51" t="inlineStr">
        <is>
          <t>Servicio</t>
        </is>
      </c>
      <c r="I19" s="52" t="n">
        <v>1</v>
      </c>
      <c r="J19" s="53" t="n">
        <v>2</v>
      </c>
      <c r="K19" s="54" t="inlineStr">
        <is>
          <t>México</t>
        </is>
      </c>
      <c r="L19" s="290" t="n">
        <v>220410</v>
      </c>
      <c r="M19" s="291" t="n">
        <v>75000</v>
      </c>
      <c r="N19" s="292" t="n">
        <v>160000</v>
      </c>
      <c r="O19" s="292">
        <f>I19*N19</f>
        <v/>
      </c>
      <c r="P19" s="292">
        <f>J19*N19</f>
        <v/>
      </c>
      <c r="Q19" s="292">
        <f>SUM(O19:P19)</f>
        <v/>
      </c>
      <c r="R19" s="292">
        <f>Q19*$R$9</f>
        <v/>
      </c>
      <c r="S19" s="292">
        <f>SUM(Q19:R19)</f>
        <v/>
      </c>
      <c r="T19" s="56" t="inlineStr">
        <is>
          <t>Accesorios: No incluye
Consumibles: No incluye</t>
        </is>
      </c>
      <c r="U19" s="54" t="inlineStr">
        <is>
          <t>Durante la vigencia del contrato</t>
        </is>
      </c>
      <c r="V19" s="57" t="inlineStr">
        <is>
          <t>SI</t>
        </is>
      </c>
      <c r="W19" s="54" t="inlineStr">
        <is>
          <t>OFTALMO</t>
        </is>
      </c>
      <c r="X19" s="66" t="inlineStr">
        <is>
          <t>ALCON</t>
        </is>
      </c>
    </row>
    <row r="20" ht="124.95" customFormat="1" customHeight="1" s="29">
      <c r="A20" s="49" t="n">
        <v>22</v>
      </c>
      <c r="B20" s="68" t="inlineStr">
        <is>
          <t>CDMX</t>
        </is>
      </c>
      <c r="C20" s="27" t="inlineStr">
        <is>
          <t>AXA</t>
        </is>
      </c>
      <c r="D20" s="72" t="inlineStr">
        <is>
          <t>Sistema de facoemulsificación, marca Alcon, modelo Centurion</t>
        </is>
      </c>
      <c r="E20" s="68" t="inlineStr">
        <is>
          <t>2202291501X</t>
        </is>
      </c>
      <c r="F20" s="69" t="inlineStr">
        <is>
          <t>H.M.E.O. Constituyentes</t>
        </is>
      </c>
      <c r="G20" s="50" t="inlineStr">
        <is>
          <t>Servicio de mantenimiento integral para: Sistema de facoemulsificación, marca Alcon, modelo Centurion, serie 2202291501X;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0" s="51" t="inlineStr">
        <is>
          <t>Servicio</t>
        </is>
      </c>
      <c r="I20" s="52" t="n">
        <v>1</v>
      </c>
      <c r="J20" s="53" t="n">
        <v>2</v>
      </c>
      <c r="K20" s="54" t="inlineStr">
        <is>
          <t>México</t>
        </is>
      </c>
      <c r="L20" s="290" t="n">
        <v>447758.62</v>
      </c>
      <c r="M20" s="291" t="n">
        <v>75000</v>
      </c>
      <c r="N20" s="292" t="n">
        <v>160000</v>
      </c>
      <c r="O20" s="292">
        <f>I20*N20</f>
        <v/>
      </c>
      <c r="P20" s="292">
        <f>J20*N20</f>
        <v/>
      </c>
      <c r="Q20" s="292">
        <f>SUM(O20:P20)</f>
        <v/>
      </c>
      <c r="R20" s="292">
        <f>Q20*$R$9</f>
        <v/>
      </c>
      <c r="S20" s="292">
        <f>SUM(Q20:R20)</f>
        <v/>
      </c>
      <c r="T20" s="56" t="inlineStr">
        <is>
          <t>Accesorios: No incluye
Consumibles: No incluye</t>
        </is>
      </c>
      <c r="U20" s="54" t="inlineStr">
        <is>
          <t>Durante la vigencia del contrato</t>
        </is>
      </c>
      <c r="V20" s="57" t="inlineStr">
        <is>
          <t>SI</t>
        </is>
      </c>
      <c r="W20" s="54" t="inlineStr">
        <is>
          <t>OFTALMO</t>
        </is>
      </c>
      <c r="X20" s="66" t="inlineStr">
        <is>
          <t>ALCON</t>
        </is>
      </c>
    </row>
    <row r="21" ht="124.95" customFormat="1" customHeight="1" s="29">
      <c r="A21" s="49" t="n">
        <v>23</v>
      </c>
      <c r="B21" s="68" t="inlineStr">
        <is>
          <t>CDMX</t>
        </is>
      </c>
      <c r="C21" s="27" t="inlineStr">
        <is>
          <t>XP WH / D&amp;A</t>
        </is>
      </c>
      <c r="D21" s="72" t="inlineStr">
        <is>
          <t>Sistema de cirugía vitreorretiniana, marca Alcon, modelo Constellation</t>
        </is>
      </c>
      <c r="E21" s="73" t="inlineStr">
        <is>
          <t>2201508001X</t>
        </is>
      </c>
      <c r="F21" s="72" t="inlineStr">
        <is>
          <t>H.M.E.O. Constituyentes</t>
        </is>
      </c>
      <c r="G21" s="50" t="inlineStr">
        <is>
          <t>Servicio de mantenimiento integral para: Sistema de cirugía vitreorretiniana, marca Alcon, modelo Constellation, serie 2201508001X;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1" s="51" t="inlineStr">
        <is>
          <t>Servicio</t>
        </is>
      </c>
      <c r="I21" s="52" t="n">
        <v>1</v>
      </c>
      <c r="J21" s="53" t="n">
        <v>2</v>
      </c>
      <c r="K21" s="54" t="inlineStr">
        <is>
          <t>México</t>
        </is>
      </c>
      <c r="L21" s="290" t="n">
        <v>447758.62</v>
      </c>
      <c r="M21" s="291" t="n">
        <v>120000</v>
      </c>
      <c r="N21" s="292" t="n">
        <v>350000</v>
      </c>
      <c r="O21" s="292">
        <f>I21*N21</f>
        <v/>
      </c>
      <c r="P21" s="292">
        <f>J21*N21</f>
        <v/>
      </c>
      <c r="Q21" s="292">
        <f>SUM(O21:P21)</f>
        <v/>
      </c>
      <c r="R21" s="292">
        <f>Q21*$R$9</f>
        <v/>
      </c>
      <c r="S21" s="292">
        <f>SUM(Q21:R21)</f>
        <v/>
      </c>
      <c r="T21" s="56" t="inlineStr">
        <is>
          <t>Accesorios: No incluye
Consumibles: No incluye</t>
        </is>
      </c>
      <c r="U21" s="54" t="inlineStr">
        <is>
          <t>Durante la vigencia del contrato</t>
        </is>
      </c>
      <c r="V21" s="57" t="inlineStr">
        <is>
          <t>SI</t>
        </is>
      </c>
      <c r="W21" s="54" t="inlineStr">
        <is>
          <t>OFTALMO</t>
        </is>
      </c>
      <c r="X21" s="66" t="inlineStr">
        <is>
          <t>ALCON</t>
        </is>
      </c>
    </row>
    <row r="22" ht="124.95" customFormat="1" customHeight="1" s="29">
      <c r="A22" s="49" t="n">
        <v>24</v>
      </c>
      <c r="B22" s="68" t="inlineStr">
        <is>
          <t>CDMX</t>
        </is>
      </c>
      <c r="C22" s="27" t="inlineStr">
        <is>
          <t>CT / D&amp;A</t>
        </is>
      </c>
      <c r="D22" s="72" t="inlineStr">
        <is>
          <t>Sistema de cirugía vitreorretiniana, marca Alcon, modelo Constellation</t>
        </is>
      </c>
      <c r="E22" s="73" t="inlineStr">
        <is>
          <t>2201508101X</t>
        </is>
      </c>
      <c r="F22" s="72" t="inlineStr">
        <is>
          <t>H.M.E.O. Constituyentes</t>
        </is>
      </c>
      <c r="G22" s="58" t="inlineStr">
        <is>
          <t>Servicio de mantenimiento integral para: Sistema de cirugía vitreorretiniana, marca Alcon, modelo Constellation, serie 2201508101X;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2" s="51" t="inlineStr">
        <is>
          <t>Servicio</t>
        </is>
      </c>
      <c r="I22" s="52" t="n">
        <v>1</v>
      </c>
      <c r="J22" s="53" t="n">
        <v>2</v>
      </c>
      <c r="K22" s="54" t="inlineStr">
        <is>
          <t>México</t>
        </is>
      </c>
      <c r="L22" s="290" t="n">
        <v>451982.76</v>
      </c>
      <c r="M22" s="291" t="n">
        <v>120000</v>
      </c>
      <c r="N22" s="292" t="n">
        <v>350000</v>
      </c>
      <c r="O22" s="292">
        <f>I22*N22</f>
        <v/>
      </c>
      <c r="P22" s="292">
        <f>J22*N22</f>
        <v/>
      </c>
      <c r="Q22" s="292">
        <f>SUM(O22:P22)</f>
        <v/>
      </c>
      <c r="R22" s="292">
        <f>Q22*$R$9</f>
        <v/>
      </c>
      <c r="S22" s="292">
        <f>SUM(Q22:R22)</f>
        <v/>
      </c>
      <c r="T22" s="56" t="inlineStr">
        <is>
          <t>Accesorios: No incluye
Consumibles: No incluye</t>
        </is>
      </c>
      <c r="U22" s="54" t="inlineStr">
        <is>
          <t>Durante la vigencia del contrato</t>
        </is>
      </c>
      <c r="V22" s="57" t="inlineStr">
        <is>
          <t>SI</t>
        </is>
      </c>
      <c r="W22" s="54" t="inlineStr">
        <is>
          <t>OFTALMO</t>
        </is>
      </c>
      <c r="X22" s="66" t="inlineStr">
        <is>
          <t>ALCON</t>
        </is>
      </c>
    </row>
    <row r="23" ht="124.95" customFormat="1" customHeight="1" s="29">
      <c r="A23" s="49" t="n">
        <v>25</v>
      </c>
      <c r="B23" s="68" t="inlineStr">
        <is>
          <t>CDMX</t>
        </is>
      </c>
      <c r="C23" s="27" t="inlineStr">
        <is>
          <t>AXA</t>
        </is>
      </c>
      <c r="D23" s="72" t="inlineStr">
        <is>
          <t>Sistema de cirugía vitreorretiniana, marca Alcon, modelo Constellation</t>
        </is>
      </c>
      <c r="E23" s="68" t="inlineStr">
        <is>
          <t>2201541901X</t>
        </is>
      </c>
      <c r="F23" s="69" t="inlineStr">
        <is>
          <t>H.M.E.O. Constituyentes</t>
        </is>
      </c>
      <c r="G23" s="50" t="inlineStr">
        <is>
          <t>Servicio de mantenimiento integral para: Sistema de cirugía vitreorretiniana, marca Alcon, modelo Constellation, serie 2201541901X;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3" s="51" t="inlineStr">
        <is>
          <t>Servicio</t>
        </is>
      </c>
      <c r="I23" s="52" t="n">
        <v>1</v>
      </c>
      <c r="J23" s="53" t="n">
        <v>2</v>
      </c>
      <c r="K23" s="54" t="inlineStr">
        <is>
          <t>México</t>
        </is>
      </c>
      <c r="L23" s="290" t="n">
        <v>439310.34</v>
      </c>
      <c r="M23" s="291" t="n">
        <v>120000</v>
      </c>
      <c r="N23" s="292" t="n">
        <v>350000</v>
      </c>
      <c r="O23" s="292">
        <f>I23*N23</f>
        <v/>
      </c>
      <c r="P23" s="292">
        <f>J23*N23</f>
        <v/>
      </c>
      <c r="Q23" s="292">
        <f>SUM(O23:P23)</f>
        <v/>
      </c>
      <c r="R23" s="292">
        <f>Q23*$R$9</f>
        <v/>
      </c>
      <c r="S23" s="292">
        <f>SUM(Q23:R23)</f>
        <v/>
      </c>
      <c r="T23" s="56" t="inlineStr">
        <is>
          <t>Accesorios: No incluye
Consumibles: No incluye</t>
        </is>
      </c>
      <c r="U23" s="54" t="inlineStr">
        <is>
          <t>Durante la vigencia del contrato</t>
        </is>
      </c>
      <c r="V23" s="57" t="inlineStr">
        <is>
          <t>SI</t>
        </is>
      </c>
      <c r="W23" s="54" t="inlineStr">
        <is>
          <t>OFTALMO</t>
        </is>
      </c>
      <c r="X23" s="66" t="inlineStr">
        <is>
          <t>ALCON</t>
        </is>
      </c>
    </row>
    <row r="24" ht="124.95" customFormat="1" customHeight="1" s="29">
      <c r="A24" s="49" t="n">
        <v>26</v>
      </c>
      <c r="B24" s="68" t="inlineStr">
        <is>
          <t>CDMX</t>
        </is>
      </c>
      <c r="C24" s="27" t="inlineStr">
        <is>
          <t>XP RF</t>
        </is>
      </c>
      <c r="D24" s="72" t="inlineStr">
        <is>
          <t>Láser de diodo, marca A.R.C. Laser, modelo FOX 810</t>
        </is>
      </c>
      <c r="E24" s="68" t="inlineStr">
        <is>
          <t>615423-AAAB</t>
        </is>
      </c>
      <c r="F24" s="69" t="inlineStr">
        <is>
          <t>H.M.E.O. Constituyentes</t>
        </is>
      </c>
      <c r="G24" s="50" t="inlineStr">
        <is>
          <t>Servicio de mantenimiento integral para: Láser de diodo, marca A.R.C. Laser, modelo FOX 810, serie 615423-AAAB;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4" s="51" t="inlineStr">
        <is>
          <t>Servicio</t>
        </is>
      </c>
      <c r="I24" s="52" t="n">
        <v>1</v>
      </c>
      <c r="J24" s="53" t="n">
        <v>2</v>
      </c>
      <c r="K24" s="54" t="inlineStr">
        <is>
          <t>México</t>
        </is>
      </c>
      <c r="L24" s="290" t="n">
        <v>566214</v>
      </c>
      <c r="M24" s="291" t="n">
        <v>1</v>
      </c>
      <c r="N24" s="292" t="n">
        <v>500000</v>
      </c>
      <c r="O24" s="292">
        <f>I24*N24</f>
        <v/>
      </c>
      <c r="P24" s="292">
        <f>J24*N24</f>
        <v/>
      </c>
      <c r="Q24" s="292">
        <f>SUM(O24:P24)</f>
        <v/>
      </c>
      <c r="R24" s="292">
        <f>Q24*$R$9</f>
        <v/>
      </c>
      <c r="S24" s="292">
        <f>SUM(Q24:R24)</f>
        <v/>
      </c>
      <c r="T24" s="56" t="inlineStr">
        <is>
          <t>Accesorios: No incluye
Consumibles: No incluye</t>
        </is>
      </c>
      <c r="U24" s="54" t="inlineStr">
        <is>
          <t>Durante la vigencia del contrato</t>
        </is>
      </c>
      <c r="V24" s="57" t="inlineStr">
        <is>
          <t>SI</t>
        </is>
      </c>
      <c r="W24" s="54" t="inlineStr">
        <is>
          <t>OFTALMO</t>
        </is>
      </c>
      <c r="X24" s="66" t="inlineStr">
        <is>
          <t>MD</t>
        </is>
      </c>
    </row>
    <row r="25" ht="124.95" customFormat="1" customHeight="1" s="29">
      <c r="A25" s="49" t="n">
        <v>27</v>
      </c>
      <c r="B25" s="68" t="inlineStr">
        <is>
          <t>CDMX</t>
        </is>
      </c>
      <c r="C25" s="27" t="inlineStr">
        <is>
          <t>XP WH / D&amp;A</t>
        </is>
      </c>
      <c r="D25" s="72" t="inlineStr">
        <is>
          <t>Electroretinógrafo portátil, marca LKC, modelo RETeval</t>
        </is>
      </c>
      <c r="E25" s="73" t="inlineStr">
        <is>
          <t>R002034</t>
        </is>
      </c>
      <c r="F25" s="72" t="inlineStr">
        <is>
          <t>H.M.E.O. Constituyentes</t>
        </is>
      </c>
      <c r="G25" s="50" t="inlineStr">
        <is>
          <t>Servicio de mantenimiento integral para: Electroretinógrafo portátil, marca LKC, modelo RETeval, serie R002034;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5" s="51" t="inlineStr">
        <is>
          <t>Servicio</t>
        </is>
      </c>
      <c r="I25" s="52" t="n">
        <v>1</v>
      </c>
      <c r="J25" s="53" t="n">
        <v>2</v>
      </c>
      <c r="K25" s="54" t="inlineStr">
        <is>
          <t>México</t>
        </is>
      </c>
      <c r="L25" s="290" t="n">
        <v>435086.2</v>
      </c>
      <c r="M25" s="291" t="n"/>
      <c r="N25" s="292" t="n">
        <v>420000</v>
      </c>
      <c r="O25" s="292">
        <f>I25*N25</f>
        <v/>
      </c>
      <c r="P25" s="292">
        <f>J25*N25</f>
        <v/>
      </c>
      <c r="Q25" s="292">
        <f>SUM(O25:P25)</f>
        <v/>
      </c>
      <c r="R25" s="292">
        <f>Q25*$R$9</f>
        <v/>
      </c>
      <c r="S25" s="292">
        <f>SUM(Q25:R25)</f>
        <v/>
      </c>
      <c r="T25" s="56" t="inlineStr">
        <is>
          <t>Accesorios: No incluye
Consumibles: No incluye</t>
        </is>
      </c>
      <c r="U25" s="54" t="inlineStr">
        <is>
          <t>Durante la vigencia del contrato</t>
        </is>
      </c>
      <c r="V25" s="57" t="inlineStr">
        <is>
          <t>SI</t>
        </is>
      </c>
      <c r="W25" s="54" t="inlineStr">
        <is>
          <t>OFTALMO</t>
        </is>
      </c>
      <c r="X25" s="66" t="inlineStr">
        <is>
          <t>ARFAMEX</t>
        </is>
      </c>
    </row>
    <row r="26" ht="124.95" customFormat="1" customHeight="1" s="29">
      <c r="A26" s="49" t="n">
        <v>28</v>
      </c>
      <c r="B26" s="68" t="inlineStr">
        <is>
          <t>CDMX</t>
        </is>
      </c>
      <c r="C26" s="27" t="inlineStr">
        <is>
          <t>US</t>
        </is>
      </c>
      <c r="D26" s="72" t="inlineStr">
        <is>
          <t>Electroretinógrafo portátil, marca LKC, modelo RETeval</t>
        </is>
      </c>
      <c r="E26" s="68" t="inlineStr">
        <is>
          <t>R002556</t>
        </is>
      </c>
      <c r="F26" s="69" t="inlineStr">
        <is>
          <t>H.M.E.O. Constituyentes</t>
        </is>
      </c>
      <c r="G26" s="50" t="inlineStr">
        <is>
          <t>Servicio de mantenimiento integral para: Electroretinógrafo portátil, marca LKC, modelo RETeval, serie R002556;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6" s="51" t="inlineStr">
        <is>
          <t>Servicio</t>
        </is>
      </c>
      <c r="I26" s="52" t="n">
        <v>1</v>
      </c>
      <c r="J26" s="53" t="n">
        <v>2</v>
      </c>
      <c r="K26" s="54" t="inlineStr">
        <is>
          <t>México</t>
        </is>
      </c>
      <c r="L26" s="290" t="n">
        <v>460000</v>
      </c>
      <c r="M26" s="291" t="n"/>
      <c r="N26" s="292" t="n">
        <v>420000</v>
      </c>
      <c r="O26" s="292">
        <f>I26*N26</f>
        <v/>
      </c>
      <c r="P26" s="292">
        <f>J26*N26</f>
        <v/>
      </c>
      <c r="Q26" s="292">
        <f>SUM(O26:P26)</f>
        <v/>
      </c>
      <c r="R26" s="292">
        <f>Q26*$R$9</f>
        <v/>
      </c>
      <c r="S26" s="292">
        <f>SUM(Q26:R26)</f>
        <v/>
      </c>
      <c r="T26" s="56" t="inlineStr">
        <is>
          <t>Accesorios: No incluye
Consumibles: No incluye</t>
        </is>
      </c>
      <c r="U26" s="54" t="inlineStr">
        <is>
          <t>Durante la vigencia del contrato</t>
        </is>
      </c>
      <c r="V26" s="57" t="inlineStr">
        <is>
          <t>SI</t>
        </is>
      </c>
      <c r="W26" s="54" t="inlineStr">
        <is>
          <t>OFTALMO</t>
        </is>
      </c>
      <c r="X26" s="66" t="inlineStr">
        <is>
          <t>ARFAMEX</t>
        </is>
      </c>
    </row>
    <row r="27" ht="124.95" customFormat="1" customHeight="1" s="29">
      <c r="A27" s="49" t="n">
        <v>29</v>
      </c>
      <c r="B27" s="68" t="inlineStr">
        <is>
          <t>CDMX</t>
        </is>
      </c>
      <c r="C27" s="27" t="inlineStr">
        <is>
          <t>XP RF</t>
        </is>
      </c>
      <c r="D27" s="72" t="inlineStr">
        <is>
          <t>Microscopio confocal, marca Heidelberg Engineering, modelo HRT3 RCM</t>
        </is>
      </c>
      <c r="E27" s="68" t="inlineStr">
        <is>
          <t>HRT3-08313</t>
        </is>
      </c>
      <c r="F27" s="69" t="inlineStr">
        <is>
          <t>H.M.E.O. Constituyentes</t>
        </is>
      </c>
      <c r="G27" s="50" t="inlineStr">
        <is>
          <t>Servicio de mantenimiento integral para: Microscopio confocal, marca Heidelberg Engineering, modelo HRT3 RCM, serie HRT3-08313;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7" s="51" t="inlineStr">
        <is>
          <t>Servicio</t>
        </is>
      </c>
      <c r="I27" s="52" t="n">
        <v>1</v>
      </c>
      <c r="J27" s="53" t="n">
        <v>2</v>
      </c>
      <c r="K27" s="54" t="inlineStr">
        <is>
          <t>México</t>
        </is>
      </c>
      <c r="L27" s="290" t="n">
        <v>151293.11</v>
      </c>
      <c r="M27" s="291" t="n">
        <v>75000</v>
      </c>
      <c r="N27" s="292" t="n">
        <v>150000</v>
      </c>
      <c r="O27" s="292">
        <f>I27*N27</f>
        <v/>
      </c>
      <c r="P27" s="292">
        <f>J27*N27</f>
        <v/>
      </c>
      <c r="Q27" s="292">
        <f>SUM(O27:P27)</f>
        <v/>
      </c>
      <c r="R27" s="292">
        <f>Q27*$R$9</f>
        <v/>
      </c>
      <c r="S27" s="292">
        <f>SUM(Q27:R27)</f>
        <v/>
      </c>
      <c r="T27" s="56" t="inlineStr">
        <is>
          <t>Accesorios: No incluye
Consumibles: No incluye</t>
        </is>
      </c>
      <c r="U27" s="54" t="inlineStr">
        <is>
          <t>Durante la vigencia del contrato</t>
        </is>
      </c>
      <c r="V27" s="57" t="inlineStr">
        <is>
          <t>SI</t>
        </is>
      </c>
      <c r="W27" s="54" t="inlineStr">
        <is>
          <t>OFTALMO</t>
        </is>
      </c>
      <c r="X27" s="66" t="inlineStr">
        <is>
          <t>ARFAMEX</t>
        </is>
      </c>
    </row>
    <row r="28" ht="140.4" customFormat="1" customHeight="1" s="29">
      <c r="A28" s="49" t="n">
        <v>30</v>
      </c>
      <c r="B28" s="68" t="inlineStr">
        <is>
          <t>CDMX</t>
        </is>
      </c>
      <c r="C28" s="27" t="inlineStr">
        <is>
          <t>CT / D&amp;A</t>
        </is>
      </c>
      <c r="D28" s="72" t="inlineStr">
        <is>
          <t>Topógrafo corneal con cámara Scheimpflug, marca Oculus, modelo Pentacam</t>
        </is>
      </c>
      <c r="E28" s="73" t="inlineStr">
        <is>
          <t>7010054522270</t>
        </is>
      </c>
      <c r="F28" s="72" t="inlineStr">
        <is>
          <t>H.M.E.O. Constituyentes</t>
        </is>
      </c>
      <c r="G28" s="50" t="inlineStr">
        <is>
          <t>Servicio de mantenimiento integral para: Topógrafo corneal con cámara Scheimpflug, marca Oculus, modelo Pentacam, serie 7010054522270;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8" s="51" t="inlineStr">
        <is>
          <t>Servicio</t>
        </is>
      </c>
      <c r="I28" s="52" t="n">
        <v>1</v>
      </c>
      <c r="J28" s="52" t="n">
        <v>2</v>
      </c>
      <c r="K28" s="54" t="inlineStr">
        <is>
          <t>México</t>
        </is>
      </c>
      <c r="L28" s="290" t="n">
        <v>207000</v>
      </c>
      <c r="M28" s="291" t="n">
        <v>50000</v>
      </c>
      <c r="N28" s="292" t="n">
        <v>150000</v>
      </c>
      <c r="O28" s="292">
        <f>I28*N28</f>
        <v/>
      </c>
      <c r="P28" s="292">
        <f>J28*N28</f>
        <v/>
      </c>
      <c r="Q28" s="292">
        <f>SUM(O28:P28)</f>
        <v/>
      </c>
      <c r="R28" s="292">
        <f>Q28*$R$9</f>
        <v/>
      </c>
      <c r="S28" s="292">
        <f>SUM(Q28:R28)</f>
        <v/>
      </c>
      <c r="T28" s="56" t="inlineStr">
        <is>
          <t>Accesorios: No incluye
Consumibles: No incluye</t>
        </is>
      </c>
      <c r="U28" s="54" t="inlineStr">
        <is>
          <t>Durante la vigencia del contrato</t>
        </is>
      </c>
      <c r="V28" s="57" t="inlineStr">
        <is>
          <t>SI</t>
        </is>
      </c>
      <c r="W28" s="54" t="inlineStr">
        <is>
          <t>OFTALMO</t>
        </is>
      </c>
      <c r="X28" s="66" t="inlineStr">
        <is>
          <t>CYAN</t>
        </is>
      </c>
    </row>
    <row r="29" ht="124.95" customFormat="1" customHeight="1" s="29">
      <c r="A29" s="49" t="n">
        <v>31</v>
      </c>
      <c r="B29" s="68" t="inlineStr">
        <is>
          <t>CDMX</t>
        </is>
      </c>
      <c r="C29" s="27" t="inlineStr">
        <is>
          <t>CT</t>
        </is>
      </c>
      <c r="D29" s="72" t="inlineStr">
        <is>
          <t>Ultrasonido, marca Quantel Medical, modelo Absolu</t>
        </is>
      </c>
      <c r="E29" s="68" t="inlineStr">
        <is>
          <t>1131</t>
        </is>
      </c>
      <c r="F29" s="69" t="inlineStr">
        <is>
          <t>H.M.E.O. Constituyentes</t>
        </is>
      </c>
      <c r="G29" s="50" t="inlineStr">
        <is>
          <t>Servicio de mantenimiento integral para: Ultrasonido, marca Quantel Medical, modelo Absolu, serie 1131;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9" s="51" t="inlineStr">
        <is>
          <t>Servicio</t>
        </is>
      </c>
      <c r="I29" s="52" t="n">
        <v>1</v>
      </c>
      <c r="J29" s="52" t="n">
        <v>2</v>
      </c>
      <c r="K29" s="54" t="inlineStr">
        <is>
          <t>México</t>
        </is>
      </c>
      <c r="L29" s="290" t="n">
        <v>225991.38</v>
      </c>
      <c r="M29" s="291" t="n">
        <v>70000</v>
      </c>
      <c r="N29" s="292" t="n">
        <v>200000</v>
      </c>
      <c r="O29" s="292">
        <f>I29*N29</f>
        <v/>
      </c>
      <c r="P29" s="292">
        <f>J29*N29</f>
        <v/>
      </c>
      <c r="Q29" s="292">
        <f>SUM(O29:P29)</f>
        <v/>
      </c>
      <c r="R29" s="292">
        <f>Q29*$R$9</f>
        <v/>
      </c>
      <c r="S29" s="292">
        <f>SUM(Q29:R29)</f>
        <v/>
      </c>
      <c r="T29" s="56" t="inlineStr">
        <is>
          <t>Accesorios: No incluye
Consumibles: No incluye</t>
        </is>
      </c>
      <c r="U29" s="54" t="inlineStr">
        <is>
          <t>Durante la vigencia del contrato</t>
        </is>
      </c>
      <c r="V29" s="57" t="inlineStr">
        <is>
          <t>SI</t>
        </is>
      </c>
      <c r="W29" s="54" t="inlineStr">
        <is>
          <t>OFTALMO</t>
        </is>
      </c>
      <c r="X29" s="66" t="inlineStr">
        <is>
          <t>ARFAMEX</t>
        </is>
      </c>
    </row>
    <row r="30" ht="140.4" customFormat="1" customHeight="1" s="29">
      <c r="A30" s="49" t="n">
        <v>32</v>
      </c>
      <c r="B30" s="68" t="inlineStr">
        <is>
          <t>CDMX</t>
        </is>
      </c>
      <c r="C30" s="27" t="inlineStr">
        <is>
          <t>CT / D&amp;A</t>
        </is>
      </c>
      <c r="D30" s="72" t="inlineStr">
        <is>
          <t>Sistema de fotocoagulación láser con estación de trabajo, marca OD-OS, modelo Navilas</t>
        </is>
      </c>
      <c r="E30" s="73" t="inlineStr">
        <is>
          <t>158000-3215</t>
        </is>
      </c>
      <c r="F30" s="72" t="inlineStr">
        <is>
          <t>H.M.E.O. Constituyentes</t>
        </is>
      </c>
      <c r="G30" s="50" t="inlineStr">
        <is>
          <t>Servicio de mantenimiento integral para: Sistema de fotocoagulación láser con estación de trabajo, marca OD-OS, modelo Navilas, serie 158000-3215;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0" s="51" t="inlineStr">
        <is>
          <t>Servicio</t>
        </is>
      </c>
      <c r="I30" s="52" t="n">
        <v>1</v>
      </c>
      <c r="J30" s="52" t="n">
        <v>2</v>
      </c>
      <c r="K30" s="54" t="inlineStr">
        <is>
          <t>México</t>
        </is>
      </c>
      <c r="L30" s="290" t="n">
        <v>363196.5</v>
      </c>
      <c r="M30" s="291" t="n">
        <v>165000</v>
      </c>
      <c r="N30" s="292" t="n">
        <v>330000</v>
      </c>
      <c r="O30" s="292">
        <f>I30*N30</f>
        <v/>
      </c>
      <c r="P30" s="292">
        <f>J30*N30</f>
        <v/>
      </c>
      <c r="Q30" s="292">
        <f>SUM(O30:P30)</f>
        <v/>
      </c>
      <c r="R30" s="292">
        <f>Q30*$R$9</f>
        <v/>
      </c>
      <c r="S30" s="292">
        <f>SUM(Q30:R30)</f>
        <v/>
      </c>
      <c r="T30" s="56" t="inlineStr">
        <is>
          <t>Accesorios: No incluye
Consumibles: No incluye</t>
        </is>
      </c>
      <c r="U30" s="54" t="inlineStr">
        <is>
          <t>Durante la vigencia del contrato</t>
        </is>
      </c>
      <c r="V30" s="57" t="inlineStr">
        <is>
          <t>SI</t>
        </is>
      </c>
      <c r="W30" s="54" t="inlineStr">
        <is>
          <t>OFTALMO</t>
        </is>
      </c>
      <c r="X30" s="66" t="inlineStr">
        <is>
          <t>FARBAC</t>
        </is>
      </c>
    </row>
    <row r="31" ht="124.95" customFormat="1" customHeight="1" s="29">
      <c r="A31" s="49" t="n">
        <v>33</v>
      </c>
      <c r="B31" s="68" t="inlineStr">
        <is>
          <t>CDMX</t>
        </is>
      </c>
      <c r="C31" s="27" t="inlineStr">
        <is>
          <t>XP WH / D&amp;A</t>
        </is>
      </c>
      <c r="D31" s="72" t="inlineStr">
        <is>
          <t>Cámara de campo ultra amplio, marca Natus, modelo RetCam Envision</t>
        </is>
      </c>
      <c r="E31" s="73" t="inlineStr">
        <is>
          <t>RE-0276</t>
        </is>
      </c>
      <c r="F31" s="72" t="inlineStr">
        <is>
          <t>H.M.E.O. Constituyentes</t>
        </is>
      </c>
      <c r="G31" s="50" t="inlineStr">
        <is>
          <t>Servicio de mantenimiento integral para: Cámara de campo ultra amplio, marca Natus, modelo RetCam Envision, serie RE-0276;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1" s="51" t="inlineStr">
        <is>
          <t>Servicio</t>
        </is>
      </c>
      <c r="I31" s="52" t="n">
        <v>1</v>
      </c>
      <c r="J31" s="52" t="n">
        <v>2</v>
      </c>
      <c r="K31" s="54" t="inlineStr">
        <is>
          <t>México</t>
        </is>
      </c>
      <c r="L31" s="290" t="n">
        <v>150948.27</v>
      </c>
      <c r="M31" s="291" t="n"/>
      <c r="N31" s="292" t="n">
        <v>145000</v>
      </c>
      <c r="O31" s="292">
        <f>I31*N31</f>
        <v/>
      </c>
      <c r="P31" s="292">
        <f>J31*N31</f>
        <v/>
      </c>
      <c r="Q31" s="292">
        <f>SUM(O31:P31)</f>
        <v/>
      </c>
      <c r="R31" s="292">
        <f>Q31*$R$9</f>
        <v/>
      </c>
      <c r="S31" s="292">
        <f>SUM(Q31:R31)</f>
        <v/>
      </c>
      <c r="T31" s="56" t="inlineStr">
        <is>
          <t>Accesorios: No incluye
Consumibles: No incluye</t>
        </is>
      </c>
      <c r="U31" s="54" t="inlineStr">
        <is>
          <t>Durante la vigencia del contrato</t>
        </is>
      </c>
      <c r="V31" s="57" t="inlineStr">
        <is>
          <t>SI</t>
        </is>
      </c>
      <c r="W31" s="54" t="inlineStr">
        <is>
          <t>OFTALMO</t>
        </is>
      </c>
      <c r="X31" s="66" t="inlineStr">
        <is>
          <t>ARFAMEX</t>
        </is>
      </c>
    </row>
    <row r="32" ht="124.95" customFormat="1" customHeight="1" s="29">
      <c r="A32" s="49" t="n">
        <v>34</v>
      </c>
      <c r="B32" s="68" t="inlineStr">
        <is>
          <t>CDMX</t>
        </is>
      </c>
      <c r="C32" s="27" t="inlineStr">
        <is>
          <t>CT / D&amp;A</t>
        </is>
      </c>
      <c r="D32" s="72" t="inlineStr">
        <is>
          <t>Láser, marca Quantel Medical, modelo Vitra 810</t>
        </is>
      </c>
      <c r="E32" s="73" t="inlineStr">
        <is>
          <t>574</t>
        </is>
      </c>
      <c r="F32" s="72" t="inlineStr">
        <is>
          <t>H.M.E.O. Constituyentes</t>
        </is>
      </c>
      <c r="G32" s="50" t="inlineStr">
        <is>
          <t>Servicio de mantenimiento integral para: Láser, marca Quantel Medical, modelo Vitra 810, serie 574;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2" s="51" t="inlineStr">
        <is>
          <t>Servicio</t>
        </is>
      </c>
      <c r="I32" s="52" t="n">
        <v>1</v>
      </c>
      <c r="J32" s="52" t="n">
        <v>2</v>
      </c>
      <c r="K32" s="54" t="inlineStr">
        <is>
          <t>México</t>
        </is>
      </c>
      <c r="L32" s="290" t="n">
        <v>272460</v>
      </c>
      <c r="M32" s="291" t="n">
        <v>60000</v>
      </c>
      <c r="N32" s="292" t="n">
        <v>175000</v>
      </c>
      <c r="O32" s="292">
        <f>I32*N32</f>
        <v/>
      </c>
      <c r="P32" s="292">
        <f>J32*N32</f>
        <v/>
      </c>
      <c r="Q32" s="292">
        <f>SUM(O32:P32)</f>
        <v/>
      </c>
      <c r="R32" s="292">
        <f>Q32*$R$9</f>
        <v/>
      </c>
      <c r="S32" s="292">
        <f>SUM(Q32:R32)</f>
        <v/>
      </c>
      <c r="T32" s="56" t="inlineStr">
        <is>
          <t>Accesorios: No incluye
Consumibles: No incluye</t>
        </is>
      </c>
      <c r="U32" s="54" t="inlineStr">
        <is>
          <t>Durante la vigencia del contrato</t>
        </is>
      </c>
      <c r="V32" s="57" t="inlineStr">
        <is>
          <t>SI</t>
        </is>
      </c>
      <c r="W32" s="54" t="inlineStr">
        <is>
          <t>OFTALMO</t>
        </is>
      </c>
      <c r="X32" s="66" t="inlineStr">
        <is>
          <t>ARFAMEX</t>
        </is>
      </c>
    </row>
    <row r="33" ht="124.95" customFormat="1" customHeight="1" s="29">
      <c r="A33" s="49" t="n">
        <v>35</v>
      </c>
      <c r="B33" s="68" t="inlineStr">
        <is>
          <t>CDMX</t>
        </is>
      </c>
      <c r="C33" s="27" t="inlineStr">
        <is>
          <t>CT / D&amp;A</t>
        </is>
      </c>
      <c r="D33" s="72" t="inlineStr">
        <is>
          <t>Láser, marca Quantel Medical, modelo Vitra 811</t>
        </is>
      </c>
      <c r="E33" s="73" t="inlineStr">
        <is>
          <t>575</t>
        </is>
      </c>
      <c r="F33" s="72" t="inlineStr">
        <is>
          <t>H.M.E.O. Constituyentes</t>
        </is>
      </c>
      <c r="G33" s="50" t="inlineStr">
        <is>
          <t>Servicio de mantenimiento integral para: Láser, marca Quantel Medical, modelo Vitra 811, serie 575;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3" s="51" t="inlineStr">
        <is>
          <t>Servicio</t>
        </is>
      </c>
      <c r="I33" s="52" t="n">
        <v>1</v>
      </c>
      <c r="J33" s="52" t="n">
        <v>2</v>
      </c>
      <c r="K33" s="54" t="inlineStr">
        <is>
          <t>México</t>
        </is>
      </c>
      <c r="L33" s="290" t="n">
        <v>264880</v>
      </c>
      <c r="M33" s="291" t="n">
        <v>60000</v>
      </c>
      <c r="N33" s="292" t="n">
        <v>175000</v>
      </c>
      <c r="O33" s="292">
        <f>I33*N33</f>
        <v/>
      </c>
      <c r="P33" s="292">
        <f>J33*N33</f>
        <v/>
      </c>
      <c r="Q33" s="292">
        <f>SUM(O33:P33)</f>
        <v/>
      </c>
      <c r="R33" s="292">
        <f>Q33*$R$9</f>
        <v/>
      </c>
      <c r="S33" s="292">
        <f>SUM(Q33:R33)</f>
        <v/>
      </c>
      <c r="T33" s="56" t="inlineStr">
        <is>
          <t>Accesorios: No incluye
Consumibles: No incluye</t>
        </is>
      </c>
      <c r="U33" s="54" t="inlineStr">
        <is>
          <t>Durante la vigencia del contrato</t>
        </is>
      </c>
      <c r="V33" s="57" t="inlineStr">
        <is>
          <t>SI</t>
        </is>
      </c>
      <c r="W33" s="54" t="inlineStr">
        <is>
          <t>OFTALMO</t>
        </is>
      </c>
      <c r="X33" s="66" t="inlineStr">
        <is>
          <t>ARFAMEX</t>
        </is>
      </c>
    </row>
    <row r="34" ht="124.95" customFormat="1" customHeight="1" s="29">
      <c r="A34" s="49" t="n">
        <v>36</v>
      </c>
      <c r="B34" s="68" t="inlineStr">
        <is>
          <t>CDMX</t>
        </is>
      </c>
      <c r="C34" s="27" t="inlineStr">
        <is>
          <t>CT / D&amp;A</t>
        </is>
      </c>
      <c r="D34" s="72" t="inlineStr">
        <is>
          <t>Ultrasonido terapéutico, marca Eye Tech Care, modelo UCP Flex</t>
        </is>
      </c>
      <c r="E34" s="73" t="inlineStr">
        <is>
          <t>19/015</t>
        </is>
      </c>
      <c r="F34" s="72" t="inlineStr">
        <is>
          <t>H.M.E.O. Constituyentes</t>
        </is>
      </c>
      <c r="G34" s="50" t="inlineStr">
        <is>
          <t>Servicio de mantenimiento integral para: Ultrasonido terapéutico, marca Eye Tech Care, modelo UCP Flex, serie 19/015;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4" s="51" t="inlineStr">
        <is>
          <t>Servicio</t>
        </is>
      </c>
      <c r="I34" s="52" t="n">
        <v>1</v>
      </c>
      <c r="J34" s="52" t="n">
        <v>2</v>
      </c>
      <c r="K34" s="54" t="inlineStr">
        <is>
          <t>México</t>
        </is>
      </c>
      <c r="L34" s="290" t="n">
        <v>235000</v>
      </c>
      <c r="M34" s="291" t="n"/>
      <c r="N34" s="292" t="n">
        <v>220000</v>
      </c>
      <c r="O34" s="292">
        <f>I34*N34</f>
        <v/>
      </c>
      <c r="P34" s="292">
        <f>J34*N34</f>
        <v/>
      </c>
      <c r="Q34" s="292">
        <f>SUM(O34:P34)</f>
        <v/>
      </c>
      <c r="R34" s="292">
        <f>Q34*$R$9</f>
        <v/>
      </c>
      <c r="S34" s="292">
        <f>SUM(Q34:R34)</f>
        <v/>
      </c>
      <c r="T34" s="56" t="inlineStr">
        <is>
          <t>Accesorios: No incluye
Consumibles: No incluye</t>
        </is>
      </c>
      <c r="U34" s="54" t="inlineStr">
        <is>
          <t>Durante la vigencia del contrato</t>
        </is>
      </c>
      <c r="V34" s="57" t="inlineStr">
        <is>
          <t>SI</t>
        </is>
      </c>
      <c r="W34" s="54" t="inlineStr">
        <is>
          <t>OFTALMO</t>
        </is>
      </c>
      <c r="X34" s="66" t="inlineStr">
        <is>
          <t>EYCCO</t>
        </is>
      </c>
    </row>
    <row r="35" ht="124.95" customFormat="1" customHeight="1" s="29">
      <c r="A35" s="49" t="n">
        <v>37</v>
      </c>
      <c r="B35" s="68" t="inlineStr">
        <is>
          <t>CDMX</t>
        </is>
      </c>
      <c r="C35" s="27" t="inlineStr">
        <is>
          <t>AXA</t>
        </is>
      </c>
      <c r="D35" s="72" t="inlineStr">
        <is>
          <t>Ultrasonido terapéutico, marca Eye Tech Care, modelo UCP Flex</t>
        </is>
      </c>
      <c r="E35" s="68" t="inlineStr">
        <is>
          <t>20/016</t>
        </is>
      </c>
      <c r="F35" s="69" t="inlineStr">
        <is>
          <t>H.M.E.O. Constituyentes</t>
        </is>
      </c>
      <c r="G35" s="50" t="inlineStr">
        <is>
          <t>Servicio de mantenimiento integral para: Ultrasonido terapéutico, marca Eye Tech Care, modelo UCP Flex, serie 20/016;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5" s="51" t="inlineStr">
        <is>
          <t>Servicio</t>
        </is>
      </c>
      <c r="I35" s="52" t="n">
        <v>1</v>
      </c>
      <c r="J35" s="52" t="n">
        <v>2</v>
      </c>
      <c r="K35" s="54" t="inlineStr">
        <is>
          <t>México</t>
        </is>
      </c>
      <c r="L35" s="290" t="n">
        <v>235000</v>
      </c>
      <c r="M35" s="291" t="n"/>
      <c r="N35" s="292" t="n">
        <v>220000</v>
      </c>
      <c r="O35" s="292">
        <f>I35*N35</f>
        <v/>
      </c>
      <c r="P35" s="292">
        <f>J35*N35</f>
        <v/>
      </c>
      <c r="Q35" s="292">
        <f>SUM(O35:P35)</f>
        <v/>
      </c>
      <c r="R35" s="292">
        <f>Q35*$R$9</f>
        <v/>
      </c>
      <c r="S35" s="292">
        <f>SUM(Q35:R35)</f>
        <v/>
      </c>
      <c r="T35" s="56" t="inlineStr">
        <is>
          <t>Accesorios: No incluye
Consumibles: No incluye</t>
        </is>
      </c>
      <c r="U35" s="54" t="inlineStr">
        <is>
          <t>Durante la vigencia del contrato</t>
        </is>
      </c>
      <c r="V35" s="57" t="inlineStr">
        <is>
          <t>SI</t>
        </is>
      </c>
      <c r="W35" s="54" t="inlineStr">
        <is>
          <t>OFTALMO</t>
        </is>
      </c>
      <c r="X35" s="66" t="inlineStr">
        <is>
          <t>EYCCO</t>
        </is>
      </c>
    </row>
    <row r="36" ht="140.4" customFormat="1" customHeight="1" s="29">
      <c r="A36" s="49" t="n">
        <v>38</v>
      </c>
      <c r="B36" s="68" t="inlineStr">
        <is>
          <t>CDMX</t>
        </is>
      </c>
      <c r="C36" s="27" t="inlineStr">
        <is>
          <t>CT</t>
        </is>
      </c>
      <c r="D36" s="72" t="inlineStr">
        <is>
          <t>Retinógrafo portátil de campo amplio para neonatos, marca Visunex Medical Systems, modelo PanoCam</t>
        </is>
      </c>
      <c r="E36" s="68" t="inlineStr">
        <is>
          <t>A237402</t>
        </is>
      </c>
      <c r="F36" s="69" t="inlineStr">
        <is>
          <t>H.M.E.O. Constituyentes</t>
        </is>
      </c>
      <c r="G36" s="50" t="inlineStr">
        <is>
          <t>Servicio de mantenimiento integral para: Retinógrafo portátil de campo amplio para neonatos, marca Visunex Medical Systems, modelo PanoCam, serie A237402;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6" s="51" t="inlineStr">
        <is>
          <t>Servicio</t>
        </is>
      </c>
      <c r="I36" s="52" t="n">
        <v>1</v>
      </c>
      <c r="J36" s="53" t="n">
        <v>2</v>
      </c>
      <c r="K36" s="54" t="inlineStr">
        <is>
          <t>México</t>
        </is>
      </c>
      <c r="L36" s="290" t="n">
        <v>145000</v>
      </c>
      <c r="M36" s="291" t="n"/>
      <c r="N36" s="292" t="n">
        <v>140000</v>
      </c>
      <c r="O36" s="292">
        <f>I36*N36</f>
        <v/>
      </c>
      <c r="P36" s="292">
        <f>J36*N36</f>
        <v/>
      </c>
      <c r="Q36" s="292">
        <f>SUM(O36:P36)</f>
        <v/>
      </c>
      <c r="R36" s="292">
        <f>Q36*$R$9</f>
        <v/>
      </c>
      <c r="S36" s="292">
        <f>SUM(Q36:R36)</f>
        <v/>
      </c>
      <c r="T36" s="56" t="inlineStr">
        <is>
          <t>Accesorios: No incluye
Consumibles: No incluye</t>
        </is>
      </c>
      <c r="U36" s="54" t="inlineStr">
        <is>
          <t>Durante la vigencia del contrato</t>
        </is>
      </c>
      <c r="V36" s="57" t="inlineStr">
        <is>
          <t>SI</t>
        </is>
      </c>
      <c r="W36" s="54" t="inlineStr">
        <is>
          <t>OFTALMO</t>
        </is>
      </c>
      <c r="X36" s="66" t="inlineStr">
        <is>
          <t>MD</t>
        </is>
      </c>
    </row>
    <row r="37" ht="140.4" customFormat="1" customHeight="1" s="29">
      <c r="A37" s="49" t="n">
        <v>39</v>
      </c>
      <c r="B37" s="68" t="inlineStr">
        <is>
          <t>CDMX</t>
        </is>
      </c>
      <c r="C37" s="27" t="inlineStr">
        <is>
          <t>XP WH / D&amp;A</t>
        </is>
      </c>
      <c r="D37" s="72" t="inlineStr">
        <is>
          <t>Retinógrafo portátil de campo amplio para neonatos, marca Visunex Medical Systems, modelo PanoCam</t>
        </is>
      </c>
      <c r="E37" s="73" t="inlineStr">
        <is>
          <t>A237403</t>
        </is>
      </c>
      <c r="F37" s="72" t="inlineStr">
        <is>
          <t>H.M.E.O. Constituyentes</t>
        </is>
      </c>
      <c r="G37" s="50" t="inlineStr">
        <is>
          <t>Servicio de mantenimiento integral para: Retinógrafo portátil de campo amplio para neonatos, marca Visunex Medical Systems, modelo PanoCam, serie A237403;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7" s="51" t="inlineStr">
        <is>
          <t>Servicio</t>
        </is>
      </c>
      <c r="I37" s="52" t="n">
        <v>1</v>
      </c>
      <c r="J37" s="53" t="n">
        <v>2</v>
      </c>
      <c r="K37" s="54" t="inlineStr">
        <is>
          <t>México</t>
        </is>
      </c>
      <c r="L37" s="290" t="n">
        <v>145000</v>
      </c>
      <c r="M37" s="291" t="n"/>
      <c r="N37" s="292" t="n">
        <v>140000</v>
      </c>
      <c r="O37" s="292">
        <f>I37*N37</f>
        <v/>
      </c>
      <c r="P37" s="292">
        <f>J37*N37</f>
        <v/>
      </c>
      <c r="Q37" s="292">
        <f>SUM(O37:P37)</f>
        <v/>
      </c>
      <c r="R37" s="292">
        <f>Q37*$R$9</f>
        <v/>
      </c>
      <c r="S37" s="292">
        <f>SUM(Q37:R37)</f>
        <v/>
      </c>
      <c r="T37" s="56" t="inlineStr">
        <is>
          <t>Accesorios: No incluye
Consumibles: No incluye</t>
        </is>
      </c>
      <c r="U37" s="54" t="inlineStr">
        <is>
          <t>Durante la vigencia del contrato</t>
        </is>
      </c>
      <c r="V37" s="57" t="inlineStr">
        <is>
          <t>SI</t>
        </is>
      </c>
      <c r="W37" s="54" t="inlineStr">
        <is>
          <t>OFTALMO</t>
        </is>
      </c>
      <c r="X37" s="66" t="inlineStr">
        <is>
          <t>MD</t>
        </is>
      </c>
    </row>
    <row r="38" ht="140.4" customFormat="1" customHeight="1" s="29">
      <c r="A38" s="49" t="n">
        <v>40</v>
      </c>
      <c r="B38" s="68" t="inlineStr">
        <is>
          <t>CDMX</t>
        </is>
      </c>
      <c r="C38" s="27" t="inlineStr">
        <is>
          <t>CT / D&amp;A</t>
        </is>
      </c>
      <c r="D38" s="72" t="inlineStr">
        <is>
          <t>Retinógrafo portátil de campo amplio para neonatos, marca Visunex Medical Systems, modelo PanoCam</t>
        </is>
      </c>
      <c r="E38" s="73" t="inlineStr">
        <is>
          <t>A237401</t>
        </is>
      </c>
      <c r="F38" s="72" t="inlineStr">
        <is>
          <t>H.M.E.O. Constituyentes</t>
        </is>
      </c>
      <c r="G38" s="50" t="inlineStr">
        <is>
          <t>Servicio de mantenimiento integral para: Retinógrafo portátil de campo amplio para neonatos, marca Visunex Medical Systems, modelo PanoCam, serie A237401;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8" s="51" t="inlineStr">
        <is>
          <t>Servicio</t>
        </is>
      </c>
      <c r="I38" s="52" t="n">
        <v>1</v>
      </c>
      <c r="J38" s="53" t="n">
        <v>2</v>
      </c>
      <c r="K38" s="54" t="inlineStr">
        <is>
          <t>México</t>
        </is>
      </c>
      <c r="L38" s="290" t="n">
        <v>145000</v>
      </c>
      <c r="M38" s="291" t="n"/>
      <c r="N38" s="292" t="n">
        <v>140000</v>
      </c>
      <c r="O38" s="292">
        <f>I38*N38</f>
        <v/>
      </c>
      <c r="P38" s="292">
        <f>J38*N38</f>
        <v/>
      </c>
      <c r="Q38" s="292">
        <f>SUM(O38:P38)</f>
        <v/>
      </c>
      <c r="R38" s="292">
        <f>Q38*$R$9</f>
        <v/>
      </c>
      <c r="S38" s="292">
        <f>SUM(Q38:R38)</f>
        <v/>
      </c>
      <c r="T38" s="56" t="inlineStr">
        <is>
          <t>Accesorios: No incluye
Consumibles: No incluye</t>
        </is>
      </c>
      <c r="U38" s="54" t="inlineStr">
        <is>
          <t>Durante la vigencia del contrato</t>
        </is>
      </c>
      <c r="V38" s="57" t="inlineStr">
        <is>
          <t>SI</t>
        </is>
      </c>
      <c r="W38" s="54" t="inlineStr">
        <is>
          <t>OFTALMO</t>
        </is>
      </c>
      <c r="X38" s="66" t="inlineStr">
        <is>
          <t>MD</t>
        </is>
      </c>
    </row>
    <row r="39" ht="124.95" customFormat="1" customHeight="1" s="29">
      <c r="A39" s="49" t="n">
        <v>41</v>
      </c>
      <c r="B39" s="68" t="inlineStr">
        <is>
          <t>CDMX</t>
        </is>
      </c>
      <c r="C39" s="27" t="inlineStr">
        <is>
          <t>CT / D&amp;A</t>
        </is>
      </c>
      <c r="D39" s="72" t="inlineStr">
        <is>
          <t>Microscopio especular, marca TOMEY, modelo EM-4000</t>
        </is>
      </c>
      <c r="E39" s="73" t="inlineStr">
        <is>
          <t>354304</t>
        </is>
      </c>
      <c r="F39" s="72" t="inlineStr">
        <is>
          <t>H.M.E.O. Constituyentes</t>
        </is>
      </c>
      <c r="G39" s="50" t="inlineStr">
        <is>
          <t>Servicio de mantenimiento integral para: Microscopio especular, marca TOMEY, modelo EM-4000, serie 354304;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9" s="51" t="inlineStr">
        <is>
          <t>Servicio</t>
        </is>
      </c>
      <c r="I39" s="52" t="n">
        <v>1</v>
      </c>
      <c r="J39" s="53" t="n">
        <v>2</v>
      </c>
      <c r="K39" s="54" t="inlineStr">
        <is>
          <t>México</t>
        </is>
      </c>
      <c r="L39" s="290" t="n">
        <v>153038.8</v>
      </c>
      <c r="M39" s="291" t="n">
        <v>55000</v>
      </c>
      <c r="N39" s="292" t="n">
        <v>125000</v>
      </c>
      <c r="O39" s="292">
        <f>I39*N39</f>
        <v/>
      </c>
      <c r="P39" s="292">
        <f>J39*N39</f>
        <v/>
      </c>
      <c r="Q39" s="292">
        <f>SUM(O39:P39)</f>
        <v/>
      </c>
      <c r="R39" s="292">
        <f>Q39*$R$9</f>
        <v/>
      </c>
      <c r="S39" s="292">
        <f>SUM(Q39:R39)</f>
        <v/>
      </c>
      <c r="T39" s="56" t="inlineStr">
        <is>
          <t>Accesorios: No incluye
Consumibles: No incluye</t>
        </is>
      </c>
      <c r="U39" s="54" t="inlineStr">
        <is>
          <t>Durante la vigencia del contrato</t>
        </is>
      </c>
      <c r="V39" s="57" t="inlineStr">
        <is>
          <t>SI</t>
        </is>
      </c>
      <c r="W39" s="54" t="inlineStr">
        <is>
          <t>OFTALMO</t>
        </is>
      </c>
      <c r="X39" s="66" t="inlineStr">
        <is>
          <t xml:space="preserve">ALDAI </t>
        </is>
      </c>
    </row>
    <row r="40" ht="124.95" customFormat="1" customHeight="1" s="29">
      <c r="A40" s="49" t="n">
        <v>42</v>
      </c>
      <c r="B40" s="68" t="inlineStr">
        <is>
          <t>CDMX</t>
        </is>
      </c>
      <c r="C40" s="27" t="inlineStr">
        <is>
          <t>CT / D&amp;A</t>
        </is>
      </c>
      <c r="D40" s="72" t="inlineStr">
        <is>
          <t>Microscopio especular, marca TOMEY, modelo EM-4001</t>
        </is>
      </c>
      <c r="E40" s="73" t="inlineStr">
        <is>
          <t>349103</t>
        </is>
      </c>
      <c r="F40" s="72" t="inlineStr">
        <is>
          <t>H.M.E.O. Constituyentes</t>
        </is>
      </c>
      <c r="G40" s="50" t="inlineStr">
        <is>
          <t>Servicio de mantenimiento integral para: Microscopio especular, marca TOMEY, modelo EM-4001, serie 349103;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0" s="51" t="inlineStr">
        <is>
          <t>Servicio</t>
        </is>
      </c>
      <c r="I40" s="52" t="n">
        <v>1</v>
      </c>
      <c r="J40" s="53" t="n">
        <v>2</v>
      </c>
      <c r="K40" s="54" t="inlineStr">
        <is>
          <t>México</t>
        </is>
      </c>
      <c r="L40" s="290" t="n">
        <v>149700</v>
      </c>
      <c r="M40" s="291" t="n">
        <v>55000</v>
      </c>
      <c r="N40" s="292" t="n">
        <v>125000</v>
      </c>
      <c r="O40" s="292">
        <f>I40*N40</f>
        <v/>
      </c>
      <c r="P40" s="292">
        <f>J40*N40</f>
        <v/>
      </c>
      <c r="Q40" s="292">
        <f>SUM(O40:P40)</f>
        <v/>
      </c>
      <c r="R40" s="292">
        <f>Q40*$R$9</f>
        <v/>
      </c>
      <c r="S40" s="292">
        <f>SUM(Q40:R40)</f>
        <v/>
      </c>
      <c r="T40" s="56" t="inlineStr">
        <is>
          <t>Accesorios: No incluye
Consumibles: No incluye</t>
        </is>
      </c>
      <c r="U40" s="54" t="inlineStr">
        <is>
          <t>Durante la vigencia del contrato</t>
        </is>
      </c>
      <c r="V40" s="57" t="inlineStr">
        <is>
          <t>SI</t>
        </is>
      </c>
      <c r="W40" s="54" t="inlineStr">
        <is>
          <t>OFTALMO</t>
        </is>
      </c>
      <c r="X40" s="66" t="inlineStr">
        <is>
          <t xml:space="preserve">ALDAI </t>
        </is>
      </c>
    </row>
    <row r="41" ht="124.95" customFormat="1" customHeight="1" s="29">
      <c r="A41" s="49" t="n">
        <v>43</v>
      </c>
      <c r="B41" s="68" t="inlineStr">
        <is>
          <t>CDMX</t>
        </is>
      </c>
      <c r="C41" s="27" t="inlineStr">
        <is>
          <t>CT</t>
        </is>
      </c>
      <c r="D41" s="72" t="inlineStr">
        <is>
          <t>Ultrasonido modo A-B, marca TOMEY, modelo UD-800</t>
        </is>
      </c>
      <c r="E41" s="68" t="inlineStr">
        <is>
          <t>366702</t>
        </is>
      </c>
      <c r="F41" s="69" t="inlineStr">
        <is>
          <t>H.M.E.O. Constituyentes</t>
        </is>
      </c>
      <c r="G41" s="50" t="inlineStr">
        <is>
          <t>Servicio de mantenimiento integral para: Ultrasonido modo A-B, marca TOMEY, modelo UD-800, serie 366702;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1" s="51" t="inlineStr">
        <is>
          <t>Servicio</t>
        </is>
      </c>
      <c r="I41" s="52" t="n">
        <v>1</v>
      </c>
      <c r="J41" s="52" t="n">
        <v>2</v>
      </c>
      <c r="K41" s="54" t="inlineStr">
        <is>
          <t>México</t>
        </is>
      </c>
      <c r="L41" s="290" t="n">
        <v>218300</v>
      </c>
      <c r="M41" s="291" t="n">
        <v>50000</v>
      </c>
      <c r="N41" s="292" t="n">
        <v>150000</v>
      </c>
      <c r="O41" s="292">
        <f>I41*N41</f>
        <v/>
      </c>
      <c r="P41" s="292">
        <f>J41*N41</f>
        <v/>
      </c>
      <c r="Q41" s="292">
        <f>SUM(O41:P41)</f>
        <v/>
      </c>
      <c r="R41" s="292">
        <f>Q41*$R$9</f>
        <v/>
      </c>
      <c r="S41" s="292">
        <f>SUM(Q41:R41)</f>
        <v/>
      </c>
      <c r="T41" s="56" t="inlineStr">
        <is>
          <t>Accesorios: No incluye
Consumibles: No incluye</t>
        </is>
      </c>
      <c r="U41" s="54" t="inlineStr">
        <is>
          <t>Durante la vigencia del contrato</t>
        </is>
      </c>
      <c r="V41" s="57" t="inlineStr">
        <is>
          <t>SI</t>
        </is>
      </c>
      <c r="W41" s="54" t="inlineStr">
        <is>
          <t>OFTALMO</t>
        </is>
      </c>
      <c r="X41" s="66" t="inlineStr">
        <is>
          <t xml:space="preserve">ALDAI </t>
        </is>
      </c>
    </row>
    <row r="42" ht="124.95" customFormat="1" customHeight="1" s="29">
      <c r="A42" s="49" t="n">
        <v>44</v>
      </c>
      <c r="B42" s="68" t="inlineStr">
        <is>
          <t>CDMX</t>
        </is>
      </c>
      <c r="C42" s="27" t="inlineStr">
        <is>
          <t>XP WH / D&amp;A</t>
        </is>
      </c>
      <c r="D42" s="72" t="inlineStr">
        <is>
          <t>Ultrasonido modo A-B, marca TOMEY, modelo UD-801</t>
        </is>
      </c>
      <c r="E42" s="73" t="inlineStr">
        <is>
          <t>372404</t>
        </is>
      </c>
      <c r="F42" s="72" t="inlineStr">
        <is>
          <t>H.M.E.O. Constituyentes</t>
        </is>
      </c>
      <c r="G42" s="50" t="inlineStr">
        <is>
          <t>Servicio de mantenimiento integral para: Ultrasonido modo A-B, marca TOMEY, modelo UD-801, serie 372404;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2" s="51" t="inlineStr">
        <is>
          <t>Servicio</t>
        </is>
      </c>
      <c r="I42" s="52" t="n">
        <v>1</v>
      </c>
      <c r="J42" s="52" t="n">
        <v>2</v>
      </c>
      <c r="K42" s="54" t="inlineStr">
        <is>
          <t>México</t>
        </is>
      </c>
      <c r="L42" s="290" t="n">
        <v>215431.04</v>
      </c>
      <c r="M42" s="291" t="n">
        <v>50000</v>
      </c>
      <c r="N42" s="292" t="n">
        <v>150000</v>
      </c>
      <c r="O42" s="292">
        <f>I42*N42</f>
        <v/>
      </c>
      <c r="P42" s="292">
        <f>J42*N42</f>
        <v/>
      </c>
      <c r="Q42" s="292">
        <f>SUM(O42:P42)</f>
        <v/>
      </c>
      <c r="R42" s="292">
        <f>Q42*$R$9</f>
        <v/>
      </c>
      <c r="S42" s="292">
        <f>SUM(Q42:R42)</f>
        <v/>
      </c>
      <c r="T42" s="56" t="inlineStr">
        <is>
          <t>Accesorios: No incluye
Consumibles: No incluye</t>
        </is>
      </c>
      <c r="U42" s="54" t="inlineStr">
        <is>
          <t>Durante la vigencia del contrato</t>
        </is>
      </c>
      <c r="V42" s="57" t="inlineStr">
        <is>
          <t>SI</t>
        </is>
      </c>
      <c r="W42" s="54" t="inlineStr">
        <is>
          <t>OFTALMO</t>
        </is>
      </c>
      <c r="X42" s="66" t="inlineStr">
        <is>
          <t xml:space="preserve">ALDAI </t>
        </is>
      </c>
    </row>
    <row r="43" ht="124.95" customFormat="1" customHeight="1" s="29">
      <c r="A43" s="49" t="n">
        <v>45</v>
      </c>
      <c r="B43" s="68" t="inlineStr">
        <is>
          <t>CDMX</t>
        </is>
      </c>
      <c r="C43" s="27" t="inlineStr">
        <is>
          <t>CT</t>
        </is>
      </c>
      <c r="D43" s="72" t="inlineStr">
        <is>
          <t>Autorrefractómetro, marca SUOER, modelo Ocular Screening SW-800</t>
        </is>
      </c>
      <c r="E43" s="68" t="inlineStr">
        <is>
          <t>BC0013GY1C</t>
        </is>
      </c>
      <c r="F43" s="69" t="inlineStr">
        <is>
          <t>H.M.E.O. Constituyentes</t>
        </is>
      </c>
      <c r="G43" s="50" t="inlineStr">
        <is>
          <t>Servicio de mantenimiento integral para: Autorrefractómetro, marca SUOER, modelo Ocular Screening SW-800, serie BC0013GY1C;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3" s="51" t="inlineStr">
        <is>
          <t>Servicio</t>
        </is>
      </c>
      <c r="I43" s="52" t="n">
        <v>1</v>
      </c>
      <c r="J43" s="53" t="n">
        <v>2</v>
      </c>
      <c r="K43" s="54" t="inlineStr">
        <is>
          <t>México</t>
        </is>
      </c>
      <c r="L43" s="290" t="n">
        <v>170925</v>
      </c>
      <c r="M43" s="291" t="n"/>
      <c r="N43" s="292" t="n">
        <v>150000</v>
      </c>
      <c r="O43" s="292">
        <f>I43*N43</f>
        <v/>
      </c>
      <c r="P43" s="292">
        <f>J43*N43</f>
        <v/>
      </c>
      <c r="Q43" s="292">
        <f>SUM(O43:P43)</f>
        <v/>
      </c>
      <c r="R43" s="292">
        <f>Q43*$R$9</f>
        <v/>
      </c>
      <c r="S43" s="292">
        <f>SUM(Q43:R43)</f>
        <v/>
      </c>
      <c r="T43" s="56" t="inlineStr">
        <is>
          <t>Accesorios: No incluye
Consumibles: No incluye</t>
        </is>
      </c>
      <c r="U43" s="54" t="inlineStr">
        <is>
          <t>Durante la vigencia del contrato</t>
        </is>
      </c>
      <c r="V43" s="57" t="inlineStr">
        <is>
          <t>SI</t>
        </is>
      </c>
      <c r="W43" s="54" t="inlineStr">
        <is>
          <t>OFTALMO</t>
        </is>
      </c>
      <c r="X43" s="66" t="inlineStr">
        <is>
          <t>MD</t>
        </is>
      </c>
    </row>
    <row r="44" ht="124.95" customFormat="1" customHeight="1" s="29">
      <c r="A44" s="49" t="n">
        <v>46</v>
      </c>
      <c r="B44" s="68" t="inlineStr">
        <is>
          <t>CDMX</t>
        </is>
      </c>
      <c r="C44" s="27" t="inlineStr">
        <is>
          <t>CT / D&amp;A</t>
        </is>
      </c>
      <c r="D44" s="72" t="inlineStr">
        <is>
          <t>Autorrefractómetro, marca SUOER, modelo Ocular Screening SW-800</t>
        </is>
      </c>
      <c r="E44" s="73" t="inlineStr">
        <is>
          <t>BC0007GY1C</t>
        </is>
      </c>
      <c r="F44" s="72" t="inlineStr">
        <is>
          <t>H.M.E.O. Constituyentes</t>
        </is>
      </c>
      <c r="G44" s="50" t="inlineStr">
        <is>
          <t>Servicio de mantenimiento integral para: Autorrefractómetro, marca SUOER, modelo Ocular Screening SW-800, serie BC0007GY1C;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4" s="51" t="inlineStr">
        <is>
          <t>Servicio</t>
        </is>
      </c>
      <c r="I44" s="52" t="n">
        <v>1</v>
      </c>
      <c r="J44" s="53" t="n">
        <v>2</v>
      </c>
      <c r="K44" s="54" t="inlineStr">
        <is>
          <t>México</t>
        </is>
      </c>
      <c r="L44" s="290" t="n">
        <v>182350</v>
      </c>
      <c r="M44" s="291" t="n"/>
      <c r="N44" s="292" t="n">
        <v>150000</v>
      </c>
      <c r="O44" s="292">
        <f>I44*N44</f>
        <v/>
      </c>
      <c r="P44" s="292">
        <f>J44*N44</f>
        <v/>
      </c>
      <c r="Q44" s="292">
        <f>SUM(O44:P44)</f>
        <v/>
      </c>
      <c r="R44" s="292">
        <f>Q44*$R$9</f>
        <v/>
      </c>
      <c r="S44" s="292">
        <f>SUM(Q44:R44)</f>
        <v/>
      </c>
      <c r="T44" s="56" t="inlineStr">
        <is>
          <t>Accesorios: No incluye
Consumibles: No incluye</t>
        </is>
      </c>
      <c r="U44" s="54" t="inlineStr">
        <is>
          <t>Durante la vigencia del contrato</t>
        </is>
      </c>
      <c r="V44" s="57" t="inlineStr">
        <is>
          <t>SI</t>
        </is>
      </c>
      <c r="W44" s="54" t="inlineStr">
        <is>
          <t>OFTALMO</t>
        </is>
      </c>
      <c r="X44" s="66" t="inlineStr">
        <is>
          <t>MD</t>
        </is>
      </c>
    </row>
    <row r="45" ht="124.95" customFormat="1" customHeight="1" s="29">
      <c r="A45" s="49" t="n">
        <v>47</v>
      </c>
      <c r="B45" s="68" t="inlineStr">
        <is>
          <t>CDMX</t>
        </is>
      </c>
      <c r="C45" s="27" t="inlineStr">
        <is>
          <t>AXA</t>
        </is>
      </c>
      <c r="D45" s="72" t="inlineStr">
        <is>
          <t>Autorrefractómetro, marca SUOER, modelo Ocular Screening SW-800</t>
        </is>
      </c>
      <c r="E45" s="68" t="inlineStr">
        <is>
          <t>BB0042GY1C</t>
        </is>
      </c>
      <c r="F45" s="69" t="inlineStr">
        <is>
          <t>H.M.E.O. Constituyentes</t>
        </is>
      </c>
      <c r="G45" s="50" t="inlineStr">
        <is>
          <t>Servicio de mantenimiento integral para: Autorrefractómetro, marca SUOER, modelo Ocular Screening SW-800, serie BB0042GY1C;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5" s="51" t="inlineStr">
        <is>
          <t>Servicio</t>
        </is>
      </c>
      <c r="I45" s="52" t="n">
        <v>1</v>
      </c>
      <c r="J45" s="53" t="n">
        <v>2</v>
      </c>
      <c r="K45" s="54" t="inlineStr">
        <is>
          <t>México</t>
        </is>
      </c>
      <c r="L45" s="290" t="n">
        <v>183135.77</v>
      </c>
      <c r="M45" s="291" t="n"/>
      <c r="N45" s="292" t="n">
        <v>150000</v>
      </c>
      <c r="O45" s="292">
        <f>I45*N45</f>
        <v/>
      </c>
      <c r="P45" s="292">
        <f>J45*N45</f>
        <v/>
      </c>
      <c r="Q45" s="292">
        <f>SUM(O45:P45)</f>
        <v/>
      </c>
      <c r="R45" s="292">
        <f>Q45*$R$9</f>
        <v/>
      </c>
      <c r="S45" s="292">
        <f>SUM(Q45:R45)</f>
        <v/>
      </c>
      <c r="T45" s="56" t="inlineStr">
        <is>
          <t>Accesorios: No incluye
Consumibles: No incluye</t>
        </is>
      </c>
      <c r="U45" s="54" t="inlineStr">
        <is>
          <t>Durante la vigencia del contrato</t>
        </is>
      </c>
      <c r="V45" s="57" t="inlineStr">
        <is>
          <t>SI</t>
        </is>
      </c>
      <c r="W45" s="54" t="inlineStr">
        <is>
          <t>OFTALMO</t>
        </is>
      </c>
      <c r="X45" s="66" t="inlineStr">
        <is>
          <t>MD</t>
        </is>
      </c>
    </row>
    <row r="46" ht="124.95" customFormat="1" customHeight="1" s="29">
      <c r="A46" s="49" t="n">
        <v>48</v>
      </c>
      <c r="B46" s="68" t="inlineStr">
        <is>
          <t>CDMX</t>
        </is>
      </c>
      <c r="C46" s="27" t="inlineStr">
        <is>
          <t>XP WH / D&amp;A</t>
        </is>
      </c>
      <c r="D46" s="72" t="inlineStr">
        <is>
          <t>Autorrefractómetro, marca SUOER, modelo Ocular Screening SW-800</t>
        </is>
      </c>
      <c r="E46" s="73" t="inlineStr">
        <is>
          <t>BB0043GY1C</t>
        </is>
      </c>
      <c r="F46" s="72" t="inlineStr">
        <is>
          <t>H.M.E.O. Constituyentes</t>
        </is>
      </c>
      <c r="G46" s="50" t="inlineStr">
        <is>
          <t>Servicio de mantenimiento integral para: Autorrefractómetro, marca SUOER, modelo Ocular Screening SW-800, serie BB0043GY1C;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6" s="51" t="inlineStr">
        <is>
          <t>Servicio</t>
        </is>
      </c>
      <c r="I46" s="52" t="n">
        <v>1</v>
      </c>
      <c r="J46" s="53" t="n">
        <v>2</v>
      </c>
      <c r="K46" s="54" t="inlineStr">
        <is>
          <t>México</t>
        </is>
      </c>
      <c r="L46" s="290" t="n">
        <v>181357.75</v>
      </c>
      <c r="M46" s="291" t="n"/>
      <c r="N46" s="292" t="n">
        <v>150000</v>
      </c>
      <c r="O46" s="292">
        <f>I46*N46</f>
        <v/>
      </c>
      <c r="P46" s="292">
        <f>J46*N46</f>
        <v/>
      </c>
      <c r="Q46" s="292">
        <f>SUM(O46:P46)</f>
        <v/>
      </c>
      <c r="R46" s="292">
        <f>Q46*$R$9</f>
        <v/>
      </c>
      <c r="S46" s="292">
        <f>SUM(Q46:R46)</f>
        <v/>
      </c>
      <c r="T46" s="56" t="inlineStr">
        <is>
          <t>Accesorios: No incluye
Consumibles: No incluye</t>
        </is>
      </c>
      <c r="U46" s="54" t="inlineStr">
        <is>
          <t>Durante la vigencia del contrato</t>
        </is>
      </c>
      <c r="V46" s="57" t="inlineStr">
        <is>
          <t>SI</t>
        </is>
      </c>
      <c r="W46" s="54" t="inlineStr">
        <is>
          <t>OFTALMO</t>
        </is>
      </c>
      <c r="X46" s="66" t="inlineStr">
        <is>
          <t>MD</t>
        </is>
      </c>
    </row>
    <row r="47" ht="124.95" customFormat="1" customHeight="1" s="29">
      <c r="A47" s="49" t="n">
        <v>49</v>
      </c>
      <c r="B47" s="68" t="inlineStr">
        <is>
          <t>CDMX</t>
        </is>
      </c>
      <c r="C47" s="27" t="inlineStr">
        <is>
          <t>CT / D&amp;A</t>
        </is>
      </c>
      <c r="D47" s="72" t="inlineStr">
        <is>
          <t>Autoqueratorrefractor, marca Nidek, modelo ARK-F</t>
        </is>
      </c>
      <c r="E47" s="73" t="inlineStr">
        <is>
          <t>270021</t>
        </is>
      </c>
      <c r="F47" s="72" t="inlineStr">
        <is>
          <t>H.M.E.O. Constituyentes</t>
        </is>
      </c>
      <c r="G47" s="50" t="inlineStr">
        <is>
          <t>Servicio de mantenimiento integral para: Autoqueratorrefractor, marca Nidek, modelo ARK-F, serie 270021;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7" s="51" t="inlineStr">
        <is>
          <t>Servicio</t>
        </is>
      </c>
      <c r="I47" s="52" t="n">
        <v>1</v>
      </c>
      <c r="J47" s="53" t="n">
        <v>2</v>
      </c>
      <c r="K47" s="54" t="inlineStr">
        <is>
          <t>México</t>
        </is>
      </c>
      <c r="L47" s="290" t="n">
        <v>403448.27</v>
      </c>
      <c r="M47" s="291" t="n">
        <v>15000</v>
      </c>
      <c r="N47" s="292" t="n">
        <v>120000</v>
      </c>
      <c r="O47" s="292">
        <f>I47*N47</f>
        <v/>
      </c>
      <c r="P47" s="292">
        <f>J47*N47</f>
        <v/>
      </c>
      <c r="Q47" s="292">
        <f>SUM(O47:P47)</f>
        <v/>
      </c>
      <c r="R47" s="292">
        <f>Q47*$R$9</f>
        <v/>
      </c>
      <c r="S47" s="292">
        <f>SUM(Q47:R47)</f>
        <v/>
      </c>
      <c r="T47" s="56" t="inlineStr">
        <is>
          <t>Accesorios: No incluye
Consumibles: No incluye</t>
        </is>
      </c>
      <c r="U47" s="54" t="inlineStr">
        <is>
          <t>Durante la vigencia del contrato</t>
        </is>
      </c>
      <c r="V47" s="57" t="inlineStr">
        <is>
          <t>SI</t>
        </is>
      </c>
      <c r="W47" s="54" t="inlineStr">
        <is>
          <t>OFTALMO</t>
        </is>
      </c>
      <c r="X47" s="66" t="inlineStr">
        <is>
          <t>S4</t>
        </is>
      </c>
    </row>
    <row r="48" ht="124.95" customFormat="1" customHeight="1" s="29">
      <c r="A48" s="49" t="n">
        <v>50</v>
      </c>
      <c r="B48" s="68" t="inlineStr">
        <is>
          <t>CDMX</t>
        </is>
      </c>
      <c r="C48" s="27" t="inlineStr">
        <is>
          <t>XP SU</t>
        </is>
      </c>
      <c r="D48" s="72" t="inlineStr">
        <is>
          <t>Autoqueratorrefractor, marca Nidek, modelo ARK-F</t>
        </is>
      </c>
      <c r="E48" s="68" t="inlineStr">
        <is>
          <t>270029</t>
        </is>
      </c>
      <c r="F48" s="69" t="inlineStr">
        <is>
          <t>H.M.E.O. Constituyentes</t>
        </is>
      </c>
      <c r="G48" s="50" t="inlineStr">
        <is>
          <t>Servicio de mantenimiento integral para: Autoqueratorrefractor, marca Nidek, modelo ARK-F, serie 270029;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8" s="51" t="inlineStr">
        <is>
          <t>Servicio</t>
        </is>
      </c>
      <c r="I48" s="52" t="n">
        <v>1</v>
      </c>
      <c r="J48" s="53" t="n">
        <v>2</v>
      </c>
      <c r="K48" s="54" t="inlineStr">
        <is>
          <t>México</t>
        </is>
      </c>
      <c r="L48" s="290" t="n">
        <v>413600</v>
      </c>
      <c r="M48" s="291" t="n">
        <v>15000</v>
      </c>
      <c r="N48" s="292" t="n">
        <v>120000</v>
      </c>
      <c r="O48" s="292">
        <f>I48*N48</f>
        <v/>
      </c>
      <c r="P48" s="292">
        <f>J48*N48</f>
        <v/>
      </c>
      <c r="Q48" s="292">
        <f>SUM(O48:P48)</f>
        <v/>
      </c>
      <c r="R48" s="292">
        <f>Q48*$R$9</f>
        <v/>
      </c>
      <c r="S48" s="292">
        <f>SUM(Q48:R48)</f>
        <v/>
      </c>
      <c r="T48" s="56" t="inlineStr">
        <is>
          <t>Accesorios: No incluye
Consumibles: No incluye</t>
        </is>
      </c>
      <c r="U48" s="54" t="inlineStr">
        <is>
          <t>Durante la vigencia del contrato</t>
        </is>
      </c>
      <c r="V48" s="57" t="inlineStr">
        <is>
          <t>SI</t>
        </is>
      </c>
      <c r="W48" s="54" t="inlineStr">
        <is>
          <t>OFTALMO</t>
        </is>
      </c>
      <c r="X48" s="66" t="inlineStr">
        <is>
          <t>S4</t>
        </is>
      </c>
    </row>
    <row r="49" ht="124.95" customFormat="1" customHeight="1" s="29">
      <c r="A49" s="49" t="n">
        <v>51</v>
      </c>
      <c r="B49" s="68" t="inlineStr">
        <is>
          <t>CDMX</t>
        </is>
      </c>
      <c r="C49" s="27" t="inlineStr">
        <is>
          <t>XP WH / D&amp;A</t>
        </is>
      </c>
      <c r="D49" s="72" t="inlineStr">
        <is>
          <t>Autoqueratorrefractor, marca Nidek, modelo ARK-F</t>
        </is>
      </c>
      <c r="E49" s="73" t="inlineStr">
        <is>
          <t>270031</t>
        </is>
      </c>
      <c r="F49" s="72" t="inlineStr">
        <is>
          <t>H.M.E.O. Constituyentes</t>
        </is>
      </c>
      <c r="G49" s="50" t="inlineStr">
        <is>
          <t>Servicio de mantenimiento integral para: Autoqueratorrefractor, marca Nidek, modelo ARK-F, serie 270031;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9" s="51" t="inlineStr">
        <is>
          <t>Servicio</t>
        </is>
      </c>
      <c r="I49" s="52" t="n">
        <v>1</v>
      </c>
      <c r="J49" s="53" t="n">
        <v>2</v>
      </c>
      <c r="K49" s="54" t="inlineStr">
        <is>
          <t>México</t>
        </is>
      </c>
      <c r="L49" s="290" t="n">
        <v>415086.2</v>
      </c>
      <c r="M49" s="291" t="n">
        <v>15000</v>
      </c>
      <c r="N49" s="292" t="n">
        <v>120000</v>
      </c>
      <c r="O49" s="292">
        <f>I49*N49</f>
        <v/>
      </c>
      <c r="P49" s="292">
        <f>J49*N49</f>
        <v/>
      </c>
      <c r="Q49" s="292">
        <f>SUM(O49:P49)</f>
        <v/>
      </c>
      <c r="R49" s="292">
        <f>Q49*$R$9</f>
        <v/>
      </c>
      <c r="S49" s="292">
        <f>SUM(Q49:R49)</f>
        <v/>
      </c>
      <c r="T49" s="56" t="inlineStr">
        <is>
          <t>Accesorios: No incluye
Consumibles: No incluye</t>
        </is>
      </c>
      <c r="U49" s="54" t="inlineStr">
        <is>
          <t>Durante la vigencia del contrato</t>
        </is>
      </c>
      <c r="V49" s="57" t="inlineStr">
        <is>
          <t>SI</t>
        </is>
      </c>
      <c r="W49" s="54" t="inlineStr">
        <is>
          <t>OFTALMO</t>
        </is>
      </c>
      <c r="X49" s="66" t="inlineStr">
        <is>
          <t>S4</t>
        </is>
      </c>
    </row>
    <row r="50" ht="124.95" customFormat="1" customHeight="1" s="29">
      <c r="A50" s="49" t="n">
        <v>52</v>
      </c>
      <c r="B50" s="68" t="inlineStr">
        <is>
          <t>CDMX</t>
        </is>
      </c>
      <c r="C50" s="27" t="inlineStr">
        <is>
          <t>CT / D&amp;A</t>
        </is>
      </c>
      <c r="D50" s="72" t="inlineStr">
        <is>
          <t>Autoqueratorrefractor, marca Nidek, modelo ARK-F</t>
        </is>
      </c>
      <c r="E50" s="73" t="inlineStr">
        <is>
          <t>270032</t>
        </is>
      </c>
      <c r="F50" s="72" t="inlineStr">
        <is>
          <t>H.M.E.O. Constituyentes</t>
        </is>
      </c>
      <c r="G50" s="50" t="inlineStr">
        <is>
          <t>Servicio de mantenimiento integral para: Autoqueratorrefractor, marca Nidek, modelo ARK-F, serie 270032;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0" s="51" t="inlineStr">
        <is>
          <t>Servicio</t>
        </is>
      </c>
      <c r="I50" s="52" t="n">
        <v>1</v>
      </c>
      <c r="J50" s="53" t="n">
        <v>2</v>
      </c>
      <c r="K50" s="54" t="inlineStr">
        <is>
          <t>México</t>
        </is>
      </c>
      <c r="L50" s="290" t="n">
        <v>418965.51</v>
      </c>
      <c r="M50" s="291" t="n">
        <v>15000</v>
      </c>
      <c r="N50" s="292" t="n">
        <v>120000</v>
      </c>
      <c r="O50" s="292">
        <f>I50*N50</f>
        <v/>
      </c>
      <c r="P50" s="292">
        <f>J50*N50</f>
        <v/>
      </c>
      <c r="Q50" s="292">
        <f>SUM(O50:P50)</f>
        <v/>
      </c>
      <c r="R50" s="292">
        <f>Q50*$R$9</f>
        <v/>
      </c>
      <c r="S50" s="292">
        <f>SUM(Q50:R50)</f>
        <v/>
      </c>
      <c r="T50" s="56" t="inlineStr">
        <is>
          <t>Accesorios: No incluye
Consumibles: No incluye</t>
        </is>
      </c>
      <c r="U50" s="54" t="inlineStr">
        <is>
          <t>Durante la vigencia del contrato</t>
        </is>
      </c>
      <c r="V50" s="57" t="inlineStr">
        <is>
          <t>SI</t>
        </is>
      </c>
      <c r="W50" s="54" t="inlineStr">
        <is>
          <t>OFTALMO</t>
        </is>
      </c>
      <c r="X50" s="66" t="inlineStr">
        <is>
          <t>S4</t>
        </is>
      </c>
    </row>
    <row r="51" ht="124.95" customFormat="1" customHeight="1" s="29">
      <c r="A51" s="49" t="n">
        <v>53</v>
      </c>
      <c r="B51" s="68" t="inlineStr">
        <is>
          <t>CDMX</t>
        </is>
      </c>
      <c r="C51" s="27" t="inlineStr">
        <is>
          <t>XP RF</t>
        </is>
      </c>
      <c r="D51" s="72" t="inlineStr">
        <is>
          <t>Autoqueratorrefractor, marca Nidek, modelo ARK-F</t>
        </is>
      </c>
      <c r="E51" s="68" t="inlineStr">
        <is>
          <t>270023</t>
        </is>
      </c>
      <c r="F51" s="69" t="inlineStr">
        <is>
          <t>H.M.E.O. Constituyentes</t>
        </is>
      </c>
      <c r="G51" s="50" t="inlineStr">
        <is>
          <t>Servicio de mantenimiento integral para: Autoqueratorrefractor, marca Nidek, modelo ARK-F, serie 270023;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1" s="51" t="inlineStr">
        <is>
          <t>Servicio</t>
        </is>
      </c>
      <c r="I51" s="52" t="n">
        <v>1</v>
      </c>
      <c r="J51" s="53" t="n">
        <v>2</v>
      </c>
      <c r="K51" s="54" t="inlineStr">
        <is>
          <t>México</t>
        </is>
      </c>
      <c r="L51" s="290" t="n">
        <v>418965.51</v>
      </c>
      <c r="M51" s="291" t="n">
        <v>15000</v>
      </c>
      <c r="N51" s="292" t="n">
        <v>120000</v>
      </c>
      <c r="O51" s="292">
        <f>I51*N51</f>
        <v/>
      </c>
      <c r="P51" s="292">
        <f>J51*N51</f>
        <v/>
      </c>
      <c r="Q51" s="292">
        <f>SUM(O51:P51)</f>
        <v/>
      </c>
      <c r="R51" s="292">
        <f>Q51*$R$9</f>
        <v/>
      </c>
      <c r="S51" s="292">
        <f>SUM(Q51:R51)</f>
        <v/>
      </c>
      <c r="T51" s="56" t="inlineStr">
        <is>
          <t>Accesorios: No incluye
Consumibles: No incluye</t>
        </is>
      </c>
      <c r="U51" s="54" t="inlineStr">
        <is>
          <t>Durante la vigencia del contrato</t>
        </is>
      </c>
      <c r="V51" s="57" t="inlineStr">
        <is>
          <t>SI</t>
        </is>
      </c>
      <c r="W51" s="54" t="inlineStr">
        <is>
          <t>OFTALMO</t>
        </is>
      </c>
      <c r="X51" s="66" t="inlineStr">
        <is>
          <t>S4</t>
        </is>
      </c>
    </row>
    <row r="52" ht="124.95" customFormat="1" customHeight="1" s="29">
      <c r="A52" s="49" t="n">
        <v>54</v>
      </c>
      <c r="B52" s="68" t="inlineStr">
        <is>
          <t>CDMX</t>
        </is>
      </c>
      <c r="C52" s="27" t="inlineStr">
        <is>
          <t>US</t>
        </is>
      </c>
      <c r="D52" s="72" t="inlineStr">
        <is>
          <t>Autoqueratorrefractor, marca Nidek, modelo ARK-F</t>
        </is>
      </c>
      <c r="E52" s="68" t="inlineStr">
        <is>
          <t>270034</t>
        </is>
      </c>
      <c r="F52" s="69" t="inlineStr">
        <is>
          <t>H.M.E.O. Constituyentes</t>
        </is>
      </c>
      <c r="G52" s="50" t="inlineStr">
        <is>
          <t>Servicio de mantenimiento integral para: Autoqueratorrefractor, marca Nidek, modelo ARK-F, serie 270034;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2" s="51" t="inlineStr">
        <is>
          <t>Servicio</t>
        </is>
      </c>
      <c r="I52" s="52" t="n">
        <v>1</v>
      </c>
      <c r="J52" s="53" t="n">
        <v>2</v>
      </c>
      <c r="K52" s="54" t="inlineStr">
        <is>
          <t>México</t>
        </is>
      </c>
      <c r="L52" s="290" t="n">
        <v>422844.82</v>
      </c>
      <c r="M52" s="291" t="n">
        <v>15000</v>
      </c>
      <c r="N52" s="292" t="n">
        <v>120000</v>
      </c>
      <c r="O52" s="292">
        <f>I52*N52</f>
        <v/>
      </c>
      <c r="P52" s="292">
        <f>J52*N52</f>
        <v/>
      </c>
      <c r="Q52" s="292">
        <f>SUM(O52:P52)</f>
        <v/>
      </c>
      <c r="R52" s="292">
        <f>Q52*$R$9</f>
        <v/>
      </c>
      <c r="S52" s="292">
        <f>SUM(Q52:R52)</f>
        <v/>
      </c>
      <c r="T52" s="56" t="inlineStr">
        <is>
          <t>Accesorios: No incluye
Consumibles: No incluye</t>
        </is>
      </c>
      <c r="U52" s="54" t="inlineStr">
        <is>
          <t>Durante la vigencia del contrato</t>
        </is>
      </c>
      <c r="V52" s="57" t="inlineStr">
        <is>
          <t>SI</t>
        </is>
      </c>
      <c r="W52" s="54" t="inlineStr">
        <is>
          <t>OFTALMO</t>
        </is>
      </c>
      <c r="X52" s="66" t="inlineStr">
        <is>
          <t>S4</t>
        </is>
      </c>
    </row>
    <row r="53" ht="124.95" customFormat="1" customHeight="1" s="29">
      <c r="A53" s="49" t="n">
        <v>55</v>
      </c>
      <c r="B53" s="68" t="inlineStr">
        <is>
          <t>CDMX</t>
        </is>
      </c>
      <c r="C53" s="27" t="inlineStr">
        <is>
          <t>CT / D&amp;A</t>
        </is>
      </c>
      <c r="D53" s="72" t="inlineStr">
        <is>
          <t>Autoqueratorrefractor, marca Nidek, modelo ARK-F</t>
        </is>
      </c>
      <c r="E53" s="73" t="inlineStr">
        <is>
          <t>270035</t>
        </is>
      </c>
      <c r="F53" s="72" t="inlineStr">
        <is>
          <t>H.M.E.O. Constituyentes</t>
        </is>
      </c>
      <c r="G53" s="50" t="inlineStr">
        <is>
          <t>Servicio de mantenimiento integral para: Autoqueratorrefractor, marca Nidek, modelo ARK-F, serie 270035;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3" s="51" t="inlineStr">
        <is>
          <t>Servicio</t>
        </is>
      </c>
      <c r="I53" s="52" t="n">
        <v>1</v>
      </c>
      <c r="J53" s="53" t="n">
        <v>2</v>
      </c>
      <c r="K53" s="54" t="inlineStr">
        <is>
          <t>México</t>
        </is>
      </c>
      <c r="L53" s="290" t="n">
        <v>387931.03</v>
      </c>
      <c r="M53" s="291" t="n">
        <v>15000</v>
      </c>
      <c r="N53" s="292" t="n">
        <v>120000</v>
      </c>
      <c r="O53" s="292">
        <f>I53*N53</f>
        <v/>
      </c>
      <c r="P53" s="292">
        <f>J53*N53</f>
        <v/>
      </c>
      <c r="Q53" s="292">
        <f>SUM(O53:P53)</f>
        <v/>
      </c>
      <c r="R53" s="292">
        <f>Q53*$R$9</f>
        <v/>
      </c>
      <c r="S53" s="292">
        <f>SUM(Q53:R53)</f>
        <v/>
      </c>
      <c r="T53" s="56" t="inlineStr">
        <is>
          <t>Accesorios: No incluye
Consumibles: No incluye</t>
        </is>
      </c>
      <c r="U53" s="54" t="inlineStr">
        <is>
          <t>Durante la vigencia del contrato</t>
        </is>
      </c>
      <c r="V53" s="57" t="inlineStr">
        <is>
          <t>SI</t>
        </is>
      </c>
      <c r="W53" s="54" t="inlineStr">
        <is>
          <t>OFTALMO</t>
        </is>
      </c>
      <c r="X53" s="66" t="inlineStr">
        <is>
          <t>S4</t>
        </is>
      </c>
    </row>
    <row r="54" ht="124.95" customFormat="1" customHeight="1" s="29">
      <c r="A54" s="49" t="n">
        <v>56</v>
      </c>
      <c r="B54" s="68" t="inlineStr">
        <is>
          <t>CDMX</t>
        </is>
      </c>
      <c r="C54" s="27" t="inlineStr">
        <is>
          <t>CT</t>
        </is>
      </c>
      <c r="D54" s="72" t="inlineStr">
        <is>
          <t>Autoqueratorrefractor, marca Nidek, modelo ARK-F</t>
        </is>
      </c>
      <c r="E54" s="68" t="inlineStr">
        <is>
          <t>270036</t>
        </is>
      </c>
      <c r="F54" s="69" t="inlineStr">
        <is>
          <t>H.M.E.O. Constituyentes</t>
        </is>
      </c>
      <c r="G54" s="50" t="inlineStr">
        <is>
          <t>Servicio de mantenimiento integral para: Autoqueratorrefractor, marca Nidek, modelo ARK-F, serie 270036;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4" s="51" t="inlineStr">
        <is>
          <t>Servicio</t>
        </is>
      </c>
      <c r="I54" s="52" t="n">
        <v>1</v>
      </c>
      <c r="J54" s="53" t="n">
        <v>2</v>
      </c>
      <c r="K54" s="54" t="inlineStr">
        <is>
          <t>México</t>
        </is>
      </c>
      <c r="L54" s="290" t="n">
        <v>407327.58</v>
      </c>
      <c r="M54" s="291" t="n">
        <v>15000</v>
      </c>
      <c r="N54" s="292" t="n">
        <v>120000</v>
      </c>
      <c r="O54" s="292">
        <f>I54*N54</f>
        <v/>
      </c>
      <c r="P54" s="292">
        <f>J54*N54</f>
        <v/>
      </c>
      <c r="Q54" s="292">
        <f>SUM(O54:P54)</f>
        <v/>
      </c>
      <c r="R54" s="292">
        <f>Q54*$R$9</f>
        <v/>
      </c>
      <c r="S54" s="292">
        <f>SUM(Q54:R54)</f>
        <v/>
      </c>
      <c r="T54" s="56" t="inlineStr">
        <is>
          <t>Accesorios: No incluye
Consumibles: No incluye</t>
        </is>
      </c>
      <c r="U54" s="54" t="inlineStr">
        <is>
          <t>Durante la vigencia del contrato</t>
        </is>
      </c>
      <c r="V54" s="57" t="inlineStr">
        <is>
          <t>SI</t>
        </is>
      </c>
      <c r="W54" s="54" t="inlineStr">
        <is>
          <t>OFTALMO</t>
        </is>
      </c>
      <c r="X54" s="66" t="inlineStr">
        <is>
          <t>S4</t>
        </is>
      </c>
    </row>
    <row r="55" ht="124.95" customFormat="1" customHeight="1" s="29">
      <c r="A55" s="49" t="n">
        <v>57</v>
      </c>
      <c r="B55" s="68" t="inlineStr">
        <is>
          <t>CDMX</t>
        </is>
      </c>
      <c r="C55" s="27" t="inlineStr">
        <is>
          <t>CT / D&amp;A</t>
        </is>
      </c>
      <c r="D55" s="72" t="inlineStr">
        <is>
          <t>Autoqueratorrefractor, marca Nidek, modelo ARK-F</t>
        </is>
      </c>
      <c r="E55" s="73" t="inlineStr">
        <is>
          <t>270037</t>
        </is>
      </c>
      <c r="F55" s="72" t="inlineStr">
        <is>
          <t>H.M.E.O. Constituyentes</t>
        </is>
      </c>
      <c r="G55" s="50" t="inlineStr">
        <is>
          <t>Servicio de mantenimiento integral para: Autoqueratorrefractor, marca Nidek, modelo ARK-F, serie 270037;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5" s="51" t="inlineStr">
        <is>
          <t>Servicio</t>
        </is>
      </c>
      <c r="I55" s="52" t="n">
        <v>1</v>
      </c>
      <c r="J55" s="53" t="n">
        <v>2</v>
      </c>
      <c r="K55" s="54" t="inlineStr">
        <is>
          <t>México</t>
        </is>
      </c>
      <c r="L55" s="290" t="n">
        <v>399568.96</v>
      </c>
      <c r="M55" s="291" t="n">
        <v>15000</v>
      </c>
      <c r="N55" s="292" t="n">
        <v>120000</v>
      </c>
      <c r="O55" s="292">
        <f>I55*N55</f>
        <v/>
      </c>
      <c r="P55" s="292">
        <f>J55*N55</f>
        <v/>
      </c>
      <c r="Q55" s="292">
        <f>SUM(O55:P55)</f>
        <v/>
      </c>
      <c r="R55" s="292">
        <f>Q55*$R$9</f>
        <v/>
      </c>
      <c r="S55" s="292">
        <f>SUM(Q55:R55)</f>
        <v/>
      </c>
      <c r="T55" s="56" t="inlineStr">
        <is>
          <t>Accesorios: No incluye
Consumibles: No incluye</t>
        </is>
      </c>
      <c r="U55" s="54" t="inlineStr">
        <is>
          <t>Durante la vigencia del contrato</t>
        </is>
      </c>
      <c r="V55" s="57" t="inlineStr">
        <is>
          <t>SI</t>
        </is>
      </c>
      <c r="W55" s="54" t="inlineStr">
        <is>
          <t>OFTALMO</t>
        </is>
      </c>
      <c r="X55" s="66" t="inlineStr">
        <is>
          <t>S4</t>
        </is>
      </c>
    </row>
    <row r="56" ht="124.95" customFormat="1" customHeight="1" s="30">
      <c r="A56" s="49" t="n">
        <v>58</v>
      </c>
      <c r="B56" s="68" t="inlineStr">
        <is>
          <t>CDMX</t>
        </is>
      </c>
      <c r="C56" s="27" t="inlineStr">
        <is>
          <t>CT</t>
        </is>
      </c>
      <c r="D56" s="72" t="inlineStr">
        <is>
          <t>Autoqueratorrefractor, marca Nidek, modelo ARK-F</t>
        </is>
      </c>
      <c r="E56" s="68" t="inlineStr">
        <is>
          <t>270038</t>
        </is>
      </c>
      <c r="F56" s="69" t="inlineStr">
        <is>
          <t>H.M.E.O. Constituyentes</t>
        </is>
      </c>
      <c r="G56" s="50" t="inlineStr">
        <is>
          <t>Servicio de mantenimiento integral para: Autoqueratorrefractor, marca Nidek, modelo ARK-F, serie 270038;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6" s="51" t="inlineStr">
        <is>
          <t>Servicio</t>
        </is>
      </c>
      <c r="I56" s="52" t="n">
        <v>1</v>
      </c>
      <c r="J56" s="53" t="n">
        <v>2</v>
      </c>
      <c r="K56" s="59" t="inlineStr">
        <is>
          <t>México</t>
        </is>
      </c>
      <c r="L56" s="290" t="n">
        <v>405690</v>
      </c>
      <c r="M56" s="291" t="n">
        <v>15000</v>
      </c>
      <c r="N56" s="292" t="n">
        <v>120000</v>
      </c>
      <c r="O56" s="292">
        <f>I56*N56</f>
        <v/>
      </c>
      <c r="P56" s="292">
        <f>J56*N56</f>
        <v/>
      </c>
      <c r="Q56" s="292">
        <f>SUM(O56:P56)</f>
        <v/>
      </c>
      <c r="R56" s="292">
        <f>Q56*$R$9</f>
        <v/>
      </c>
      <c r="S56" s="292">
        <f>SUM(Q56:R56)</f>
        <v/>
      </c>
      <c r="T56" s="56" t="inlineStr">
        <is>
          <t>Accesorios: No incluye
Consumibles: No incluye</t>
        </is>
      </c>
      <c r="U56" s="54" t="inlineStr">
        <is>
          <t>Durante la vigencia del contrato</t>
        </is>
      </c>
      <c r="V56" s="57" t="inlineStr">
        <is>
          <t>SI</t>
        </is>
      </c>
      <c r="W56" s="54" t="inlineStr">
        <is>
          <t>OFTALMO</t>
        </is>
      </c>
      <c r="X56" s="28" t="inlineStr">
        <is>
          <t>S4</t>
        </is>
      </c>
    </row>
    <row r="57" ht="124.95" customHeight="1" s="227">
      <c r="A57" s="49" t="n">
        <v>59</v>
      </c>
      <c r="B57" s="74" t="inlineStr">
        <is>
          <t>CDMX</t>
        </is>
      </c>
      <c r="C57" s="31" t="n"/>
      <c r="D57" s="75" t="inlineStr">
        <is>
          <t>Autoqueratorrefractor, marca Nidek, modelo ARK-F</t>
        </is>
      </c>
      <c r="E57" s="74" t="inlineStr">
        <is>
          <t>270033</t>
        </is>
      </c>
      <c r="F57" s="75" t="inlineStr">
        <is>
          <t>H.M.E.O. Constituyentes</t>
        </is>
      </c>
      <c r="G57" s="50" t="inlineStr">
        <is>
          <t>Servicio de mantenimiento integral para: Autoqueratorrefractor, marca Nidek, modelo ARK-F, serie 270033;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7" s="51" t="inlineStr">
        <is>
          <t>Servicio</t>
        </is>
      </c>
      <c r="I57" s="52" t="n">
        <v>1</v>
      </c>
      <c r="J57" s="53" t="n">
        <v>2</v>
      </c>
      <c r="K57" s="59" t="inlineStr">
        <is>
          <t>México</t>
        </is>
      </c>
      <c r="L57" s="290" t="n">
        <v>395689.65</v>
      </c>
      <c r="M57" s="291" t="n">
        <v>15000</v>
      </c>
      <c r="N57" s="292" t="n">
        <v>120000</v>
      </c>
      <c r="O57" s="292">
        <f>I57*N57</f>
        <v/>
      </c>
      <c r="P57" s="292">
        <f>J57*N57</f>
        <v/>
      </c>
      <c r="Q57" s="292">
        <f>SUM(O57:P57)</f>
        <v/>
      </c>
      <c r="R57" s="292">
        <f>Q57*$R$9</f>
        <v/>
      </c>
      <c r="S57" s="292">
        <f>SUM(Q57:R57)</f>
        <v/>
      </c>
      <c r="T57" s="56" t="inlineStr">
        <is>
          <t>Accesorios: No incluye
Consumibles: No incluye</t>
        </is>
      </c>
      <c r="U57" s="54" t="inlineStr">
        <is>
          <t>Durante la vigencia del contrato</t>
        </is>
      </c>
      <c r="V57" s="57" t="inlineStr">
        <is>
          <t>SI</t>
        </is>
      </c>
      <c r="W57" s="54" t="inlineStr">
        <is>
          <t>OFTALMO</t>
        </is>
      </c>
      <c r="X57" s="32" t="inlineStr">
        <is>
          <t>S4</t>
        </is>
      </c>
    </row>
    <row r="58" ht="124.95" customHeight="1" s="227">
      <c r="A58" s="49" t="n">
        <v>60</v>
      </c>
      <c r="B58" s="68" t="inlineStr">
        <is>
          <t>CDMX</t>
        </is>
      </c>
      <c r="D58" s="69" t="inlineStr">
        <is>
          <t>Autoqueratorrefractor, marca Nidek, modelo ARK-F</t>
        </is>
      </c>
      <c r="E58" s="68" t="inlineStr">
        <is>
          <t>270025</t>
        </is>
      </c>
      <c r="F58" s="69" t="inlineStr">
        <is>
          <t>H.M.E.O. Constituyentes</t>
        </is>
      </c>
      <c r="G58" s="50" t="inlineStr">
        <is>
          <t>Servicio de mantenimiento integral para: Autoqueratorrefractor, marca Nidek, modelo ARK-F, serie 270025;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8" s="51" t="inlineStr">
        <is>
          <t>Servicio</t>
        </is>
      </c>
      <c r="I58" s="52" t="n">
        <v>1</v>
      </c>
      <c r="J58" s="53" t="n">
        <v>2</v>
      </c>
      <c r="K58" s="59" t="inlineStr">
        <is>
          <t>México</t>
        </is>
      </c>
      <c r="L58" s="290" t="n">
        <v>399568.96</v>
      </c>
      <c r="M58" s="291" t="n">
        <v>15000</v>
      </c>
      <c r="N58" s="292" t="n">
        <v>120000</v>
      </c>
      <c r="O58" s="292">
        <f>I58*N58</f>
        <v/>
      </c>
      <c r="P58" s="292">
        <f>J58*N58</f>
        <v/>
      </c>
      <c r="Q58" s="292">
        <f>SUM(O58:P58)</f>
        <v/>
      </c>
      <c r="R58" s="292">
        <f>Q58*$R$9</f>
        <v/>
      </c>
      <c r="S58" s="292">
        <f>SUM(Q58:R58)</f>
        <v/>
      </c>
      <c r="T58" s="56" t="inlineStr">
        <is>
          <t>Accesorios: No incluye
Consumibles: No incluye</t>
        </is>
      </c>
      <c r="U58" s="54" t="inlineStr">
        <is>
          <t>Durante la vigencia del contrato</t>
        </is>
      </c>
      <c r="V58" s="57" t="inlineStr">
        <is>
          <t>SI</t>
        </is>
      </c>
      <c r="W58" s="54" t="inlineStr">
        <is>
          <t>OFTALMO</t>
        </is>
      </c>
      <c r="X58" s="32" t="inlineStr">
        <is>
          <t>S4</t>
        </is>
      </c>
    </row>
    <row r="59" ht="140.4" customHeight="1" s="227">
      <c r="A59" s="49" t="n">
        <v>61</v>
      </c>
      <c r="B59" s="68" t="inlineStr">
        <is>
          <t>CDMX</t>
        </is>
      </c>
      <c r="D59" s="69" t="inlineStr">
        <is>
          <t>Sistema de diagnóstico oftálmico avanzado, marca Nidek, modelo TONOREF III</t>
        </is>
      </c>
      <c r="E59" s="68" t="inlineStr">
        <is>
          <t>170692</t>
        </is>
      </c>
      <c r="F59" s="69" t="inlineStr">
        <is>
          <t>H.M.E.O. Constituyentes</t>
        </is>
      </c>
      <c r="G59" s="50" t="inlineStr">
        <is>
          <t>Servicio de mantenimiento integral para: Sistema de diagnóstico oftálmico avanzado, marca Nidek, modelo TONOREF III, serie 170692;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9" s="51" t="inlineStr">
        <is>
          <t>Servicio</t>
        </is>
      </c>
      <c r="I59" s="52" t="n">
        <v>1</v>
      </c>
      <c r="J59" s="53" t="n">
        <v>2</v>
      </c>
      <c r="K59" s="59" t="inlineStr">
        <is>
          <t>México</t>
        </is>
      </c>
      <c r="L59" s="290" t="n">
        <v>407327.58</v>
      </c>
      <c r="M59" s="291" t="n">
        <v>20000</v>
      </c>
      <c r="N59" s="292" t="n">
        <v>150000</v>
      </c>
      <c r="O59" s="292">
        <f>I59*N59</f>
        <v/>
      </c>
      <c r="P59" s="292">
        <f>J59*N59</f>
        <v/>
      </c>
      <c r="Q59" s="292">
        <f>SUM(O59:P59)</f>
        <v/>
      </c>
      <c r="R59" s="292">
        <f>Q59*$R$9</f>
        <v/>
      </c>
      <c r="S59" s="292">
        <f>SUM(Q59:R59)</f>
        <v/>
      </c>
      <c r="T59" s="56" t="inlineStr">
        <is>
          <t>Accesorios: No incluye
Consumibles: No incluye</t>
        </is>
      </c>
      <c r="U59" s="54" t="inlineStr">
        <is>
          <t>Durante la vigencia del contrato</t>
        </is>
      </c>
      <c r="V59" s="57" t="inlineStr">
        <is>
          <t>SI</t>
        </is>
      </c>
      <c r="W59" s="54" t="inlineStr">
        <is>
          <t>OFTALMO</t>
        </is>
      </c>
      <c r="X59" s="32" t="inlineStr">
        <is>
          <t>S4</t>
        </is>
      </c>
    </row>
    <row r="60" ht="140.4" customHeight="1" s="227">
      <c r="A60" s="49" t="n">
        <v>62</v>
      </c>
      <c r="B60" s="68" t="inlineStr">
        <is>
          <t>CDMX</t>
        </is>
      </c>
      <c r="D60" s="69" t="inlineStr">
        <is>
          <t>Sistema de diagnóstico oftálmico avanzado, marca Nidek, modelo TONOREF III</t>
        </is>
      </c>
      <c r="E60" s="68" t="inlineStr">
        <is>
          <t>170696</t>
        </is>
      </c>
      <c r="F60" s="69" t="inlineStr">
        <is>
          <t>H.M.E.O. Constituyentes</t>
        </is>
      </c>
      <c r="G60" s="50" t="inlineStr">
        <is>
          <t>Servicio de mantenimiento integral para: Sistema de diagnóstico oftálmico avanzado, marca Nidek, modelo TONOREF III, serie 170696;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0" s="51" t="inlineStr">
        <is>
          <t>Servicio</t>
        </is>
      </c>
      <c r="I60" s="52" t="n">
        <v>1</v>
      </c>
      <c r="J60" s="53" t="n">
        <v>2</v>
      </c>
      <c r="K60" s="59" t="inlineStr">
        <is>
          <t>México</t>
        </is>
      </c>
      <c r="L60" s="290" t="n">
        <v>403448.27</v>
      </c>
      <c r="M60" s="291" t="n">
        <v>20000</v>
      </c>
      <c r="N60" s="292" t="n">
        <v>150000</v>
      </c>
      <c r="O60" s="292">
        <f>I60*N60</f>
        <v/>
      </c>
      <c r="P60" s="292">
        <f>J60*N60</f>
        <v/>
      </c>
      <c r="Q60" s="292">
        <f>SUM(O60:P60)</f>
        <v/>
      </c>
      <c r="R60" s="292">
        <f>Q60*$R$9</f>
        <v/>
      </c>
      <c r="S60" s="292">
        <f>SUM(Q60:R60)</f>
        <v/>
      </c>
      <c r="T60" s="56" t="inlineStr">
        <is>
          <t>Accesorios: No incluye
Consumibles: No incluye</t>
        </is>
      </c>
      <c r="U60" s="54" t="inlineStr">
        <is>
          <t>Durante la vigencia del contrato</t>
        </is>
      </c>
      <c r="V60" s="57" t="inlineStr">
        <is>
          <t>SI</t>
        </is>
      </c>
      <c r="W60" s="54" t="inlineStr">
        <is>
          <t>OFTALMO</t>
        </is>
      </c>
      <c r="X60" s="32" t="inlineStr">
        <is>
          <t>S4</t>
        </is>
      </c>
    </row>
    <row r="61" ht="140.4" customHeight="1" s="227">
      <c r="A61" s="49" t="n">
        <v>63</v>
      </c>
      <c r="B61" s="68" t="inlineStr">
        <is>
          <t>CDMX</t>
        </is>
      </c>
      <c r="D61" s="69" t="inlineStr">
        <is>
          <t>Sistema de diagnóstico oftálmico avanzado, marca Nidek, modelo TONOREF III</t>
        </is>
      </c>
      <c r="E61" s="68" t="inlineStr">
        <is>
          <t>170711</t>
        </is>
      </c>
      <c r="F61" s="69" t="inlineStr">
        <is>
          <t>H.M.E.O. Constituyentes</t>
        </is>
      </c>
      <c r="G61" s="50" t="inlineStr">
        <is>
          <t>Servicio de mantenimiento integral para: Sistema de diagnóstico oftálmico avanzado, marca Nidek, modelo TONOREF III, serie 170711;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1" s="51" t="inlineStr">
        <is>
          <t>Servicio</t>
        </is>
      </c>
      <c r="I61" s="52" t="n">
        <v>1</v>
      </c>
      <c r="J61" s="53" t="n">
        <v>2</v>
      </c>
      <c r="K61" s="59" t="inlineStr">
        <is>
          <t>México</t>
        </is>
      </c>
      <c r="L61" s="290" t="n">
        <v>396700</v>
      </c>
      <c r="M61" s="291" t="n">
        <v>20000</v>
      </c>
      <c r="N61" s="292" t="n">
        <v>150000</v>
      </c>
      <c r="O61" s="292">
        <f>I61*N61</f>
        <v/>
      </c>
      <c r="P61" s="292">
        <f>J61*N61</f>
        <v/>
      </c>
      <c r="Q61" s="292">
        <f>SUM(O61:P61)</f>
        <v/>
      </c>
      <c r="R61" s="292">
        <f>Q61*$R$9</f>
        <v/>
      </c>
      <c r="S61" s="292">
        <f>SUM(Q61:R61)</f>
        <v/>
      </c>
      <c r="T61" s="56" t="inlineStr">
        <is>
          <t>Accesorios: No incluye
Consumibles: No incluye</t>
        </is>
      </c>
      <c r="U61" s="54" t="inlineStr">
        <is>
          <t>Durante la vigencia del contrato</t>
        </is>
      </c>
      <c r="V61" s="57" t="inlineStr">
        <is>
          <t>SI</t>
        </is>
      </c>
      <c r="W61" s="54" t="inlineStr">
        <is>
          <t>OFTALMO</t>
        </is>
      </c>
      <c r="X61" s="32" t="inlineStr">
        <is>
          <t>S4</t>
        </is>
      </c>
    </row>
    <row r="62" ht="140.4" customHeight="1" s="227">
      <c r="A62" s="49" t="n">
        <v>64</v>
      </c>
      <c r="B62" s="68" t="inlineStr">
        <is>
          <t>CDMX</t>
        </is>
      </c>
      <c r="D62" s="69" t="inlineStr">
        <is>
          <t>Sistema de diagnóstico oftálmico avanzado, marca Nidek, modelo TONOREF III</t>
        </is>
      </c>
      <c r="E62" s="68" t="inlineStr">
        <is>
          <t>170712</t>
        </is>
      </c>
      <c r="F62" s="69" t="inlineStr">
        <is>
          <t>H.M.E.O. Constituyentes</t>
        </is>
      </c>
      <c r="G62" s="50" t="inlineStr">
        <is>
          <t>Servicio de mantenimiento integral para: Sistema de diagnóstico oftálmico avanzado, marca Nidek, modelo TONOREF III, serie 170712;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2" s="51" t="inlineStr">
        <is>
          <t>Servicio</t>
        </is>
      </c>
      <c r="I62" s="52" t="n">
        <v>1</v>
      </c>
      <c r="J62" s="53" t="n">
        <v>2</v>
      </c>
      <c r="K62" s="59" t="inlineStr">
        <is>
          <t>México</t>
        </is>
      </c>
      <c r="L62" s="290" t="n">
        <v>426724.13</v>
      </c>
      <c r="M62" s="291" t="n">
        <v>20000</v>
      </c>
      <c r="N62" s="292" t="n">
        <v>150000</v>
      </c>
      <c r="O62" s="292">
        <f>I62*N62</f>
        <v/>
      </c>
      <c r="P62" s="292">
        <f>J62*N62</f>
        <v/>
      </c>
      <c r="Q62" s="292">
        <f>SUM(O62:P62)</f>
        <v/>
      </c>
      <c r="R62" s="292">
        <f>Q62*$R$9</f>
        <v/>
      </c>
      <c r="S62" s="292">
        <f>SUM(Q62:R62)</f>
        <v/>
      </c>
      <c r="T62" s="56" t="inlineStr">
        <is>
          <t>Accesorios: No incluye
Consumibles: No incluye</t>
        </is>
      </c>
      <c r="U62" s="54" t="inlineStr">
        <is>
          <t>Durante la vigencia del contrato</t>
        </is>
      </c>
      <c r="V62" s="57" t="inlineStr">
        <is>
          <t>SI</t>
        </is>
      </c>
      <c r="W62" s="54" t="inlineStr">
        <is>
          <t>OFTALMO</t>
        </is>
      </c>
      <c r="X62" s="32" t="inlineStr">
        <is>
          <t>S4</t>
        </is>
      </c>
    </row>
    <row r="63" ht="140.4" customHeight="1" s="227">
      <c r="A63" s="49" t="n">
        <v>65</v>
      </c>
      <c r="B63" s="68" t="inlineStr">
        <is>
          <t>CDMX</t>
        </is>
      </c>
      <c r="D63" s="69" t="inlineStr">
        <is>
          <t>Sistema de diagnóstico oftálmico avanzado, marca Nidek, modelo TONOREF III</t>
        </is>
      </c>
      <c r="E63" s="68" t="inlineStr">
        <is>
          <t>170715</t>
        </is>
      </c>
      <c r="F63" s="69" t="inlineStr">
        <is>
          <t>H.M.E.O. Constituyentes</t>
        </is>
      </c>
      <c r="G63" s="50" t="inlineStr">
        <is>
          <t>Servicio de mantenimiento integral para: Sistema de diagnóstico oftálmico avanzado, marca Nidek, modelo TONOREF III, serie 170715;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3" s="51" t="inlineStr">
        <is>
          <t>Servicio</t>
        </is>
      </c>
      <c r="I63" s="52" t="n">
        <v>1</v>
      </c>
      <c r="J63" s="53" t="n">
        <v>2</v>
      </c>
      <c r="K63" s="59" t="inlineStr">
        <is>
          <t>México</t>
        </is>
      </c>
      <c r="L63" s="290" t="n">
        <v>415086.2</v>
      </c>
      <c r="M63" s="291" t="n">
        <v>20000</v>
      </c>
      <c r="N63" s="292" t="n">
        <v>150000</v>
      </c>
      <c r="O63" s="292">
        <f>I63*N63</f>
        <v/>
      </c>
      <c r="P63" s="292">
        <f>J63*N63</f>
        <v/>
      </c>
      <c r="Q63" s="292">
        <f>SUM(O63:P63)</f>
        <v/>
      </c>
      <c r="R63" s="292">
        <f>Q63*$R$9</f>
        <v/>
      </c>
      <c r="S63" s="292">
        <f>SUM(Q63:R63)</f>
        <v/>
      </c>
      <c r="T63" s="56" t="inlineStr">
        <is>
          <t>Accesorios: No incluye
Consumibles: No incluye</t>
        </is>
      </c>
      <c r="U63" s="54" t="inlineStr">
        <is>
          <t>Durante la vigencia del contrato</t>
        </is>
      </c>
      <c r="V63" s="57" t="inlineStr">
        <is>
          <t>SI</t>
        </is>
      </c>
      <c r="W63" s="54" t="inlineStr">
        <is>
          <t>OFTALMO</t>
        </is>
      </c>
      <c r="X63" s="32" t="inlineStr">
        <is>
          <t>S4</t>
        </is>
      </c>
    </row>
    <row r="64" ht="140.4" customHeight="1" s="227">
      <c r="A64" s="49" t="n">
        <v>68</v>
      </c>
      <c r="B64" s="68" t="inlineStr">
        <is>
          <t>CDMX</t>
        </is>
      </c>
      <c r="D64" s="69" t="inlineStr">
        <is>
          <t>Sistema de diagnóstico oftálmico avanzado, marca Nidek, modelo OPD-Scan III</t>
        </is>
      </c>
      <c r="E64" s="68" t="inlineStr">
        <is>
          <t>470112</t>
        </is>
      </c>
      <c r="F64" s="69" t="inlineStr">
        <is>
          <t>H.M.E.O. Constituyentes</t>
        </is>
      </c>
      <c r="G64" s="50" t="inlineStr">
        <is>
          <t>Servicio de mantenimiento integral para: Sistema de diagnóstico oftálmico avanzado, marca Nidek, modelo OPD-Scan III, serie 470112;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4" s="51" t="inlineStr">
        <is>
          <t>Servicio</t>
        </is>
      </c>
      <c r="I64" s="52" t="n">
        <v>1</v>
      </c>
      <c r="J64" s="52" t="n">
        <v>2</v>
      </c>
      <c r="K64" s="59" t="inlineStr">
        <is>
          <t>México</t>
        </is>
      </c>
      <c r="L64" s="290" t="n">
        <v>192025.86</v>
      </c>
      <c r="M64" s="291" t="n">
        <v>40000</v>
      </c>
      <c r="N64" s="292" t="n">
        <v>150000</v>
      </c>
      <c r="O64" s="292">
        <f>I64*N64</f>
        <v/>
      </c>
      <c r="P64" s="292">
        <f>J64*N64</f>
        <v/>
      </c>
      <c r="Q64" s="292">
        <f>SUM(O64:P64)</f>
        <v/>
      </c>
      <c r="R64" s="292">
        <f>Q64*$R$9</f>
        <v/>
      </c>
      <c r="S64" s="292">
        <f>SUM(Q64:R64)</f>
        <v/>
      </c>
      <c r="T64" s="56" t="inlineStr">
        <is>
          <t>Accesorios: No incluye
Consumibles: No incluye</t>
        </is>
      </c>
      <c r="U64" s="54" t="inlineStr">
        <is>
          <t>Durante la vigencia del contrato</t>
        </is>
      </c>
      <c r="V64" s="57" t="inlineStr">
        <is>
          <t>SI</t>
        </is>
      </c>
      <c r="W64" s="54" t="inlineStr">
        <is>
          <t>OFTALMO</t>
        </is>
      </c>
      <c r="X64" s="32" t="inlineStr">
        <is>
          <t>S4</t>
        </is>
      </c>
    </row>
    <row r="65" ht="140.4" customHeight="1" s="227">
      <c r="A65" s="49" t="n">
        <v>69</v>
      </c>
      <c r="B65" s="68" t="inlineStr">
        <is>
          <t>CDMX</t>
        </is>
      </c>
      <c r="D65" s="69" t="inlineStr">
        <is>
          <t>Sistema de diagnóstico oftálmico avanzado, marca Nidek, modelo OPD-Scan III</t>
        </is>
      </c>
      <c r="E65" s="68" t="inlineStr">
        <is>
          <t>470113</t>
        </is>
      </c>
      <c r="F65" s="69" t="inlineStr">
        <is>
          <t>H.M.E.O. Constituyentes</t>
        </is>
      </c>
      <c r="G65" s="50" t="inlineStr">
        <is>
          <t>Servicio de mantenimiento integral para: Sistema de diagnóstico oftálmico avanzado, marca Nidek, modelo OPD-Scan III, serie 470113;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5" s="51" t="inlineStr">
        <is>
          <t>Servicio</t>
        </is>
      </c>
      <c r="I65" s="52" t="n">
        <v>1</v>
      </c>
      <c r="J65" s="52" t="n">
        <v>2</v>
      </c>
      <c r="K65" s="59" t="inlineStr">
        <is>
          <t>México</t>
        </is>
      </c>
      <c r="L65" s="290" t="n">
        <v>183355</v>
      </c>
      <c r="M65" s="291" t="n">
        <v>40000</v>
      </c>
      <c r="N65" s="292" t="n">
        <v>150000</v>
      </c>
      <c r="O65" s="292">
        <f>I65*N65</f>
        <v/>
      </c>
      <c r="P65" s="292">
        <f>J65*N65</f>
        <v/>
      </c>
      <c r="Q65" s="292">
        <f>SUM(O65:P65)</f>
        <v/>
      </c>
      <c r="R65" s="292">
        <f>Q65*$R$9</f>
        <v/>
      </c>
      <c r="S65" s="292">
        <f>SUM(Q65:R65)</f>
        <v/>
      </c>
      <c r="T65" s="56" t="inlineStr">
        <is>
          <t>Accesorios: No incluye
Consumibles: No incluye</t>
        </is>
      </c>
      <c r="U65" s="54" t="inlineStr">
        <is>
          <t>Durante la vigencia del contrato</t>
        </is>
      </c>
      <c r="V65" s="57" t="inlineStr">
        <is>
          <t>SI</t>
        </is>
      </c>
      <c r="W65" s="54" t="inlineStr">
        <is>
          <t>OFTALMO</t>
        </is>
      </c>
      <c r="X65" s="32" t="inlineStr">
        <is>
          <t>S4</t>
        </is>
      </c>
    </row>
    <row r="66" ht="140.4" customHeight="1" s="227">
      <c r="A66" s="49" t="n">
        <v>70</v>
      </c>
      <c r="B66" s="68" t="inlineStr">
        <is>
          <t>CDMX</t>
        </is>
      </c>
      <c r="D66" s="69" t="inlineStr">
        <is>
          <t>Plataforma láser oftálmica combinada YAG/SLT, marca Quantel Medical, modelo Optimis Fusion</t>
        </is>
      </c>
      <c r="E66" s="68" t="inlineStr">
        <is>
          <t>62-10-135</t>
        </is>
      </c>
      <c r="F66" s="69" t="inlineStr">
        <is>
          <t>H.M.E.O. Constituyentes</t>
        </is>
      </c>
      <c r="G66" s="50" t="inlineStr">
        <is>
          <t>Servicio de mantenimiento integral para: Plataforma láser oftálmica combinada YAG/SLT, marca Quantel Medical, modelo Optimis Fusion, serie 62-10-135;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6" s="51" t="inlineStr">
        <is>
          <t>Servicio</t>
        </is>
      </c>
      <c r="I66" s="52" t="n">
        <v>1</v>
      </c>
      <c r="J66" s="52" t="n">
        <v>2</v>
      </c>
      <c r="K66" s="59" t="inlineStr">
        <is>
          <t>México</t>
        </is>
      </c>
      <c r="L66" s="290" t="n">
        <v>395689.65</v>
      </c>
      <c r="M66" s="291" t="n">
        <v>75000</v>
      </c>
      <c r="N66" s="292" t="n">
        <v>290000</v>
      </c>
      <c r="O66" s="292">
        <f>I66*N66</f>
        <v/>
      </c>
      <c r="P66" s="292">
        <f>J66*N66</f>
        <v/>
      </c>
      <c r="Q66" s="292">
        <f>SUM(O66:P66)</f>
        <v/>
      </c>
      <c r="R66" s="292">
        <f>Q66*$R$9</f>
        <v/>
      </c>
      <c r="S66" s="292">
        <f>SUM(Q66:R66)</f>
        <v/>
      </c>
      <c r="T66" s="56" t="inlineStr">
        <is>
          <t>Accesorios: No incluye
Consumibles: No incluye</t>
        </is>
      </c>
      <c r="U66" s="54" t="inlineStr">
        <is>
          <t>Durante la vigencia del contrato</t>
        </is>
      </c>
      <c r="V66" s="57" t="inlineStr">
        <is>
          <t>SI</t>
        </is>
      </c>
      <c r="W66" s="54" t="inlineStr">
        <is>
          <t>OFTALMO</t>
        </is>
      </c>
      <c r="X66" s="32" t="inlineStr">
        <is>
          <t>ARFAMEX</t>
        </is>
      </c>
    </row>
    <row r="67" ht="124.95" customHeight="1" s="227">
      <c r="A67" s="49" t="n">
        <v>71</v>
      </c>
      <c r="B67" s="68" t="inlineStr">
        <is>
          <t>CDMX</t>
        </is>
      </c>
      <c r="D67" s="69" t="inlineStr">
        <is>
          <t>Láser excimer, marca Alcon, modelo Wavelight</t>
        </is>
      </c>
      <c r="E67" s="68" t="inlineStr">
        <is>
          <t>1016-4-3384</t>
        </is>
      </c>
      <c r="F67" s="69" t="inlineStr">
        <is>
          <t>H.M.E.O. Constituyentes</t>
        </is>
      </c>
      <c r="G67" s="60" t="inlineStr">
        <is>
          <t>Servicio de mantenimiento integral para: Láser excimer, marca Alcon, modelo Wavelight, serie 1016-4-3384;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7" s="51" t="inlineStr">
        <is>
          <t>Servicio</t>
        </is>
      </c>
      <c r="I67" s="52" t="n">
        <v>1</v>
      </c>
      <c r="J67" s="52" t="n">
        <v>2</v>
      </c>
      <c r="K67" s="59" t="inlineStr">
        <is>
          <t>México</t>
        </is>
      </c>
      <c r="L67" s="290" t="n">
        <v>454355</v>
      </c>
      <c r="M67" s="291" t="n">
        <v>350000</v>
      </c>
      <c r="N67" s="292" t="n">
        <v>450000</v>
      </c>
      <c r="O67" s="292">
        <f>I67*N67</f>
        <v/>
      </c>
      <c r="P67" s="292">
        <f>J67*N67</f>
        <v/>
      </c>
      <c r="Q67" s="292">
        <f>SUM(O67:P67)</f>
        <v/>
      </c>
      <c r="R67" s="292">
        <f>Q67*$R$9</f>
        <v/>
      </c>
      <c r="S67" s="292">
        <f>SUM(Q67:R67)</f>
        <v/>
      </c>
      <c r="T67" s="56" t="inlineStr">
        <is>
          <t>Accesorios: No incluye
Consumibles: No incluye</t>
        </is>
      </c>
      <c r="U67" s="54" t="inlineStr">
        <is>
          <t>Durante la vigencia del contrato</t>
        </is>
      </c>
      <c r="V67" s="57" t="inlineStr">
        <is>
          <t>SI</t>
        </is>
      </c>
      <c r="W67" s="54" t="inlineStr">
        <is>
          <t>OFTALMO</t>
        </is>
      </c>
      <c r="X67" s="32" t="inlineStr">
        <is>
          <t>ALCON</t>
        </is>
      </c>
    </row>
    <row r="68" ht="124.95" customFormat="1" customHeight="1" s="267">
      <c r="A68" s="49" t="n">
        <v>72</v>
      </c>
      <c r="B68" s="68" t="inlineStr">
        <is>
          <t>CDMX</t>
        </is>
      </c>
      <c r="D68" s="69" t="inlineStr">
        <is>
          <t>Láser oftálmico, marca Quantel Medical, modelo Easyret</t>
        </is>
      </c>
      <c r="E68" s="68" t="inlineStr">
        <is>
          <t>2209031</t>
        </is>
      </c>
      <c r="F68" s="69" t="inlineStr">
        <is>
          <t>H.M.E.O. Constituyentes</t>
        </is>
      </c>
      <c r="G68" s="60" t="inlineStr">
        <is>
          <t>Servicio de mantenimiento integral para: Láser oftálmico, marca Quantel Medical, modelo Easyret, serie 2209031;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8" s="51" t="inlineStr">
        <is>
          <t>Servicio</t>
        </is>
      </c>
      <c r="I68" s="52" t="n">
        <v>1</v>
      </c>
      <c r="J68" s="52" t="n">
        <v>2</v>
      </c>
      <c r="K68" s="59" t="inlineStr">
        <is>
          <t>México</t>
        </is>
      </c>
      <c r="L68" s="290" t="n">
        <v>391810.34</v>
      </c>
      <c r="M68" s="291" t="n">
        <v>80000</v>
      </c>
      <c r="N68" s="292" t="n">
        <v>250000</v>
      </c>
      <c r="O68" s="292">
        <f>I68*N68</f>
        <v/>
      </c>
      <c r="P68" s="292">
        <f>J68*N68</f>
        <v/>
      </c>
      <c r="Q68" s="292">
        <f>SUM(O68:P68)</f>
        <v/>
      </c>
      <c r="R68" s="292">
        <f>Q68*$R$9</f>
        <v/>
      </c>
      <c r="S68" s="292">
        <f>SUM(Q68:R68)</f>
        <v/>
      </c>
      <c r="T68" s="56" t="inlineStr">
        <is>
          <t>Accesorios: No incluye
Consumibles: No incluye</t>
        </is>
      </c>
      <c r="U68" s="54" t="inlineStr">
        <is>
          <t>Durante la vigencia del contrato</t>
        </is>
      </c>
      <c r="V68" s="57" t="inlineStr">
        <is>
          <t>SI</t>
        </is>
      </c>
      <c r="W68" s="54" t="inlineStr">
        <is>
          <t>OFTALMO</t>
        </is>
      </c>
      <c r="X68" s="32" t="inlineStr">
        <is>
          <t>ARFAMEX</t>
        </is>
      </c>
    </row>
    <row r="69" ht="124.95" customFormat="1" customHeight="1" s="267">
      <c r="A69" s="49" t="n">
        <v>73</v>
      </c>
      <c r="B69" s="68" t="inlineStr">
        <is>
          <t>CDMX</t>
        </is>
      </c>
      <c r="D69" s="69" t="inlineStr">
        <is>
          <t>Láser oftálmico, marca Quantel Medical, modelo Easyret</t>
        </is>
      </c>
      <c r="E69" s="68" t="inlineStr">
        <is>
          <t>2209032</t>
        </is>
      </c>
      <c r="F69" s="69" t="inlineStr">
        <is>
          <t>H.M.E.O. Constituyentes</t>
        </is>
      </c>
      <c r="G69" s="60" t="inlineStr">
        <is>
          <t>Servicio de mantenimiento integral para: Láser oftálmico, marca Quantel Medical, modelo Easyret, serie 2209032;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9" s="51" t="inlineStr">
        <is>
          <t>Servicio</t>
        </is>
      </c>
      <c r="I69" s="52" t="n">
        <v>1</v>
      </c>
      <c r="J69" s="52" t="n">
        <v>2</v>
      </c>
      <c r="K69" s="59" t="inlineStr">
        <is>
          <t>México</t>
        </is>
      </c>
      <c r="L69" s="290" t="n">
        <v>401979</v>
      </c>
      <c r="M69" s="291" t="n">
        <v>80000</v>
      </c>
      <c r="N69" s="292" t="n">
        <v>250000</v>
      </c>
      <c r="O69" s="292">
        <f>I69*N69</f>
        <v/>
      </c>
      <c r="P69" s="292">
        <f>J69*N69</f>
        <v/>
      </c>
      <c r="Q69" s="292">
        <f>SUM(O69:P69)</f>
        <v/>
      </c>
      <c r="R69" s="292">
        <f>Q69*$R$9</f>
        <v/>
      </c>
      <c r="S69" s="292">
        <f>SUM(Q69:R69)</f>
        <v/>
      </c>
      <c r="T69" s="56" t="inlineStr">
        <is>
          <t>Accesorios: No incluye
Consumibles: No incluye</t>
        </is>
      </c>
      <c r="U69" s="54" t="inlineStr">
        <is>
          <t>Durante la vigencia del contrato</t>
        </is>
      </c>
      <c r="V69" s="57" t="inlineStr">
        <is>
          <t>SI</t>
        </is>
      </c>
      <c r="W69" s="54" t="inlineStr">
        <is>
          <t>OFTALMO</t>
        </is>
      </c>
      <c r="X69" s="32" t="inlineStr">
        <is>
          <t>ARFAMEX</t>
        </is>
      </c>
    </row>
    <row r="70" ht="124.95" customFormat="1" customHeight="1" s="267">
      <c r="A70" s="49" t="n">
        <v>74</v>
      </c>
      <c r="B70" s="68" t="inlineStr">
        <is>
          <t>CDMX</t>
        </is>
      </c>
      <c r="D70" s="69" t="inlineStr">
        <is>
          <t>Equipo para crosslinking ocular, marca KXL, modelo Avedro</t>
        </is>
      </c>
      <c r="E70" s="68" t="inlineStr">
        <is>
          <t>KXL221005</t>
        </is>
      </c>
      <c r="F70" s="69" t="inlineStr">
        <is>
          <t>H.M.E.O. Constituyentes</t>
        </is>
      </c>
      <c r="G70" s="60" t="inlineStr">
        <is>
          <t>Servicio de mantenimiento integral para: Equipo para crosslinking ocular, marca KXL, modelo Avedro, serie KXL221005;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0" s="51" t="inlineStr">
        <is>
          <t>Servicio</t>
        </is>
      </c>
      <c r="I70" s="52" t="n">
        <v>1</v>
      </c>
      <c r="J70" s="52" t="n">
        <v>2</v>
      </c>
      <c r="K70" s="59" t="inlineStr">
        <is>
          <t>México</t>
        </is>
      </c>
      <c r="L70" s="290" t="n">
        <v>413200</v>
      </c>
      <c r="M70" s="291" t="n">
        <v>70000</v>
      </c>
      <c r="N70" s="292" t="n">
        <v>250000</v>
      </c>
      <c r="O70" s="292">
        <f>I70*N70</f>
        <v/>
      </c>
      <c r="P70" s="292">
        <f>J70*N70</f>
        <v/>
      </c>
      <c r="Q70" s="292">
        <f>SUM(O70:P70)</f>
        <v/>
      </c>
      <c r="R70" s="292">
        <f>Q70*$R$9</f>
        <v/>
      </c>
      <c r="S70" s="292">
        <f>SUM(Q70:R70)</f>
        <v/>
      </c>
      <c r="T70" s="56" t="inlineStr">
        <is>
          <t>Accesorios: No incluye
Consumibles: No incluye</t>
        </is>
      </c>
      <c r="U70" s="54" t="inlineStr">
        <is>
          <t>Durante la vigencia del contrato</t>
        </is>
      </c>
      <c r="V70" s="57" t="inlineStr">
        <is>
          <t>SI</t>
        </is>
      </c>
      <c r="W70" s="54" t="inlineStr">
        <is>
          <t>OFTALMO</t>
        </is>
      </c>
      <c r="X70" s="32" t="inlineStr">
        <is>
          <t>ARFAMEX</t>
        </is>
      </c>
    </row>
    <row r="71" ht="124.95" customFormat="1" customHeight="1" s="267">
      <c r="A71" s="49" t="n">
        <v>75</v>
      </c>
      <c r="B71" s="68" t="inlineStr">
        <is>
          <t>CDMX</t>
        </is>
      </c>
      <c r="D71" s="69" t="inlineStr">
        <is>
          <t>OCT con retinógrafo integrado, marca Nidek, modelo Retina Scan DUO-2 (RS-300)</t>
        </is>
      </c>
      <c r="E71" s="68" t="inlineStr">
        <is>
          <t>742223</t>
        </is>
      </c>
      <c r="F71" s="69" t="inlineStr">
        <is>
          <t>H.M.E.O. Constituyentes</t>
        </is>
      </c>
      <c r="G71" s="60" t="inlineStr">
        <is>
          <t>Servicio de mantenimiento integral para: OCT con retinógrafo integrado, marca Nidek, modelo Retina Scan DUO-2 (RS-300), serie 742223;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1" s="51" t="inlineStr">
        <is>
          <t>Servicio</t>
        </is>
      </c>
      <c r="I71" s="52" t="n">
        <v>2</v>
      </c>
      <c r="J71" s="52" t="n">
        <v>4</v>
      </c>
      <c r="K71" s="59" t="inlineStr">
        <is>
          <t>México</t>
        </is>
      </c>
      <c r="L71" s="290" t="n">
        <v>239612.06</v>
      </c>
      <c r="M71" s="291" t="n">
        <v>90000</v>
      </c>
      <c r="N71" s="292" t="n">
        <v>220000</v>
      </c>
      <c r="O71" s="292">
        <f>I71*N71</f>
        <v/>
      </c>
      <c r="P71" s="292">
        <f>J71*N71</f>
        <v/>
      </c>
      <c r="Q71" s="292">
        <f>SUM(O71:P71)</f>
        <v/>
      </c>
      <c r="R71" s="292">
        <f>Q71*$R$9</f>
        <v/>
      </c>
      <c r="S71" s="292">
        <f>SUM(Q71:R71)</f>
        <v/>
      </c>
      <c r="T71" s="56" t="inlineStr">
        <is>
          <t>Accesorios: No incluye
Consumibles: No incluye</t>
        </is>
      </c>
      <c r="U71" s="54" t="inlineStr">
        <is>
          <t>Durante la vigencia del contrato</t>
        </is>
      </c>
      <c r="V71" s="57" t="inlineStr">
        <is>
          <t>SI</t>
        </is>
      </c>
      <c r="W71" s="54" t="inlineStr">
        <is>
          <t>OFTALMO</t>
        </is>
      </c>
      <c r="X71" s="32" t="inlineStr">
        <is>
          <t>S4</t>
        </is>
      </c>
    </row>
    <row r="72" ht="124.95" customHeight="1" s="227">
      <c r="A72" s="49" t="n">
        <v>76</v>
      </c>
      <c r="B72" s="68" t="inlineStr">
        <is>
          <t>CDMX</t>
        </is>
      </c>
      <c r="D72" s="69" t="inlineStr">
        <is>
          <t>OCT con retinógrafo integrado, marca Nidek, modelo Retina Scan DUO-2 (RS-300)</t>
        </is>
      </c>
      <c r="E72" s="68" t="inlineStr">
        <is>
          <t>741879</t>
        </is>
      </c>
      <c r="F72" s="69" t="inlineStr">
        <is>
          <t>H.M.E.O. Constituyentes</t>
        </is>
      </c>
      <c r="G72" s="60" t="inlineStr">
        <is>
          <t>Servicio de mantenimiento integral para: OCT con retinógrafo integrado, marca Nidek, modelo Retina Scan DUO-2 (RS-300), serie 741879;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2" s="51" t="inlineStr">
        <is>
          <t>Servicio</t>
        </is>
      </c>
      <c r="I72" s="52" t="n">
        <v>1</v>
      </c>
      <c r="J72" s="52" t="n">
        <v>2</v>
      </c>
      <c r="K72" s="59" t="inlineStr">
        <is>
          <t>México</t>
        </is>
      </c>
      <c r="L72" s="290" t="n">
        <v>232400</v>
      </c>
      <c r="M72" s="291" t="n">
        <v>90000</v>
      </c>
      <c r="N72" s="292" t="n">
        <v>220000</v>
      </c>
      <c r="O72" s="292">
        <f>I72*N72</f>
        <v/>
      </c>
      <c r="P72" s="292">
        <f>J72*N72</f>
        <v/>
      </c>
      <c r="Q72" s="292">
        <f>SUM(O72:P72)</f>
        <v/>
      </c>
      <c r="R72" s="292">
        <f>Q72*$R$9</f>
        <v/>
      </c>
      <c r="S72" s="292">
        <f>SUM(Q72:R72)</f>
        <v/>
      </c>
      <c r="T72" s="56" t="inlineStr">
        <is>
          <t>Accesorios: No incluye
Consumibles: No incluye</t>
        </is>
      </c>
      <c r="U72" s="54" t="inlineStr">
        <is>
          <t>Durante la vigencia del contrato</t>
        </is>
      </c>
      <c r="V72" s="57" t="inlineStr">
        <is>
          <t>SI</t>
        </is>
      </c>
      <c r="W72" s="54" t="inlineStr">
        <is>
          <t>OFTALMO</t>
        </is>
      </c>
      <c r="X72" s="32" t="inlineStr">
        <is>
          <t>S4</t>
        </is>
      </c>
    </row>
    <row r="73" ht="124.95" customFormat="1" customHeight="1" s="267">
      <c r="A73" s="49" t="n">
        <v>77</v>
      </c>
      <c r="B73" s="68" t="inlineStr">
        <is>
          <t>CDMX</t>
        </is>
      </c>
      <c r="D73" s="69" t="inlineStr">
        <is>
          <t>OCT con retinógrafo integrado, marca Nidek, modelo Retina Scan DUO-2 (RS-300)</t>
        </is>
      </c>
      <c r="E73" s="68" t="inlineStr">
        <is>
          <t>742356</t>
        </is>
      </c>
      <c r="F73" s="69" t="inlineStr">
        <is>
          <t>H.M.E.O. Constituyentes</t>
        </is>
      </c>
      <c r="G73" s="50" t="inlineStr">
        <is>
          <t>Servicio de mantenimiento integral para: OCT con retinógrafo integrado, marca Nidek, modelo Retina Scan DUO-2 (RS-300), serie 742356;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3" s="51" t="inlineStr">
        <is>
          <t>Servicio</t>
        </is>
      </c>
      <c r="I73" s="52" t="n">
        <v>1</v>
      </c>
      <c r="J73" s="52" t="n">
        <v>2</v>
      </c>
      <c r="K73" s="59" t="inlineStr">
        <is>
          <t>México</t>
        </is>
      </c>
      <c r="L73" s="290" t="n">
        <v>226422.41</v>
      </c>
      <c r="M73" s="291" t="n">
        <v>90000</v>
      </c>
      <c r="N73" s="292" t="n">
        <v>220000</v>
      </c>
      <c r="O73" s="292">
        <f>I73*N73</f>
        <v/>
      </c>
      <c r="P73" s="292">
        <f>J73*N73</f>
        <v/>
      </c>
      <c r="Q73" s="292">
        <f>SUM(O73:P73)</f>
        <v/>
      </c>
      <c r="R73" s="292">
        <f>Q73*$R$9</f>
        <v/>
      </c>
      <c r="S73" s="292">
        <f>SUM(Q73:R73)</f>
        <v/>
      </c>
      <c r="T73" s="56" t="inlineStr">
        <is>
          <t>Accesorios: No incluye
Consumibles: No incluye</t>
        </is>
      </c>
      <c r="U73" s="54" t="inlineStr">
        <is>
          <t>Durante la vigencia del contrato</t>
        </is>
      </c>
      <c r="V73" s="57" t="inlineStr">
        <is>
          <t>SI</t>
        </is>
      </c>
      <c r="W73" s="54" t="inlineStr">
        <is>
          <t>OFTALMO</t>
        </is>
      </c>
      <c r="X73" s="32" t="inlineStr">
        <is>
          <t>S4</t>
        </is>
      </c>
    </row>
    <row r="74" ht="124.95" customHeight="1" s="227">
      <c r="A74" s="49" t="n">
        <v>78</v>
      </c>
      <c r="B74" s="68" t="inlineStr">
        <is>
          <t>CDMX</t>
        </is>
      </c>
      <c r="D74" s="69" t="inlineStr">
        <is>
          <t>OCT con retinógrafo integrado, marca Nidek, modelo Retina Scan DUO-2 (RS-300)</t>
        </is>
      </c>
      <c r="E74" s="68" t="inlineStr">
        <is>
          <t>741940</t>
        </is>
      </c>
      <c r="F74" s="69" t="inlineStr">
        <is>
          <t>H.M.E.O. Constituyentes</t>
        </is>
      </c>
      <c r="G74" s="50" t="inlineStr">
        <is>
          <t>Servicio de mantenimiento integral para: OCT con retinógrafo integrado, marca Nidek, modelo Retina Scan DUO-2 (RS-300), serie 741940;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4" s="51" t="inlineStr">
        <is>
          <t>Servicio</t>
        </is>
      </c>
      <c r="I74" s="52" t="n">
        <v>2</v>
      </c>
      <c r="J74" s="52" t="n">
        <v>4</v>
      </c>
      <c r="K74" s="59" t="inlineStr">
        <is>
          <t>México</t>
        </is>
      </c>
      <c r="L74" s="290" t="n">
        <v>233017.23</v>
      </c>
      <c r="M74" s="291" t="n">
        <v>90000</v>
      </c>
      <c r="N74" s="292" t="n">
        <v>220000</v>
      </c>
      <c r="O74" s="292">
        <f>I74*N74</f>
        <v/>
      </c>
      <c r="P74" s="292">
        <f>J74*N74</f>
        <v/>
      </c>
      <c r="Q74" s="292">
        <f>SUM(O74:P74)</f>
        <v/>
      </c>
      <c r="R74" s="292">
        <f>Q74*$R$9</f>
        <v/>
      </c>
      <c r="S74" s="292">
        <f>SUM(Q74:R74)</f>
        <v/>
      </c>
      <c r="T74" s="56" t="inlineStr">
        <is>
          <t>Accesorios: No incluye
Consumibles: No incluye</t>
        </is>
      </c>
      <c r="U74" s="54" t="inlineStr">
        <is>
          <t>Durante la vigencia del contrato</t>
        </is>
      </c>
      <c r="V74" s="57" t="inlineStr">
        <is>
          <t>SI</t>
        </is>
      </c>
      <c r="W74" s="54" t="inlineStr">
        <is>
          <t>OFTALMO</t>
        </is>
      </c>
      <c r="X74" s="32" t="inlineStr">
        <is>
          <t>S4</t>
        </is>
      </c>
    </row>
    <row r="75" ht="140.4" customHeight="1" s="227">
      <c r="A75" s="49" t="n">
        <v>79</v>
      </c>
      <c r="B75" s="68" t="inlineStr">
        <is>
          <t>CDMX</t>
        </is>
      </c>
      <c r="D75" s="69" t="inlineStr">
        <is>
          <t>Sistema de diagnóstico oftálmico avanzado, marca Heidelberg Engineering, modelo Spectralis</t>
        </is>
      </c>
      <c r="E75" s="68" t="inlineStr">
        <is>
          <t>SPEC-CAM-21931-53610</t>
        </is>
      </c>
      <c r="F75" s="69" t="inlineStr">
        <is>
          <t>H.M.E.O. Constituyentes</t>
        </is>
      </c>
      <c r="G75" s="50" t="inlineStr">
        <is>
          <t>Servicio de mantenimiento integral para: Sistema de diagnóstico oftálmico avanzado, marca Heidelberg Engineering, modelo Spectralis, serie SPEC-CAM-21931-53610;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5" s="51" t="inlineStr">
        <is>
          <t>Servicio</t>
        </is>
      </c>
      <c r="I75" s="52" t="n">
        <v>2</v>
      </c>
      <c r="J75" s="52" t="n">
        <v>4</v>
      </c>
      <c r="K75" s="59" t="inlineStr">
        <is>
          <t>México</t>
        </is>
      </c>
      <c r="L75" s="290" t="n">
        <v>403448.27</v>
      </c>
      <c r="M75" s="291" t="n">
        <v>125000</v>
      </c>
      <c r="N75" s="292" t="n">
        <v>300000</v>
      </c>
      <c r="O75" s="292">
        <f>I75*N75</f>
        <v/>
      </c>
      <c r="P75" s="292">
        <f>J75*N75</f>
        <v/>
      </c>
      <c r="Q75" s="292">
        <f>SUM(O75:P75)</f>
        <v/>
      </c>
      <c r="R75" s="292">
        <f>Q75*$R$9</f>
        <v/>
      </c>
      <c r="S75" s="292">
        <f>SUM(Q75:R75)</f>
        <v/>
      </c>
      <c r="T75" s="56" t="inlineStr">
        <is>
          <t>Accesorios: No incluye
Consumibles: No incluye</t>
        </is>
      </c>
      <c r="U75" s="54" t="inlineStr">
        <is>
          <t>Durante la vigencia del contrato</t>
        </is>
      </c>
      <c r="V75" s="57" t="inlineStr">
        <is>
          <t>SI</t>
        </is>
      </c>
      <c r="W75" s="54" t="inlineStr">
        <is>
          <t>OFTALMO</t>
        </is>
      </c>
      <c r="X75" s="32" t="inlineStr">
        <is>
          <t>ARFAMEX</t>
        </is>
      </c>
    </row>
    <row r="76" ht="140.4" customHeight="1" s="227">
      <c r="A76" s="49" t="n">
        <v>80</v>
      </c>
      <c r="B76" s="68" t="inlineStr">
        <is>
          <t>CDMX</t>
        </is>
      </c>
      <c r="D76" s="69" t="inlineStr">
        <is>
          <t>Sistema de diagnóstico oftálmico avanzado, marca Heidelberg Engineering, modelo Spectralis</t>
        </is>
      </c>
      <c r="E76" s="68" t="inlineStr">
        <is>
          <t>SPEC-CAM-21920-53610</t>
        </is>
      </c>
      <c r="F76" s="69" t="inlineStr">
        <is>
          <t>H.M.E.O. Constituyentes</t>
        </is>
      </c>
      <c r="G76" s="50" t="inlineStr">
        <is>
          <t>Servicio de mantenimiento integral para: Sistema de diagnóstico oftálmico avanzado, marca Heidelberg Engineering, modelo Spectralis, serie SPEC-CAM-21920-53610;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6" s="51" t="inlineStr">
        <is>
          <t>Servicio</t>
        </is>
      </c>
      <c r="I76" s="52" t="n">
        <v>2</v>
      </c>
      <c r="J76" s="52" t="n">
        <v>4</v>
      </c>
      <c r="K76" s="59" t="inlineStr">
        <is>
          <t>México</t>
        </is>
      </c>
      <c r="L76" s="290" t="n">
        <v>407327.58</v>
      </c>
      <c r="M76" s="291" t="n">
        <v>125000</v>
      </c>
      <c r="N76" s="292" t="n">
        <v>300000</v>
      </c>
      <c r="O76" s="292">
        <f>I76*N76</f>
        <v/>
      </c>
      <c r="P76" s="292">
        <f>J76*N76</f>
        <v/>
      </c>
      <c r="Q76" s="292">
        <f>SUM(O76:P76)</f>
        <v/>
      </c>
      <c r="R76" s="292">
        <f>Q76*$R$9</f>
        <v/>
      </c>
      <c r="S76" s="292">
        <f>SUM(Q76:R76)</f>
        <v/>
      </c>
      <c r="T76" s="56" t="inlineStr">
        <is>
          <t>Accesorios: No incluye
Consumibles: No incluye</t>
        </is>
      </c>
      <c r="U76" s="54" t="inlineStr">
        <is>
          <t>Durante la vigencia del contrato</t>
        </is>
      </c>
      <c r="V76" s="57" t="inlineStr">
        <is>
          <t>SI</t>
        </is>
      </c>
      <c r="W76" s="54" t="inlineStr">
        <is>
          <t>OFTALMO</t>
        </is>
      </c>
      <c r="X76" s="32" t="inlineStr">
        <is>
          <t>ARFAMEX</t>
        </is>
      </c>
    </row>
    <row r="77" ht="140.4" customHeight="1" s="227">
      <c r="A77" s="49" t="n">
        <v>81</v>
      </c>
      <c r="B77" s="68" t="inlineStr">
        <is>
          <t>CDMX</t>
        </is>
      </c>
      <c r="D77" s="69" t="inlineStr">
        <is>
          <t>Sistema de diagnóstico oftálmico avanzado, marca Heidelberg Engineering, modelo Spectralis</t>
        </is>
      </c>
      <c r="E77" s="68" t="inlineStr">
        <is>
          <t>SPEC-CAM-21928-53610</t>
        </is>
      </c>
      <c r="F77" s="69" t="inlineStr">
        <is>
          <t>H.M.E.O. Constituyentes</t>
        </is>
      </c>
      <c r="G77" s="50" t="inlineStr">
        <is>
          <t>Servicio de mantenimiento integral para: Sistema de diagnóstico oftálmico avanzado, marca Heidelberg Engineering, modelo Spectralis, serie SPEC-CAM-21928-53610;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7" s="51" t="inlineStr">
        <is>
          <t>Servicio</t>
        </is>
      </c>
      <c r="I77" s="52" t="n">
        <v>2</v>
      </c>
      <c r="J77" s="52" t="n">
        <v>4</v>
      </c>
      <c r="K77" s="59" t="inlineStr">
        <is>
          <t>México</t>
        </is>
      </c>
      <c r="L77" s="290" t="n">
        <v>426724.13</v>
      </c>
      <c r="M77" s="291" t="n">
        <v>125000</v>
      </c>
      <c r="N77" s="292" t="n">
        <v>300000</v>
      </c>
      <c r="O77" s="292">
        <f>I77*N77</f>
        <v/>
      </c>
      <c r="P77" s="292">
        <f>J77*N77</f>
        <v/>
      </c>
      <c r="Q77" s="292">
        <f>SUM(O77:P77)</f>
        <v/>
      </c>
      <c r="R77" s="292">
        <f>Q77*$R$9</f>
        <v/>
      </c>
      <c r="S77" s="292">
        <f>SUM(Q77:R77)</f>
        <v/>
      </c>
      <c r="T77" s="56" t="inlineStr">
        <is>
          <t>Accesorios: No incluye
Consumibles: No incluye</t>
        </is>
      </c>
      <c r="U77" s="54" t="inlineStr">
        <is>
          <t>Durante la vigencia del contrato</t>
        </is>
      </c>
      <c r="V77" s="57" t="inlineStr">
        <is>
          <t>SI</t>
        </is>
      </c>
      <c r="W77" s="54" t="inlineStr">
        <is>
          <t>OFTALMO</t>
        </is>
      </c>
      <c r="X77" s="32" t="inlineStr">
        <is>
          <t>ARFAMEX</t>
        </is>
      </c>
    </row>
    <row r="78" ht="124.95" customHeight="1" s="227">
      <c r="A78" s="49" t="n">
        <v>82</v>
      </c>
      <c r="B78" s="68" t="inlineStr">
        <is>
          <t>CDMX</t>
        </is>
      </c>
      <c r="D78" s="69" t="inlineStr">
        <is>
          <t>Retinógrafo de campo ultra amplio, marca Optos, modelo California</t>
        </is>
      </c>
      <c r="E78" s="68" t="inlineStr">
        <is>
          <t>41652</t>
        </is>
      </c>
      <c r="F78" s="69" t="inlineStr">
        <is>
          <t>H.M.E.O. Constituyentes</t>
        </is>
      </c>
      <c r="G78" s="50" t="inlineStr">
        <is>
          <t>Servicio de mantenimiento integral para: Retinógrafo de campo ultra amplio, marca Optos, modelo California, serie 41652;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8" s="51" t="inlineStr">
        <is>
          <t>Servicio</t>
        </is>
      </c>
      <c r="I78" s="52" t="n">
        <v>1</v>
      </c>
      <c r="J78" s="52" t="n">
        <v>2</v>
      </c>
      <c r="K78" s="59" t="inlineStr">
        <is>
          <t>México</t>
        </is>
      </c>
      <c r="L78" s="290" t="n">
        <v>241810.34</v>
      </c>
      <c r="M78" s="291" t="n"/>
      <c r="N78" s="292" t="n">
        <v>220000</v>
      </c>
      <c r="O78" s="292">
        <f>I78*N78</f>
        <v/>
      </c>
      <c r="P78" s="292">
        <f>J78*N78</f>
        <v/>
      </c>
      <c r="Q78" s="292">
        <f>SUM(O78:P78)</f>
        <v/>
      </c>
      <c r="R78" s="292">
        <f>Q78*$R$9</f>
        <v/>
      </c>
      <c r="S78" s="292">
        <f>SUM(Q78:R78)</f>
        <v/>
      </c>
      <c r="T78" s="56" t="inlineStr">
        <is>
          <t>Accesorios: No incluye
Consumibles: No incluye</t>
        </is>
      </c>
      <c r="U78" s="54" t="inlineStr">
        <is>
          <t>Durante la vigencia del contrato</t>
        </is>
      </c>
      <c r="V78" s="57" t="inlineStr">
        <is>
          <t>SI</t>
        </is>
      </c>
      <c r="W78" s="54" t="inlineStr">
        <is>
          <t>OFTALMO</t>
        </is>
      </c>
      <c r="X78" s="32" t="inlineStr">
        <is>
          <t>DEWIMED</t>
        </is>
      </c>
    </row>
    <row r="79" ht="124.95" customHeight="1" s="227">
      <c r="A79" s="49" t="n">
        <v>83</v>
      </c>
      <c r="B79" s="68" t="inlineStr">
        <is>
          <t>CDMX</t>
        </is>
      </c>
      <c r="D79" s="69" t="inlineStr">
        <is>
          <t>Retinógrafo de campo ultra amplio, marca Optos, modelo California</t>
        </is>
      </c>
      <c r="E79" s="68" t="inlineStr">
        <is>
          <t>41656</t>
        </is>
      </c>
      <c r="F79" s="69" t="inlineStr">
        <is>
          <t>H.M.E.O. Constituyentes</t>
        </is>
      </c>
      <c r="G79" s="50" t="inlineStr">
        <is>
          <t>Servicio de mantenimiento integral para: Retinógrafo de campo ultra amplio, marca Optos, modelo California, serie 41656;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9" s="51" t="inlineStr">
        <is>
          <t>Servicio</t>
        </is>
      </c>
      <c r="I79" s="52" t="n">
        <v>1</v>
      </c>
      <c r="J79" s="52" t="n">
        <v>2</v>
      </c>
      <c r="K79" s="59" t="inlineStr">
        <is>
          <t>México</t>
        </is>
      </c>
      <c r="L79" s="290" t="n">
        <v>230818.96</v>
      </c>
      <c r="M79" s="291" t="n"/>
      <c r="N79" s="292" t="n">
        <v>220000</v>
      </c>
      <c r="O79" s="292">
        <f>I79*N79</f>
        <v/>
      </c>
      <c r="P79" s="292">
        <f>J79*N79</f>
        <v/>
      </c>
      <c r="Q79" s="292">
        <f>SUM(O79:P79)</f>
        <v/>
      </c>
      <c r="R79" s="292">
        <f>Q79*$R$9</f>
        <v/>
      </c>
      <c r="S79" s="292">
        <f>SUM(Q79:R79)</f>
        <v/>
      </c>
      <c r="T79" s="56" t="inlineStr">
        <is>
          <t>Accesorios: No incluye
Consumibles: No incluye</t>
        </is>
      </c>
      <c r="U79" s="54" t="inlineStr">
        <is>
          <t>Durante la vigencia del contrato</t>
        </is>
      </c>
      <c r="V79" s="57" t="inlineStr">
        <is>
          <t>SI</t>
        </is>
      </c>
      <c r="W79" s="54" t="inlineStr">
        <is>
          <t>OFTALMO</t>
        </is>
      </c>
      <c r="X79" s="32" t="inlineStr">
        <is>
          <t>DEWIMED</t>
        </is>
      </c>
    </row>
    <row r="80" ht="124.95" customHeight="1" s="227">
      <c r="A80" s="49" t="n">
        <v>87</v>
      </c>
      <c r="B80" s="68" t="inlineStr">
        <is>
          <t>EDO DE MEX</t>
        </is>
      </c>
      <c r="D80" s="69" t="inlineStr">
        <is>
          <t>Autoqueratorrefractor, marca Nidek, modelo ARK-F</t>
        </is>
      </c>
      <c r="E80" s="68" t="inlineStr">
        <is>
          <t>270010</t>
        </is>
      </c>
      <c r="F80" s="69" t="inlineStr">
        <is>
          <t>H.M.R. Santa Lucía</t>
        </is>
      </c>
      <c r="G80" s="50" t="inlineStr">
        <is>
          <t>Servicio de mantenimiento integral para: Autoqueratorrefractor, marca Nidek, modelo ARK-F, serie 270010;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80" s="51" t="inlineStr">
        <is>
          <t>Servicio</t>
        </is>
      </c>
      <c r="I80" s="52" t="n">
        <v>1</v>
      </c>
      <c r="J80" s="52" t="n">
        <v>2</v>
      </c>
      <c r="K80" s="59" t="inlineStr">
        <is>
          <t>México</t>
        </is>
      </c>
      <c r="L80" s="290" t="n">
        <v>124461.2</v>
      </c>
      <c r="M80" s="291" t="n">
        <v>15000</v>
      </c>
      <c r="N80" s="292" t="n">
        <v>120000</v>
      </c>
      <c r="O80" s="292">
        <f>I80*N80</f>
        <v/>
      </c>
      <c r="P80" s="292">
        <f>J80*N80</f>
        <v/>
      </c>
      <c r="Q80" s="292">
        <f>SUM(O80:P80)</f>
        <v/>
      </c>
      <c r="R80" s="292">
        <f>Q80*$R$9</f>
        <v/>
      </c>
      <c r="S80" s="292">
        <f>SUM(Q80:R80)</f>
        <v/>
      </c>
      <c r="T80" s="56" t="inlineStr">
        <is>
          <t>Accesorios: No incluye
Consumibles: No incluye</t>
        </is>
      </c>
      <c r="U80" s="54" t="inlineStr">
        <is>
          <t>Durante la vigencia del contrato</t>
        </is>
      </c>
      <c r="V80" s="57" t="inlineStr">
        <is>
          <t>SI</t>
        </is>
      </c>
      <c r="W80" s="54" t="inlineStr">
        <is>
          <t>OFTALMO</t>
        </is>
      </c>
      <c r="X80" s="32" t="inlineStr">
        <is>
          <t>S4</t>
        </is>
      </c>
    </row>
    <row r="81" ht="124.95" customHeight="1" s="227">
      <c r="A81" s="49" t="n">
        <v>88</v>
      </c>
      <c r="B81" s="68" t="inlineStr">
        <is>
          <t>EDO DE MEX</t>
        </is>
      </c>
      <c r="D81" s="69" t="inlineStr">
        <is>
          <t>Tomógrafo-topógrafo corneal, marca CSO, modelo Sirius</t>
        </is>
      </c>
      <c r="E81" s="68" t="inlineStr">
        <is>
          <t>21091186</t>
        </is>
      </c>
      <c r="F81" s="69" t="inlineStr">
        <is>
          <t>H.M.R. Santa Lucía</t>
        </is>
      </c>
      <c r="G81" s="50" t="inlineStr">
        <is>
          <t>Servicio de mantenimiento integral para: Tomógrafo-topógrafo corneal, marca CSO, modelo Sirius, serie 21091186;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81" s="51" t="inlineStr">
        <is>
          <t>Servicio</t>
        </is>
      </c>
      <c r="I81" s="52" t="n">
        <v>1</v>
      </c>
      <c r="J81" s="52" t="n">
        <v>2</v>
      </c>
      <c r="K81" s="59" t="inlineStr">
        <is>
          <t>México</t>
        </is>
      </c>
      <c r="L81" s="290" t="n">
        <v>178412</v>
      </c>
      <c r="M81" s="291" t="inlineStr">
        <is>
          <t>NO</t>
        </is>
      </c>
      <c r="N81" s="292" t="n">
        <v>175000</v>
      </c>
      <c r="O81" s="292">
        <f>I81*N81</f>
        <v/>
      </c>
      <c r="P81" s="292">
        <f>J81*N81</f>
        <v/>
      </c>
      <c r="Q81" s="292">
        <f>SUM(O81:P81)</f>
        <v/>
      </c>
      <c r="R81" s="292">
        <f>Q81*$R$9</f>
        <v/>
      </c>
      <c r="S81" s="292">
        <f>SUM(Q81:R81)</f>
        <v/>
      </c>
      <c r="T81" s="56" t="inlineStr">
        <is>
          <t>Accesorios: No incluye
Consumibles: No incluye</t>
        </is>
      </c>
      <c r="U81" s="54" t="inlineStr">
        <is>
          <t>Durante la vigencia del contrato</t>
        </is>
      </c>
      <c r="V81" s="57" t="inlineStr">
        <is>
          <t>SI</t>
        </is>
      </c>
      <c r="W81" s="54" t="inlineStr">
        <is>
          <t>OFTALMO</t>
        </is>
      </c>
      <c r="X81" s="32" t="inlineStr">
        <is>
          <t>S4</t>
        </is>
      </c>
    </row>
    <row r="82" ht="124.95" customHeight="1" s="227">
      <c r="A82" s="49" t="n">
        <v>94</v>
      </c>
      <c r="B82" s="68" t="inlineStr">
        <is>
          <t>EDO DE MEX</t>
        </is>
      </c>
      <c r="D82" s="69" t="inlineStr">
        <is>
          <t>Fotocoagulador láser, marca Topcon, modelo Pascal Synthesis</t>
        </is>
      </c>
      <c r="E82" s="68" t="inlineStr">
        <is>
          <t>79140219</t>
        </is>
      </c>
      <c r="F82" s="69" t="inlineStr">
        <is>
          <t>H.M.R. Santa Lucía</t>
        </is>
      </c>
      <c r="G82" s="50" t="inlineStr">
        <is>
          <t>Servicio de mantenimiento integral para: Fotocoagulador láser, marca Topcon, modelo Pascal Synthesis, serie 79140219;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82" s="51" t="inlineStr">
        <is>
          <t>Servicio</t>
        </is>
      </c>
      <c r="I82" s="52" t="n">
        <v>1</v>
      </c>
      <c r="J82" s="52" t="n">
        <v>2</v>
      </c>
      <c r="K82" s="59" t="inlineStr">
        <is>
          <t>México</t>
        </is>
      </c>
      <c r="L82" s="290" t="n">
        <v>425000</v>
      </c>
      <c r="M82" s="291" t="inlineStr">
        <is>
          <t>NO</t>
        </is>
      </c>
      <c r="N82" s="292" t="n">
        <v>420000</v>
      </c>
      <c r="O82" s="292">
        <f>I82*N82</f>
        <v/>
      </c>
      <c r="P82" s="292">
        <f>J82*N82</f>
        <v/>
      </c>
      <c r="Q82" s="292">
        <f>SUM(O82:P82)</f>
        <v/>
      </c>
      <c r="R82" s="292">
        <f>Q82*$R$9</f>
        <v/>
      </c>
      <c r="S82" s="292">
        <f>SUM(Q82:R82)</f>
        <v/>
      </c>
      <c r="T82" s="56" t="inlineStr">
        <is>
          <t>Accesorios: No incluye
Consumibles: No incluye</t>
        </is>
      </c>
      <c r="U82" s="54" t="inlineStr">
        <is>
          <t>Durante la vigencia del contrato</t>
        </is>
      </c>
      <c r="V82" s="57" t="inlineStr">
        <is>
          <t>SI</t>
        </is>
      </c>
      <c r="W82" s="54" t="inlineStr">
        <is>
          <t>OFTALMO</t>
        </is>
      </c>
      <c r="X82" s="32" t="inlineStr">
        <is>
          <t>TOPCON</t>
        </is>
      </c>
    </row>
    <row r="83" ht="124.95" customHeight="1" s="227">
      <c r="A83" s="38" t="n">
        <v>98</v>
      </c>
      <c r="B83" s="68" t="inlineStr">
        <is>
          <t>BAJA CALIFORNIA</t>
        </is>
      </c>
      <c r="D83" s="69" t="inlineStr">
        <is>
          <t>Tomógrafo-topógrafo corneal, marca Bausch &amp; Lomb, modelo Orbscan II</t>
        </is>
      </c>
      <c r="E83" s="68" t="inlineStr">
        <is>
          <t>71023432</t>
        </is>
      </c>
      <c r="F83" s="69" t="inlineStr">
        <is>
          <t>H.M.R. La Paz</t>
        </is>
      </c>
      <c r="G83" s="39" t="inlineStr">
        <is>
          <t>Servicio de mantenimiento integral para: Tomógrafo-topógrafo corneal, marca Bausch &amp; Lomb, modelo Orbscan II, serie 71023432;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H83" s="40" t="inlineStr">
        <is>
          <t>Servicio</t>
        </is>
      </c>
      <c r="I83" s="41" t="n">
        <v>1</v>
      </c>
      <c r="J83" s="41" t="n">
        <v>2</v>
      </c>
      <c r="K83" s="42" t="inlineStr">
        <is>
          <t>México</t>
        </is>
      </c>
      <c r="L83" s="293" t="n">
        <v>203455</v>
      </c>
      <c r="M83" s="293" t="n"/>
      <c r="N83" s="293" t="n">
        <v>380000</v>
      </c>
      <c r="O83" s="293">
        <f>I83*N83</f>
        <v/>
      </c>
      <c r="P83" s="293">
        <f>J83*N83</f>
        <v/>
      </c>
      <c r="Q83" s="293">
        <f>SUM(O83:P83)</f>
        <v/>
      </c>
      <c r="R83" s="293">
        <f>Q83*$R$9</f>
        <v/>
      </c>
      <c r="S83" s="293">
        <f>SUM(Q83:R83)</f>
        <v/>
      </c>
      <c r="T83" s="44" t="inlineStr">
        <is>
          <t>Accesorios: No incluye
Consumibles: No incluye</t>
        </is>
      </c>
      <c r="U83" s="45" t="inlineStr">
        <is>
          <t>Durante la vigencia del contrato</t>
        </is>
      </c>
      <c r="V83" s="46" t="inlineStr">
        <is>
          <t>NO</t>
        </is>
      </c>
      <c r="W83" s="45" t="inlineStr">
        <is>
          <t>OFTALMO</t>
        </is>
      </c>
      <c r="X83" s="32" t="inlineStr">
        <is>
          <t>BAUSH</t>
        </is>
      </c>
    </row>
    <row r="84" ht="124.95" customHeight="1" s="227">
      <c r="A84" s="38" t="n">
        <v>99</v>
      </c>
      <c r="B84" s="68" t="inlineStr">
        <is>
          <t>DURANGO</t>
        </is>
      </c>
      <c r="D84" s="69" t="inlineStr">
        <is>
          <t>Rayos X fijo, marca Del Medical, modelo EV 800</t>
        </is>
      </c>
      <c r="E84" s="68" t="inlineStr">
        <is>
          <t>02776-1019-W</t>
        </is>
      </c>
      <c r="F84" s="69" t="inlineStr">
        <is>
          <t>H.M.Z. Cinco de Mayo</t>
        </is>
      </c>
      <c r="G84" s="39" t="inlineStr">
        <is>
          <t>Servicio de mantenimiento integral para: Rayos X fijo, marca Del Medical, modelo EV 800, serie 02776-1019-W; ubicado en H.M.Z. Cinco de Mayo, Dgo.
Consistente en 1 evento de mantenimiento preventivo por semestre y todos los mantenimientos correctivos que se requieran para mantener, conservar y/o recuperar la operatividad del equipo al 100% durante el periodo de cobertura.</t>
        </is>
      </c>
      <c r="H84" s="40" t="inlineStr">
        <is>
          <t>Servicio</t>
        </is>
      </c>
      <c r="I84" s="41" t="n">
        <v>1</v>
      </c>
      <c r="J84" s="41" t="n">
        <v>2</v>
      </c>
      <c r="K84" s="42" t="inlineStr">
        <is>
          <t>México</t>
        </is>
      </c>
      <c r="L84" s="293" t="n">
        <v>256359.94</v>
      </c>
      <c r="M84" s="293" t="n"/>
      <c r="N84" s="293" t="n">
        <v>350000</v>
      </c>
      <c r="O84" s="293">
        <f>I84*N84</f>
        <v/>
      </c>
      <c r="P84" s="293">
        <f>J84*N84</f>
        <v/>
      </c>
      <c r="Q84" s="293">
        <f>SUM(O84:P84)</f>
        <v/>
      </c>
      <c r="R84" s="293">
        <f>Q84*$R$9</f>
        <v/>
      </c>
      <c r="S84" s="293">
        <f>SUM(Q84:R84)</f>
        <v/>
      </c>
      <c r="T84" s="44" t="inlineStr">
        <is>
          <t>Accesorios: No incluye
Consumibles: No incluye</t>
        </is>
      </c>
      <c r="U84" s="45" t="inlineStr">
        <is>
          <t>Durante la vigencia del contrato</t>
        </is>
      </c>
      <c r="V84" s="46" t="inlineStr">
        <is>
          <t>NO</t>
        </is>
      </c>
      <c r="W84" s="47" t="inlineStr">
        <is>
          <t>IMAGEN</t>
        </is>
      </c>
    </row>
    <row r="85" ht="124.95" customHeight="1" s="227">
      <c r="A85" s="38" t="n">
        <v>107</v>
      </c>
      <c r="B85" s="68" t="inlineStr">
        <is>
          <t>CDMX</t>
        </is>
      </c>
      <c r="D85" s="69" t="inlineStr">
        <is>
          <t>Rayos X móvil, marca Fujifilm, modelo DR-XD 1000</t>
        </is>
      </c>
      <c r="E85" s="68" t="inlineStr">
        <is>
          <t>77250288</t>
        </is>
      </c>
      <c r="F85" s="69" t="inlineStr">
        <is>
          <t>H.C.M. Lomas de Sotelo</t>
        </is>
      </c>
      <c r="G85" s="39" t="inlineStr">
        <is>
          <t>Servicio de mantenimiento integral para: Rayos X móvil, marca Fujifilm, modelo DR-XD 1000, serie 77250288;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85" s="40" t="inlineStr">
        <is>
          <t>Servicio</t>
        </is>
      </c>
      <c r="I85" s="41" t="n">
        <v>1</v>
      </c>
      <c r="J85" s="41" t="n">
        <v>2</v>
      </c>
      <c r="K85" s="42" t="inlineStr">
        <is>
          <t>México</t>
        </is>
      </c>
      <c r="L85" s="293" t="n">
        <v>223879.31</v>
      </c>
      <c r="M85" s="293" t="n"/>
      <c r="N85" s="293" t="n">
        <v>220000</v>
      </c>
      <c r="O85" s="293">
        <f>I85*N85</f>
        <v/>
      </c>
      <c r="P85" s="293">
        <f>J85*N85</f>
        <v/>
      </c>
      <c r="Q85" s="293">
        <f>SUM(O85:P85)</f>
        <v/>
      </c>
      <c r="R85" s="293">
        <f>Q85*$R$9</f>
        <v/>
      </c>
      <c r="S85" s="293">
        <f>SUM(Q85:R85)</f>
        <v/>
      </c>
      <c r="T85" s="44" t="inlineStr">
        <is>
          <t>Accesorios: No incluye
Consumibles: No incluye</t>
        </is>
      </c>
      <c r="U85" s="45" t="inlineStr">
        <is>
          <t>Durante la vigencia del contrato</t>
        </is>
      </c>
      <c r="V85" s="46" t="inlineStr">
        <is>
          <t>SI</t>
        </is>
      </c>
      <c r="W85" s="47" t="inlineStr">
        <is>
          <t>IMAGEN</t>
        </is>
      </c>
    </row>
    <row r="86" ht="124.95" customHeight="1" s="227">
      <c r="A86" s="38" t="n">
        <v>111</v>
      </c>
      <c r="B86" s="68" t="inlineStr">
        <is>
          <t>CDMX</t>
        </is>
      </c>
      <c r="D86" s="69" t="inlineStr">
        <is>
          <t>Rayos X móvil, marca Fujifilm, modelo FDR Go</t>
        </is>
      </c>
      <c r="E86" s="68" t="inlineStr">
        <is>
          <t>566-19888-11</t>
        </is>
      </c>
      <c r="F86" s="69" t="inlineStr">
        <is>
          <t>H.M.E.M. Y N. Lomas de Sotelo</t>
        </is>
      </c>
      <c r="G86" s="39" t="inlineStr">
        <is>
          <t>Servicio de mantenimiento integral para: Rayos X móvil, marca Fujifilm, modelo FDR Go, serie 566-19888-11;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86" s="40" t="inlineStr">
        <is>
          <t>Servicio</t>
        </is>
      </c>
      <c r="I86" s="41" t="n">
        <v>1</v>
      </c>
      <c r="J86" s="41" t="n">
        <v>2</v>
      </c>
      <c r="K86" s="42" t="inlineStr">
        <is>
          <t>México</t>
        </is>
      </c>
      <c r="L86" s="293" t="n">
        <v>218103.45</v>
      </c>
      <c r="M86" s="293" t="n"/>
      <c r="N86" s="293" t="n">
        <v>210000</v>
      </c>
      <c r="O86" s="293">
        <f>I86*N86</f>
        <v/>
      </c>
      <c r="P86" s="293">
        <f>J86*N86</f>
        <v/>
      </c>
      <c r="Q86" s="293">
        <f>SUM(O86:P86)</f>
        <v/>
      </c>
      <c r="R86" s="293">
        <f>Q86*$R$9</f>
        <v/>
      </c>
      <c r="S86" s="293">
        <f>SUM(Q86:R86)</f>
        <v/>
      </c>
      <c r="T86" s="44" t="inlineStr">
        <is>
          <t>Accesorios: No incluye
Consumibles: No incluye</t>
        </is>
      </c>
      <c r="U86" s="45" t="inlineStr">
        <is>
          <t>Durante la vigencia del contrato</t>
        </is>
      </c>
      <c r="V86" s="46" t="inlineStr">
        <is>
          <t>SI</t>
        </is>
      </c>
      <c r="W86" s="47" t="inlineStr">
        <is>
          <t>IMAGEN</t>
        </is>
      </c>
    </row>
    <row r="87" ht="140.4" customHeight="1" s="227">
      <c r="A87" s="38" t="n">
        <v>112</v>
      </c>
      <c r="B87" s="68" t="inlineStr">
        <is>
          <t>CDMX</t>
        </is>
      </c>
      <c r="D87" s="69" t="inlineStr">
        <is>
          <t>Sistema digital de imagen de campo amplio, marca Clarity Medical Systems, modelo RetCam 3</t>
        </is>
      </c>
      <c r="E87" s="68" t="inlineStr">
        <is>
          <t>RC7406</t>
        </is>
      </c>
      <c r="F87" s="69" t="inlineStr">
        <is>
          <t>H.M.E.M. Y N. Lomas de Sotelo</t>
        </is>
      </c>
      <c r="G87" s="39" t="inlineStr">
        <is>
          <t>Servicio de mantenimiento integral para: Sistema digital de imagen de campo amplio, marca Clarity Medical Systems, modelo RetCam 3, serie RC7406;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87" s="40" t="inlineStr">
        <is>
          <t>Servicio</t>
        </is>
      </c>
      <c r="I87" s="41" t="n">
        <v>1</v>
      </c>
      <c r="J87" s="41" t="n">
        <v>2</v>
      </c>
      <c r="K87" s="42" t="inlineStr">
        <is>
          <t>México</t>
        </is>
      </c>
      <c r="L87" s="293" t="n">
        <v>331588.09</v>
      </c>
      <c r="M87" s="293" t="n"/>
      <c r="N87" s="293" t="n">
        <v>320000</v>
      </c>
      <c r="O87" s="293">
        <f>I87*N87</f>
        <v/>
      </c>
      <c r="P87" s="293">
        <f>J87*N87</f>
        <v/>
      </c>
      <c r="Q87" s="293">
        <f>SUM(O87:P87)</f>
        <v/>
      </c>
      <c r="R87" s="293">
        <f>Q87*$R$9</f>
        <v/>
      </c>
      <c r="S87" s="293">
        <f>SUM(Q87:R87)</f>
        <v/>
      </c>
      <c r="T87" s="44" t="inlineStr">
        <is>
          <t>Accesorios: No incluye
Consumibles: No incluye</t>
        </is>
      </c>
      <c r="U87" s="45" t="inlineStr">
        <is>
          <t>Durante la vigencia del contrato</t>
        </is>
      </c>
      <c r="V87" s="46" t="inlineStr">
        <is>
          <t>SI</t>
        </is>
      </c>
      <c r="W87" s="47" t="inlineStr">
        <is>
          <t>IMAGEN</t>
        </is>
      </c>
    </row>
    <row r="88" ht="124.95" customHeight="1" s="227">
      <c r="A88" s="38" t="n">
        <v>116</v>
      </c>
      <c r="B88" s="68" t="inlineStr">
        <is>
          <t>JALISCO</t>
        </is>
      </c>
      <c r="D88" s="69" t="inlineStr">
        <is>
          <t>Rayos X móvil, marca Fujifilm, modelo FDR Go</t>
        </is>
      </c>
      <c r="E88" s="68" t="inlineStr">
        <is>
          <t>F168B78007</t>
        </is>
      </c>
      <c r="F88" s="69" t="inlineStr">
        <is>
          <t>H.M.Z. Zapopan</t>
        </is>
      </c>
      <c r="G88" s="39" t="inlineStr">
        <is>
          <t>Servicio de mantenimiento integral para: Rayos X móvil, marca Fujifilm, modelo FDR Go, serie  F168B78007;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H88" s="40" t="inlineStr">
        <is>
          <t>Servicio</t>
        </is>
      </c>
      <c r="I88" s="41" t="n">
        <v>1</v>
      </c>
      <c r="J88" s="41" t="n">
        <v>2</v>
      </c>
      <c r="K88" s="42" t="inlineStr">
        <is>
          <t>México</t>
        </is>
      </c>
      <c r="L88" s="293" t="n">
        <v>355845</v>
      </c>
      <c r="M88" s="293" t="n"/>
      <c r="N88" s="293" t="n">
        <v>350000</v>
      </c>
      <c r="O88" s="293">
        <f>I88*N88</f>
        <v/>
      </c>
      <c r="P88" s="293">
        <f>J88*N88</f>
        <v/>
      </c>
      <c r="Q88" s="293">
        <f>SUM(O88:P88)</f>
        <v/>
      </c>
      <c r="R88" s="293">
        <f>Q88*$R$9</f>
        <v/>
      </c>
      <c r="S88" s="293">
        <f>SUM(Q88:R88)</f>
        <v/>
      </c>
      <c r="T88" s="44" t="inlineStr">
        <is>
          <t>Accesorios: No incluye
Consumibles: No incluye</t>
        </is>
      </c>
      <c r="U88" s="45" t="inlineStr">
        <is>
          <t>Durante la vigencia del contrato</t>
        </is>
      </c>
      <c r="V88" s="46" t="inlineStr">
        <is>
          <t>SI</t>
        </is>
      </c>
      <c r="W88" s="47" t="inlineStr">
        <is>
          <t>IMAGEN</t>
        </is>
      </c>
    </row>
    <row r="89" ht="124.95" customHeight="1" s="227">
      <c r="A89" s="38" t="n">
        <v>119</v>
      </c>
      <c r="B89" s="68" t="inlineStr">
        <is>
          <t>COAHUILA</t>
        </is>
      </c>
      <c r="D89" s="69" t="inlineStr">
        <is>
          <t>Rayos X móvil, marca Fujifilm, modelo FDR Go</t>
        </is>
      </c>
      <c r="E89" s="68" t="inlineStr">
        <is>
          <t>41DBBA14CO</t>
        </is>
      </c>
      <c r="F89" s="69" t="inlineStr">
        <is>
          <t>H.M.R. Torreón</t>
        </is>
      </c>
      <c r="G89" s="39" t="inlineStr">
        <is>
          <t>Servicio de mantenimiento integral para: Rayos X móvil, marca Fujifilm, modelo FDR Go, serie 41DBBA14CO; ubicado en H.M.R. Torreón, Coah.
Consistente en 1 evento de mantenimiento preventivo por semestre y todos los mantenimientos correctivos que se requieran para mantener, conservar y/o recuperar la operatividad del equipo al 100% durante el periodo de cobertura.</t>
        </is>
      </c>
      <c r="H89" s="40" t="inlineStr">
        <is>
          <t>Servicio</t>
        </is>
      </c>
      <c r="I89" s="41" t="n">
        <v>1</v>
      </c>
      <c r="J89" s="41" t="n">
        <v>2</v>
      </c>
      <c r="K89" s="42" t="inlineStr">
        <is>
          <t>México</t>
        </is>
      </c>
      <c r="L89" s="293" t="n">
        <v>368495</v>
      </c>
      <c r="M89" s="293" t="n"/>
      <c r="N89" s="293" t="n">
        <v>350000</v>
      </c>
      <c r="O89" s="293">
        <f>I89*N89</f>
        <v/>
      </c>
      <c r="P89" s="293">
        <f>J89*N89</f>
        <v/>
      </c>
      <c r="Q89" s="293">
        <f>SUM(O89:P89)</f>
        <v/>
      </c>
      <c r="R89" s="293">
        <f>Q89*$R$9</f>
        <v/>
      </c>
      <c r="S89" s="293">
        <f>SUM(Q89:R89)</f>
        <v/>
      </c>
      <c r="T89" s="44" t="inlineStr">
        <is>
          <t>Accesorios: No incluye
Consumibles: No incluye</t>
        </is>
      </c>
      <c r="U89" s="45" t="inlineStr">
        <is>
          <t>Durante la vigencia del contrato</t>
        </is>
      </c>
      <c r="V89" s="46" t="inlineStr">
        <is>
          <t>SI</t>
        </is>
      </c>
      <c r="W89" s="47" t="inlineStr">
        <is>
          <t>IMAGEN</t>
        </is>
      </c>
    </row>
    <row r="90" ht="124.95" customHeight="1" s="227">
      <c r="A90" s="38" t="n">
        <v>134</v>
      </c>
      <c r="B90" s="68" t="inlineStr">
        <is>
          <t>VERACRUZ</t>
        </is>
      </c>
      <c r="D90" s="69" t="inlineStr">
        <is>
          <t>Rayos X móvil, marca Fujifilm, modelo FDR Go</t>
        </is>
      </c>
      <c r="E90" s="68" t="inlineStr">
        <is>
          <t>41DBBA14A019</t>
        </is>
      </c>
      <c r="F90" s="69" t="inlineStr">
        <is>
          <t>H.M.R. Tuxpan</t>
        </is>
      </c>
      <c r="G90" s="39" t="inlineStr">
        <is>
          <t>Servicio de mantenimiento integral para: Rayos X móvil, marca Fujifilm, modelo FDR Go, serie 41DBBA14A019; ubicado en H.M.R. Tuxpan, Ver.
Consistente en 1 evento de mantenimiento preventivo por semestre y todos los mantenimientos correctivos que se requieran para mantener, conservar y/o recuperar la operatividad del equipo al 100% durante el periodo de cobertura.</t>
        </is>
      </c>
      <c r="H90" s="40" t="inlineStr">
        <is>
          <t>Servicio</t>
        </is>
      </c>
      <c r="I90" s="41" t="n">
        <v>1</v>
      </c>
      <c r="J90" s="41" t="n">
        <v>2</v>
      </c>
      <c r="K90" s="42" t="inlineStr">
        <is>
          <t>México</t>
        </is>
      </c>
      <c r="L90" s="293" t="n">
        <v>140301.14</v>
      </c>
      <c r="M90" s="293" t="inlineStr">
        <is>
          <t>NO</t>
        </is>
      </c>
      <c r="N90" s="293" t="n">
        <v>140000</v>
      </c>
      <c r="O90" s="293">
        <f>I90*N90</f>
        <v/>
      </c>
      <c r="P90" s="293">
        <f>J90*N90</f>
        <v/>
      </c>
      <c r="Q90" s="293">
        <f>SUM(O90:P90)</f>
        <v/>
      </c>
      <c r="R90" s="293">
        <f>Q90*$R$9</f>
        <v/>
      </c>
      <c r="S90" s="293">
        <f>SUM(Q90:R90)</f>
        <v/>
      </c>
      <c r="T90" s="44" t="inlineStr">
        <is>
          <t>Accesorios: No incluye
Consumibles: No incluye</t>
        </is>
      </c>
      <c r="U90" s="45" t="inlineStr">
        <is>
          <t>Durante la vigencia del contrato</t>
        </is>
      </c>
      <c r="V90" s="46" t="inlineStr">
        <is>
          <t>SI</t>
        </is>
      </c>
      <c r="W90" s="47" t="inlineStr">
        <is>
          <t>IMAGEN</t>
        </is>
      </c>
    </row>
    <row r="91" ht="124.95" customHeight="1" s="227">
      <c r="A91" s="38" t="n">
        <v>140</v>
      </c>
      <c r="B91" s="68" t="inlineStr">
        <is>
          <t>CHIAPAS</t>
        </is>
      </c>
      <c r="D91" s="69" t="inlineStr">
        <is>
          <t>Rayos X móvil, marca Fujifilm, modelo FDR Go</t>
        </is>
      </c>
      <c r="E91" s="68" t="inlineStr">
        <is>
          <t>41DBBA146046</t>
        </is>
      </c>
      <c r="F91" s="69" t="inlineStr">
        <is>
          <t>H.M.R. Tuxtla Gutiérrez</t>
        </is>
      </c>
      <c r="G91" s="39" t="inlineStr">
        <is>
          <t>Servicio de mantenimiento integral para: Rayos X móvil, marca Fujifilm, modelo FDR Go, serie 41DBBA146046;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91" s="40" t="inlineStr">
        <is>
          <t>Servicio</t>
        </is>
      </c>
      <c r="I91" s="41" t="n">
        <v>1</v>
      </c>
      <c r="J91" s="41" t="n">
        <v>2</v>
      </c>
      <c r="K91" s="42" t="inlineStr">
        <is>
          <t>México</t>
        </is>
      </c>
      <c r="L91" s="293" t="n">
        <v>234983.62</v>
      </c>
      <c r="M91" s="293" t="n"/>
      <c r="N91" s="293" t="n">
        <v>230000</v>
      </c>
      <c r="O91" s="293">
        <f>I91*N91</f>
        <v/>
      </c>
      <c r="P91" s="293">
        <f>J91*N91</f>
        <v/>
      </c>
      <c r="Q91" s="293">
        <f>SUM(O91:P91)</f>
        <v/>
      </c>
      <c r="R91" s="293">
        <f>Q91*$R$9</f>
        <v/>
      </c>
      <c r="S91" s="293">
        <f>SUM(Q91:R91)</f>
        <v/>
      </c>
      <c r="T91" s="44" t="inlineStr">
        <is>
          <t>Accesorios: No incluye
Consumibles: No incluye</t>
        </is>
      </c>
      <c r="U91" s="45" t="inlineStr">
        <is>
          <t>Durante la vigencia del contrato</t>
        </is>
      </c>
      <c r="V91" s="46" t="inlineStr">
        <is>
          <t>SI</t>
        </is>
      </c>
      <c r="W91" s="47" t="inlineStr">
        <is>
          <t>IMAGEN</t>
        </is>
      </c>
    </row>
    <row r="92" ht="124.95" customHeight="1" s="227">
      <c r="A92" s="38" t="n">
        <v>144</v>
      </c>
      <c r="B92" s="68" t="inlineStr">
        <is>
          <t>YUCATAN</t>
        </is>
      </c>
      <c r="D92" s="69" t="inlineStr">
        <is>
          <t>Rayos X móvil, marca Villa Sistemi Medicali, modelo Visitor T30 M-DR</t>
        </is>
      </c>
      <c r="E92" s="68" t="inlineStr">
        <is>
          <t>17091017</t>
        </is>
      </c>
      <c r="F92" s="69" t="inlineStr">
        <is>
          <t>H.M.R.E. Mérida</t>
        </is>
      </c>
      <c r="G92" s="39" t="inlineStr">
        <is>
          <t>Servicio de mantenimiento integral para: Rayos X móvil, marca Villa Sistemi Medicali, modelo Visitor T30 M-DR, serie 17091017;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H92" s="40" t="inlineStr">
        <is>
          <t>Servicio</t>
        </is>
      </c>
      <c r="I92" s="41" t="n">
        <v>1</v>
      </c>
      <c r="J92" s="41" t="n">
        <v>2</v>
      </c>
      <c r="K92" s="42" t="inlineStr">
        <is>
          <t>México</t>
        </is>
      </c>
      <c r="L92" s="293" t="n">
        <v>350000</v>
      </c>
      <c r="M92" s="293" t="n"/>
      <c r="N92" s="293" t="n">
        <v>350000</v>
      </c>
      <c r="O92" s="293">
        <f>I92*N92</f>
        <v/>
      </c>
      <c r="P92" s="293">
        <f>J92*N92</f>
        <v/>
      </c>
      <c r="Q92" s="293">
        <f>SUM(O92:P92)</f>
        <v/>
      </c>
      <c r="R92" s="293">
        <f>Q92*$R$9</f>
        <v/>
      </c>
      <c r="S92" s="293">
        <f>SUM(Q92:R92)</f>
        <v/>
      </c>
      <c r="T92" s="44" t="inlineStr">
        <is>
          <t>Accesorios: No incluye
Consumibles: No incluye</t>
        </is>
      </c>
      <c r="U92" s="45" t="inlineStr">
        <is>
          <t>Durante la vigencia del contrato</t>
        </is>
      </c>
      <c r="V92" s="46" t="inlineStr">
        <is>
          <t>SI</t>
        </is>
      </c>
      <c r="W92" s="47" t="inlineStr">
        <is>
          <t>IMAGEN</t>
        </is>
      </c>
    </row>
    <row r="93" ht="124.95" customHeight="1" s="227">
      <c r="A93" s="38" t="n">
        <v>145</v>
      </c>
      <c r="B93" s="68" t="inlineStr">
        <is>
          <t>YUCATAN</t>
        </is>
      </c>
      <c r="D93" s="69" t="inlineStr">
        <is>
          <t>Equipo de rayos X móvil, marca Technix, modelo TMS 320</t>
        </is>
      </c>
      <c r="E93" s="68" t="inlineStr">
        <is>
          <t>80-16-103-174</t>
        </is>
      </c>
      <c r="F93" s="69" t="inlineStr">
        <is>
          <t>H.M.R.E. Mérida</t>
        </is>
      </c>
      <c r="G93" s="39" t="inlineStr">
        <is>
          <t>Servicio de mantenimiento integral para: Equipo de rayos X móvil, marca Technix, modelo TMS 320, serie 80-16-103-174;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H93" s="40" t="inlineStr">
        <is>
          <t>Servicio</t>
        </is>
      </c>
      <c r="I93" s="41" t="n">
        <v>1</v>
      </c>
      <c r="J93" s="41" t="n">
        <v>2</v>
      </c>
      <c r="K93" s="42" t="inlineStr">
        <is>
          <t>México</t>
        </is>
      </c>
      <c r="L93" s="293" t="n">
        <v>221939.65</v>
      </c>
      <c r="M93" s="293" t="n"/>
      <c r="N93" s="293" t="n">
        <v>220000</v>
      </c>
      <c r="O93" s="293">
        <f>I93*N93</f>
        <v/>
      </c>
      <c r="P93" s="293">
        <f>J93*N93</f>
        <v/>
      </c>
      <c r="Q93" s="293">
        <f>SUM(O93:P93)</f>
        <v/>
      </c>
      <c r="R93" s="293">
        <f>Q93*$R$9</f>
        <v/>
      </c>
      <c r="S93" s="293">
        <f>SUM(Q93:R93)</f>
        <v/>
      </c>
      <c r="T93" s="44" t="inlineStr">
        <is>
          <t>Accesorios: No incluye
Consumibles: No incluye</t>
        </is>
      </c>
      <c r="U93" s="45" t="inlineStr">
        <is>
          <t>Durante la vigencia del contrato</t>
        </is>
      </c>
      <c r="V93" s="46" t="inlineStr">
        <is>
          <t>SI</t>
        </is>
      </c>
      <c r="W93" s="47" t="inlineStr">
        <is>
          <t>IMAGEN</t>
        </is>
      </c>
    </row>
    <row r="94" ht="124.95" customHeight="1" s="227">
      <c r="A94" s="38" t="n">
        <v>149</v>
      </c>
      <c r="B94" s="68" t="inlineStr">
        <is>
          <t>SAN LUIS POTOSI</t>
        </is>
      </c>
      <c r="D94" s="69" t="inlineStr">
        <is>
          <t>Equipo de rayos X móvil, marca Technix, modelo TMS 320</t>
        </is>
      </c>
      <c r="E94" s="68" t="inlineStr">
        <is>
          <t>80-16-87-158</t>
        </is>
      </c>
      <c r="F94" s="69" t="inlineStr">
        <is>
          <t>H.M.R. San Luis Potosí</t>
        </is>
      </c>
      <c r="G94" s="39" t="inlineStr">
        <is>
          <t>Servicio de mantenimiento integral para: Equipo de rayos X móvil, marca Technix, modelo TMS 320, serie 80-16-87-158; ubicado en H.M.R. San Luis Potosí, S.L.P.
Consistente en 1 evento de mantenimiento preventivo por semestre y todos los mantenimientos correctivos que se requieran para mantener, conservar y/o recuperar la operatividad del equipo al 100% durante el periodo de cobertura.</t>
        </is>
      </c>
      <c r="H94" s="40" t="inlineStr">
        <is>
          <t>Servicio</t>
        </is>
      </c>
      <c r="I94" s="41" t="n">
        <v>1</v>
      </c>
      <c r="J94" s="41" t="n">
        <v>2</v>
      </c>
      <c r="K94" s="42" t="inlineStr">
        <is>
          <t>México</t>
        </is>
      </c>
      <c r="L94" s="293" t="n">
        <v>228483.62</v>
      </c>
      <c r="M94" s="293" t="n"/>
      <c r="N94" s="293" t="n">
        <v>250000</v>
      </c>
      <c r="O94" s="293">
        <f>I94*N94</f>
        <v/>
      </c>
      <c r="P94" s="293">
        <f>J94*N94</f>
        <v/>
      </c>
      <c r="Q94" s="293">
        <f>SUM(O94:P94)</f>
        <v/>
      </c>
      <c r="R94" s="293">
        <f>Q94*$R$9</f>
        <v/>
      </c>
      <c r="S94" s="293">
        <f>SUM(Q94:R94)</f>
        <v/>
      </c>
      <c r="T94" s="44" t="inlineStr">
        <is>
          <t>Accesorios: No incluye
Consumibles: No incluye</t>
        </is>
      </c>
      <c r="U94" s="45" t="inlineStr">
        <is>
          <t>Durante la vigencia del contrato</t>
        </is>
      </c>
      <c r="V94" s="46" t="inlineStr">
        <is>
          <t>NO</t>
        </is>
      </c>
      <c r="W94" s="47" t="inlineStr">
        <is>
          <t>IMAGEN</t>
        </is>
      </c>
    </row>
    <row r="95" ht="124.95" customHeight="1" s="227">
      <c r="A95" s="38" t="n">
        <v>152</v>
      </c>
      <c r="B95" s="68" t="inlineStr">
        <is>
          <t>SINALOA</t>
        </is>
      </c>
      <c r="D95" s="69" t="inlineStr">
        <is>
          <t>Impresora para placas radiográficas, marca Codonics, modelo Horizon Ci</t>
        </is>
      </c>
      <c r="E95" s="68" t="inlineStr">
        <is>
          <t>50C00404C</t>
        </is>
      </c>
      <c r="F95" s="69" t="inlineStr">
        <is>
          <t>H.M.R.E. Mazatlán</t>
        </is>
      </c>
      <c r="G95" s="39" t="inlineStr">
        <is>
          <t>Servicio de mantenimiento integral para: Impresora para placas radiográficas, marca Codonics, modelo Horizon Ci, serie 50C00404C;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95" s="40" t="inlineStr">
        <is>
          <t>Servicio</t>
        </is>
      </c>
      <c r="I95" s="41" t="n">
        <v>1</v>
      </c>
      <c r="J95" s="41" t="n">
        <v>2</v>
      </c>
      <c r="K95" s="42" t="inlineStr">
        <is>
          <t>México</t>
        </is>
      </c>
      <c r="L95" s="293" t="n">
        <v>226939.65</v>
      </c>
      <c r="M95" s="293" t="n"/>
      <c r="N95" s="293" t="n">
        <v>300000</v>
      </c>
      <c r="O95" s="293">
        <f>I95*N95</f>
        <v/>
      </c>
      <c r="P95" s="293">
        <f>J95*N95</f>
        <v/>
      </c>
      <c r="Q95" s="293">
        <f>SUM(O95:P95)</f>
        <v/>
      </c>
      <c r="R95" s="293">
        <f>Q95*$R$9</f>
        <v/>
      </c>
      <c r="S95" s="293">
        <f>SUM(Q95:R95)</f>
        <v/>
      </c>
      <c r="T95" s="44" t="inlineStr">
        <is>
          <t>Accesorios: No incluye
Consumibles: No incluye</t>
        </is>
      </c>
      <c r="U95" s="45" t="inlineStr">
        <is>
          <t>Durante la vigencia del contrato</t>
        </is>
      </c>
      <c r="V95" s="46" t="inlineStr">
        <is>
          <t>NO</t>
        </is>
      </c>
      <c r="W95" s="47" t="inlineStr">
        <is>
          <t>IMAGEN</t>
        </is>
      </c>
    </row>
    <row r="96" ht="124.95" customHeight="1" s="227">
      <c r="A96" s="49" t="n">
        <v>154</v>
      </c>
      <c r="B96" s="68" t="inlineStr">
        <is>
          <t>SINALOA</t>
        </is>
      </c>
      <c r="D96" s="69" t="inlineStr">
        <is>
          <t>Microscopio para cirugía, marca Haag-Streit Surgical, modelo Moller Wedel</t>
        </is>
      </c>
      <c r="E96" s="68" t="inlineStr">
        <is>
          <t>30155514</t>
        </is>
      </c>
      <c r="F96" s="69" t="inlineStr">
        <is>
          <t>H.M.R.E. Mazatlán</t>
        </is>
      </c>
      <c r="G96" s="50" t="inlineStr">
        <is>
          <t>Servicio de mantenimiento integral para: Microscopio para cirugía, marca Haag-Streit Surgical, modelo Moller Wedel, serie 30155514;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96" s="51" t="inlineStr">
        <is>
          <t>Servicio</t>
        </is>
      </c>
      <c r="I96" s="52" t="n">
        <v>1</v>
      </c>
      <c r="J96" s="52" t="n">
        <v>2</v>
      </c>
      <c r="K96" s="59" t="inlineStr">
        <is>
          <t>México</t>
        </is>
      </c>
      <c r="L96" s="290" t="n">
        <v>165700</v>
      </c>
      <c r="M96" s="291" t="inlineStr">
        <is>
          <t>P</t>
        </is>
      </c>
      <c r="N96" s="292" t="n">
        <v>160000</v>
      </c>
      <c r="O96" s="292">
        <f>I96*N96</f>
        <v/>
      </c>
      <c r="P96" s="292">
        <f>J96*N96</f>
        <v/>
      </c>
      <c r="Q96" s="292">
        <f>SUM(O96:P96)</f>
        <v/>
      </c>
      <c r="R96" s="292">
        <f>Q96*$R$9</f>
        <v/>
      </c>
      <c r="S96" s="292">
        <f>SUM(Q96:R96)</f>
        <v/>
      </c>
      <c r="T96" s="56" t="inlineStr">
        <is>
          <t>Accesorios: No incluye
Consumibles: No incluye</t>
        </is>
      </c>
      <c r="U96" s="54" t="inlineStr">
        <is>
          <t>Durante la vigencia del contrato</t>
        </is>
      </c>
      <c r="V96" s="57" t="inlineStr">
        <is>
          <t>SI</t>
        </is>
      </c>
      <c r="W96" s="54" t="inlineStr">
        <is>
          <t>OFTALMO</t>
        </is>
      </c>
      <c r="X96" s="32" t="inlineStr">
        <is>
          <t>DEWIMED</t>
        </is>
      </c>
    </row>
    <row r="97" ht="124.95" customHeight="1" s="227">
      <c r="A97" s="38" t="n">
        <v>156</v>
      </c>
      <c r="B97" s="68" t="inlineStr">
        <is>
          <t>CDMX</t>
        </is>
      </c>
      <c r="D97" s="69" t="inlineStr">
        <is>
          <t>Equipo de rayos X móvil, marca Technix, modelo TMS 320</t>
        </is>
      </c>
      <c r="E97" s="68" t="inlineStr">
        <is>
          <t>80-16-79-150</t>
        </is>
      </c>
      <c r="F97" s="69" t="inlineStr">
        <is>
          <t>H.C.M. Lomas de Sotelo</t>
        </is>
      </c>
      <c r="G97" s="39" t="inlineStr">
        <is>
          <t>Servicio de mantenimiento integral para: Equipo de rayos X móvil, marca Technix, modelo TMS 320, serie 80-16-79-150;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97" s="40" t="inlineStr">
        <is>
          <t>Servicio</t>
        </is>
      </c>
      <c r="I97" s="41" t="n">
        <v>1</v>
      </c>
      <c r="J97" s="41" t="n">
        <v>2</v>
      </c>
      <c r="K97" s="42" t="inlineStr">
        <is>
          <t>México</t>
        </is>
      </c>
      <c r="L97" s="293" t="n">
        <v>231852.26</v>
      </c>
      <c r="M97" s="293" t="n"/>
      <c r="N97" s="293" t="n">
        <v>220000</v>
      </c>
      <c r="O97" s="293">
        <f>I97*N97</f>
        <v/>
      </c>
      <c r="P97" s="293">
        <f>J97*N97</f>
        <v/>
      </c>
      <c r="Q97" s="293">
        <f>SUM(O97:P97)</f>
        <v/>
      </c>
      <c r="R97" s="293">
        <f>Q97*$R$9</f>
        <v/>
      </c>
      <c r="S97" s="293">
        <f>SUM(Q97:R97)</f>
        <v/>
      </c>
      <c r="T97" s="44" t="inlineStr">
        <is>
          <t>Accesorios: No incluye
Consumibles: No incluye</t>
        </is>
      </c>
      <c r="U97" s="45" t="inlineStr">
        <is>
          <t>Durante la vigencia del contrato</t>
        </is>
      </c>
      <c r="V97" s="46" t="inlineStr">
        <is>
          <t>SI</t>
        </is>
      </c>
      <c r="W97" s="47" t="inlineStr">
        <is>
          <t>IMAGEN</t>
        </is>
      </c>
    </row>
    <row r="98" ht="124.95" customHeight="1" s="227">
      <c r="A98" s="49" t="n">
        <v>159</v>
      </c>
      <c r="B98" s="68" t="inlineStr">
        <is>
          <t>NUEVO LEON</t>
        </is>
      </c>
      <c r="D98" s="69" t="inlineStr">
        <is>
          <t>Microscopio para cirugía, marca Haag-Streit Surgical, modelo HS Hi-R 700</t>
        </is>
      </c>
      <c r="E98" s="68" t="inlineStr">
        <is>
          <t>1303</t>
        </is>
      </c>
      <c r="F98" s="69" t="inlineStr">
        <is>
          <t>H.M.R.E. Monterrey</t>
        </is>
      </c>
      <c r="G98" s="50" t="inlineStr">
        <is>
          <t>Servicio de mantenimiento integral para: Microscopio para cirugía, marca Haag-Streit Surgical, modelo HS Hi-R 700, serie 1303;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H98" s="51" t="inlineStr">
        <is>
          <t>Servicio</t>
        </is>
      </c>
      <c r="I98" s="52" t="n">
        <v>1</v>
      </c>
      <c r="J98" s="52" t="n">
        <v>2</v>
      </c>
      <c r="K98" s="59" t="inlineStr">
        <is>
          <t>México</t>
        </is>
      </c>
      <c r="L98" s="290" t="n">
        <v>165700</v>
      </c>
      <c r="M98" s="291" t="inlineStr">
        <is>
          <t>P</t>
        </is>
      </c>
      <c r="N98" s="292" t="n">
        <v>160000</v>
      </c>
      <c r="O98" s="292">
        <f>I98*N98</f>
        <v/>
      </c>
      <c r="P98" s="292">
        <f>J98*N98</f>
        <v/>
      </c>
      <c r="Q98" s="292">
        <f>SUM(O98:P98)</f>
        <v/>
      </c>
      <c r="R98" s="292">
        <f>Q98*$R$9</f>
        <v/>
      </c>
      <c r="S98" s="292">
        <f>SUM(Q98:R98)</f>
        <v/>
      </c>
      <c r="T98" s="56" t="inlineStr">
        <is>
          <t>Accesorios: No incluye
Consumibles: No incluye</t>
        </is>
      </c>
      <c r="U98" s="54" t="inlineStr">
        <is>
          <t>Durante la vigencia del contrato</t>
        </is>
      </c>
      <c r="V98" s="57" t="inlineStr">
        <is>
          <t>SI</t>
        </is>
      </c>
      <c r="W98" s="54" t="inlineStr">
        <is>
          <t>OFTALMO</t>
        </is>
      </c>
      <c r="X98" s="32" t="inlineStr">
        <is>
          <t>DEWIMED</t>
        </is>
      </c>
    </row>
    <row r="99" ht="124.95" customHeight="1" s="227">
      <c r="A99" s="38" t="n">
        <v>162</v>
      </c>
      <c r="B99" s="68" t="inlineStr">
        <is>
          <t>TAMAULIPAS</t>
        </is>
      </c>
      <c r="D99" s="69" t="inlineStr">
        <is>
          <t>Equipo de rayos X móvil, marca Technix, modelo TMS 320</t>
        </is>
      </c>
      <c r="E99" s="68" t="inlineStr">
        <is>
          <t>80-16-89-160</t>
        </is>
      </c>
      <c r="F99" s="69" t="inlineStr">
        <is>
          <t>H.M.R. Tampico</t>
        </is>
      </c>
      <c r="G99" s="39" t="inlineStr">
        <is>
          <t>Servicio de mantenimiento integral para: Equipo de rayos X móvil, marca Technix, modelo TMS 320, serie 80-16-89-160; ubicado en H.M.R. Tampico, Tamps.
Consistente en 1 evento de mantenimiento preventivo por semestre y todos los mantenimientos correctivos que se requieran para mantener, conservar y/o recuperar la operatividad del equipo al 100% durante el periodo de cobertura.</t>
        </is>
      </c>
      <c r="H99" s="40" t="inlineStr">
        <is>
          <t>Servicio</t>
        </is>
      </c>
      <c r="I99" s="41" t="n">
        <v>1</v>
      </c>
      <c r="J99" s="41" t="n">
        <v>2</v>
      </c>
      <c r="K99" s="42" t="inlineStr">
        <is>
          <t>México</t>
        </is>
      </c>
      <c r="L99" s="293" t="n">
        <v>223471.55</v>
      </c>
      <c r="M99" s="293" t="n"/>
      <c r="N99" s="293" t="n">
        <v>300000</v>
      </c>
      <c r="O99" s="293">
        <f>I99*N99</f>
        <v/>
      </c>
      <c r="P99" s="293">
        <f>J99*N99</f>
        <v/>
      </c>
      <c r="Q99" s="293">
        <f>SUM(O99:P99)</f>
        <v/>
      </c>
      <c r="R99" s="293">
        <f>Q99*$R$9</f>
        <v/>
      </c>
      <c r="S99" s="293">
        <f>SUM(Q99:R99)</f>
        <v/>
      </c>
      <c r="T99" s="44" t="inlineStr">
        <is>
          <t>Accesorios: No incluye
Consumibles: No incluye</t>
        </is>
      </c>
      <c r="U99" s="45" t="inlineStr">
        <is>
          <t>Durante la vigencia del contrato</t>
        </is>
      </c>
      <c r="V99" s="46" t="inlineStr">
        <is>
          <t>NO</t>
        </is>
      </c>
      <c r="W99" s="47" t="inlineStr">
        <is>
          <t>IMAGEN</t>
        </is>
      </c>
    </row>
    <row r="100" ht="124.95" customHeight="1" s="227">
      <c r="A100" s="38" t="n">
        <v>163</v>
      </c>
      <c r="B100" s="68" t="inlineStr">
        <is>
          <t>CDMX</t>
        </is>
      </c>
      <c r="D100" s="69" t="inlineStr">
        <is>
          <t>Equipo de rayos X móvil, marca Technix, modelo TMS 320</t>
        </is>
      </c>
      <c r="E100" s="68" t="inlineStr">
        <is>
          <t>80-16-90-161</t>
        </is>
      </c>
      <c r="F100" s="69" t="inlineStr">
        <is>
          <t>H.M.Z. El Vergel, Iztapalapa</t>
        </is>
      </c>
      <c r="G100" s="39" t="inlineStr">
        <is>
          <t>Servicio de mantenimiento integral para: Equipo de rayos X móvil, marca Technix, modelo TMS 320, serie 80-16-90-161; ubicado en H.M.Z. El Vergel, Iztapalapa,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00" s="40" t="inlineStr">
        <is>
          <t>Servicio</t>
        </is>
      </c>
      <c r="I100" s="41" t="n">
        <v>1</v>
      </c>
      <c r="J100" s="41" t="n">
        <v>2</v>
      </c>
      <c r="K100" s="42" t="inlineStr">
        <is>
          <t>México</t>
        </is>
      </c>
      <c r="L100" s="293" t="n">
        <v>234827.59</v>
      </c>
      <c r="M100" s="293" t="n"/>
      <c r="N100" s="293" t="n">
        <v>220000</v>
      </c>
      <c r="O100" s="293">
        <f>I100*N100</f>
        <v/>
      </c>
      <c r="P100" s="293">
        <f>J100*N100</f>
        <v/>
      </c>
      <c r="Q100" s="293">
        <f>SUM(O100:P100)</f>
        <v/>
      </c>
      <c r="R100" s="293">
        <f>Q100*$R$9</f>
        <v/>
      </c>
      <c r="S100" s="293">
        <f>SUM(Q100:R100)</f>
        <v/>
      </c>
      <c r="T100" s="44" t="inlineStr">
        <is>
          <t>Accesorios: No incluye
Consumibles: No incluye</t>
        </is>
      </c>
      <c r="U100" s="45" t="inlineStr">
        <is>
          <t>Durante la vigencia del contrato</t>
        </is>
      </c>
      <c r="V100" s="46" t="inlineStr">
        <is>
          <t>SI</t>
        </is>
      </c>
      <c r="W100" s="47" t="inlineStr">
        <is>
          <t>IMAGEN</t>
        </is>
      </c>
    </row>
    <row r="101" ht="124.95" customHeight="1" s="227">
      <c r="A101" s="38" t="n">
        <v>164</v>
      </c>
      <c r="B101" s="68" t="inlineStr">
        <is>
          <t>JALISCO</t>
        </is>
      </c>
      <c r="D101" s="69" t="inlineStr">
        <is>
          <t>Equipo de rayos X móvil, marca Technix, modelo TMS 320</t>
        </is>
      </c>
      <c r="E101" s="68" t="inlineStr">
        <is>
          <t>80-16-95-166</t>
        </is>
      </c>
      <c r="F101" s="69" t="inlineStr">
        <is>
          <t>H.M.Z. Zapopan</t>
        </is>
      </c>
      <c r="G101" s="39" t="inlineStr">
        <is>
          <t>Servicio de mantenimiento integral para: Equipo de rayos X móvil, marca Technix, modelo TMS 320, serie 80-16-95-166;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H101" s="40" t="inlineStr">
        <is>
          <t>Servicio</t>
        </is>
      </c>
      <c r="I101" s="41" t="n">
        <v>1</v>
      </c>
      <c r="J101" s="41" t="n">
        <v>2</v>
      </c>
      <c r="K101" s="42" t="inlineStr">
        <is>
          <t>México</t>
        </is>
      </c>
      <c r="L101" s="293" t="n">
        <v>230603.45</v>
      </c>
      <c r="M101" s="293" t="n"/>
      <c r="N101" s="293" t="n">
        <v>220000</v>
      </c>
      <c r="O101" s="293">
        <f>I101*N101</f>
        <v/>
      </c>
      <c r="P101" s="293">
        <f>J101*N101</f>
        <v/>
      </c>
      <c r="Q101" s="293">
        <f>SUM(O101:P101)</f>
        <v/>
      </c>
      <c r="R101" s="293">
        <f>Q101*$R$9</f>
        <v/>
      </c>
      <c r="S101" s="293">
        <f>SUM(Q101:R101)</f>
        <v/>
      </c>
      <c r="T101" s="44" t="inlineStr">
        <is>
          <t>Accesorios: No incluye
Consumibles: No incluye</t>
        </is>
      </c>
      <c r="U101" s="45" t="inlineStr">
        <is>
          <t>Durante la vigencia del contrato</t>
        </is>
      </c>
      <c r="V101" s="46" t="inlineStr">
        <is>
          <t>SI</t>
        </is>
      </c>
      <c r="W101" s="47" t="inlineStr">
        <is>
          <t>IMAGEN</t>
        </is>
      </c>
    </row>
    <row r="102" ht="124.95" customHeight="1" s="227">
      <c r="A102" s="38" t="n">
        <v>165</v>
      </c>
      <c r="B102" s="68" t="inlineStr">
        <is>
          <t>EDO DE MEX</t>
        </is>
      </c>
      <c r="D102" s="69" t="inlineStr">
        <is>
          <t>Equipo de rayos X móvil, marca Technix, modelo TMS 320</t>
        </is>
      </c>
      <c r="E102" s="68" t="inlineStr">
        <is>
          <t>80-16-105-176</t>
        </is>
      </c>
      <c r="F102" s="69" t="inlineStr">
        <is>
          <t>H.M.Z. Temamatla</t>
        </is>
      </c>
      <c r="G102" s="39" t="inlineStr">
        <is>
          <t>Servicio de mantenimiento integral para: Equipo de rayos X móvil, marca Technix, modelo TMS 320, serie 80-16-105-176;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02" s="40" t="inlineStr">
        <is>
          <t>Servicio</t>
        </is>
      </c>
      <c r="I102" s="41" t="n">
        <v>1</v>
      </c>
      <c r="J102" s="41" t="n">
        <v>2</v>
      </c>
      <c r="K102" s="42" t="inlineStr">
        <is>
          <t>México</t>
        </is>
      </c>
      <c r="L102" s="293" t="n">
        <v>232715.52</v>
      </c>
      <c r="M102" s="293" t="n"/>
      <c r="N102" s="293" t="n">
        <v>220000</v>
      </c>
      <c r="O102" s="293">
        <f>I102*N102</f>
        <v/>
      </c>
      <c r="P102" s="293">
        <f>J102*N102</f>
        <v/>
      </c>
      <c r="Q102" s="293">
        <f>SUM(O102:P102)</f>
        <v/>
      </c>
      <c r="R102" s="293">
        <f>Q102*$R$9</f>
        <v/>
      </c>
      <c r="S102" s="293">
        <f>SUM(Q102:R102)</f>
        <v/>
      </c>
      <c r="T102" s="44" t="inlineStr">
        <is>
          <t>Accesorios: No incluye
Consumibles: No incluye</t>
        </is>
      </c>
      <c r="U102" s="45" t="inlineStr">
        <is>
          <t>Durante la vigencia del contrato</t>
        </is>
      </c>
      <c r="V102" s="46" t="inlineStr">
        <is>
          <t>SI</t>
        </is>
      </c>
      <c r="W102" s="47" t="inlineStr">
        <is>
          <t>IMAGEN</t>
        </is>
      </c>
    </row>
    <row r="103" ht="124.95" customHeight="1" s="227">
      <c r="A103" s="38" t="n">
        <v>166</v>
      </c>
      <c r="B103" s="68" t="inlineStr">
        <is>
          <t>OAXACA</t>
        </is>
      </c>
      <c r="D103" s="69" t="inlineStr">
        <is>
          <t>Equipo de rayos X móvil, marca Technix, modelo TMS 320</t>
        </is>
      </c>
      <c r="E103" s="68" t="inlineStr">
        <is>
          <t>80-16-104-175</t>
        </is>
      </c>
      <c r="F103" s="69" t="inlineStr">
        <is>
          <t>H.M.Z. Ixcotel</t>
        </is>
      </c>
      <c r="G103" s="39" t="inlineStr">
        <is>
          <t>Servicio de mantenimiento integral para: Equipo de rayos X móvil, marca Technix, modelo TMS 320, serie 80-16-104-175;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03" s="40" t="inlineStr">
        <is>
          <t>Servicio</t>
        </is>
      </c>
      <c r="I103" s="41" t="n">
        <v>1</v>
      </c>
      <c r="J103" s="41" t="n">
        <v>2</v>
      </c>
      <c r="K103" s="42" t="inlineStr">
        <is>
          <t>México</t>
        </is>
      </c>
      <c r="L103" s="293" t="n">
        <v>231659.48</v>
      </c>
      <c r="M103" s="293" t="n"/>
      <c r="N103" s="293" t="n">
        <v>300000</v>
      </c>
      <c r="O103" s="293">
        <f>I103*N103</f>
        <v/>
      </c>
      <c r="P103" s="293">
        <f>J103*N103</f>
        <v/>
      </c>
      <c r="Q103" s="293">
        <f>SUM(O103:P103)</f>
        <v/>
      </c>
      <c r="R103" s="293">
        <f>Q103*$R$9</f>
        <v/>
      </c>
      <c r="S103" s="293">
        <f>SUM(Q103:R103)</f>
        <v/>
      </c>
      <c r="T103" s="44" t="inlineStr">
        <is>
          <t>Accesorios: No incluye
Consumibles: No incluye</t>
        </is>
      </c>
      <c r="U103" s="45" t="inlineStr">
        <is>
          <t>Durante la vigencia del contrato</t>
        </is>
      </c>
      <c r="V103" s="46" t="inlineStr">
        <is>
          <t>NO</t>
        </is>
      </c>
      <c r="W103" s="47" t="inlineStr">
        <is>
          <t>IMAGEN</t>
        </is>
      </c>
    </row>
    <row r="104" ht="140.4" customHeight="1" s="227">
      <c r="A104" s="38" t="n">
        <v>167</v>
      </c>
      <c r="B104" s="68" t="inlineStr">
        <is>
          <t>SONORA</t>
        </is>
      </c>
      <c r="D104" s="69" t="inlineStr">
        <is>
          <t>Equipo de rayos X móvil, marca Technix, modelo TMS 320</t>
        </is>
      </c>
      <c r="E104" s="68" t="inlineStr">
        <is>
          <t>80-16-80-151</t>
        </is>
      </c>
      <c r="F104" s="69" t="inlineStr">
        <is>
          <t>H.M.R. Hermosillo</t>
        </is>
      </c>
      <c r="G104" s="39" t="inlineStr">
        <is>
          <t>Servicio de mantenimiento integral para: Equipo de rayos X móvil, marca Technix, modelo TMS 320, serie 80-16-80-151; ubicado en H.M.R. 
Hermosillo, Son.
Consistente en 1 evento de mantenimiento preventivo por semestre y todos los mantenimientos correctivos que se requieran para mantener, conservar y/o recuperar la operatividad del equipo al 100% durante el periodo de cobertura.</t>
        </is>
      </c>
      <c r="H104" s="40" t="inlineStr">
        <is>
          <t>Servicio</t>
        </is>
      </c>
      <c r="I104" s="41" t="n">
        <v>1</v>
      </c>
      <c r="J104" s="41" t="n">
        <v>2</v>
      </c>
      <c r="K104" s="42" t="inlineStr">
        <is>
          <t>México</t>
        </is>
      </c>
      <c r="L104" s="293" t="n">
        <v>240107.76</v>
      </c>
      <c r="M104" s="293" t="n"/>
      <c r="N104" s="293" t="n">
        <v>300000</v>
      </c>
      <c r="O104" s="293">
        <f>I104*N104</f>
        <v/>
      </c>
      <c r="P104" s="293">
        <f>J104*N104</f>
        <v/>
      </c>
      <c r="Q104" s="293">
        <f>SUM(O104:P104)</f>
        <v/>
      </c>
      <c r="R104" s="293">
        <f>Q104*$R$9</f>
        <v/>
      </c>
      <c r="S104" s="293">
        <f>SUM(Q104:R104)</f>
        <v/>
      </c>
      <c r="T104" s="44" t="inlineStr">
        <is>
          <t>Accesorios: No incluye
Consumibles: No incluye</t>
        </is>
      </c>
      <c r="U104" s="45" t="inlineStr">
        <is>
          <t>Durante la vigencia del contrato</t>
        </is>
      </c>
      <c r="V104" s="46" t="inlineStr">
        <is>
          <t>NO</t>
        </is>
      </c>
      <c r="W104" s="47" t="inlineStr">
        <is>
          <t>IMAGEN</t>
        </is>
      </c>
    </row>
    <row r="105" ht="124.95" customHeight="1" s="227">
      <c r="A105" s="38" t="n">
        <v>168</v>
      </c>
      <c r="B105" s="68" t="inlineStr">
        <is>
          <t>CHIAPAS</t>
        </is>
      </c>
      <c r="D105" s="69" t="inlineStr">
        <is>
          <t>Equipo de rayos X móvil, marca Technix, modelo TMS 320</t>
        </is>
      </c>
      <c r="E105" s="68" t="inlineStr">
        <is>
          <t>80-16-102-173</t>
        </is>
      </c>
      <c r="F105" s="69" t="inlineStr">
        <is>
          <t>H.M.R. Tuxtla Gutiérrez</t>
        </is>
      </c>
      <c r="G105" s="39" t="inlineStr">
        <is>
          <t>Servicio de mantenimiento integral para: Equipo de rayos X móvil, marca Technix, modelo TMS 320, serie 80-16-102-173;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05" s="40" t="inlineStr">
        <is>
          <t>Servicio</t>
        </is>
      </c>
      <c r="I105" s="41" t="n">
        <v>1</v>
      </c>
      <c r="J105" s="41" t="n">
        <v>2</v>
      </c>
      <c r="K105" s="42" t="inlineStr">
        <is>
          <t>México</t>
        </is>
      </c>
      <c r="L105" s="293" t="n">
        <v>250000</v>
      </c>
      <c r="M105" s="293" t="n"/>
      <c r="N105" s="293" t="n">
        <v>250000</v>
      </c>
      <c r="O105" s="293">
        <f>I105*N105</f>
        <v/>
      </c>
      <c r="P105" s="293">
        <f>J105*N105</f>
        <v/>
      </c>
      <c r="Q105" s="293">
        <f>SUM(O105:P105)</f>
        <v/>
      </c>
      <c r="R105" s="293">
        <f>Q105*$R$9</f>
        <v/>
      </c>
      <c r="S105" s="293">
        <f>SUM(Q105:R105)</f>
        <v/>
      </c>
      <c r="T105" s="44" t="inlineStr">
        <is>
          <t>Accesorios: No incluye
Consumibles: No incluye</t>
        </is>
      </c>
      <c r="U105" s="45" t="inlineStr">
        <is>
          <t>Durante la vigencia del contrato</t>
        </is>
      </c>
      <c r="V105" s="46" t="inlineStr">
        <is>
          <t>SI</t>
        </is>
      </c>
      <c r="W105" s="47" t="inlineStr">
        <is>
          <t>IMAGEN</t>
        </is>
      </c>
    </row>
    <row r="106" ht="124.95" customHeight="1" s="227">
      <c r="A106" s="38" t="n">
        <v>169</v>
      </c>
      <c r="B106" s="68" t="inlineStr">
        <is>
          <t>CHIAPAS</t>
        </is>
      </c>
      <c r="D106" s="69" t="inlineStr">
        <is>
          <t>Láser excimer, marca Bausch &amp; Lomb, modelo Zyoptix XP</t>
        </is>
      </c>
      <c r="E106" s="68" t="inlineStr">
        <is>
          <t>PS01209</t>
        </is>
      </c>
      <c r="F106" s="69" t="inlineStr">
        <is>
          <t>H.M.R. Tuxtla Gutiérrez</t>
        </is>
      </c>
      <c r="G106" s="39" t="inlineStr">
        <is>
          <t>Servicio de mantenimiento integral para: Láser excimer, marca Bausch &amp; Lomb, modelo Zyoptix XP, serie PS01209;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06" s="40" t="inlineStr">
        <is>
          <t>Servicio</t>
        </is>
      </c>
      <c r="I106" s="41" t="n">
        <v>1</v>
      </c>
      <c r="J106" s="41" t="n">
        <v>2</v>
      </c>
      <c r="K106" s="42" t="inlineStr">
        <is>
          <t>México</t>
        </is>
      </c>
      <c r="L106" s="293" t="n">
        <v>161369.4</v>
      </c>
      <c r="M106" s="293" t="n"/>
      <c r="N106" s="293" t="n">
        <v>240000</v>
      </c>
      <c r="O106" s="293">
        <f>I106*N106</f>
        <v/>
      </c>
      <c r="P106" s="293">
        <f>J106*N106</f>
        <v/>
      </c>
      <c r="Q106" s="293">
        <f>SUM(O106:P106)</f>
        <v/>
      </c>
      <c r="R106" s="293">
        <f>Q106*$R$9</f>
        <v/>
      </c>
      <c r="S106" s="293">
        <f>SUM(Q106:R106)</f>
        <v/>
      </c>
      <c r="T106" s="44" t="inlineStr">
        <is>
          <t>Accesorios: No incluye
Consumibles: No incluye</t>
        </is>
      </c>
      <c r="U106" s="45" t="inlineStr">
        <is>
          <t>Durante la vigencia del contrato</t>
        </is>
      </c>
      <c r="V106" s="46" t="inlineStr">
        <is>
          <t>SI</t>
        </is>
      </c>
      <c r="W106" s="45" t="inlineStr">
        <is>
          <t>OFTALMO</t>
        </is>
      </c>
      <c r="X106" s="32" t="inlineStr">
        <is>
          <t>BAUSH</t>
        </is>
      </c>
    </row>
    <row r="107" ht="124.95" customHeight="1" s="227">
      <c r="A107" s="38" t="n">
        <v>171</v>
      </c>
      <c r="B107" s="68" t="inlineStr">
        <is>
          <t>MORELOS</t>
        </is>
      </c>
      <c r="D107" s="69" t="inlineStr">
        <is>
          <t>Equipo de rayos X móvil, marca Technix, modelo TMS 320</t>
        </is>
      </c>
      <c r="E107" s="68" t="inlineStr">
        <is>
          <t>80-16-88-159</t>
        </is>
      </c>
      <c r="F107" s="69" t="inlineStr">
        <is>
          <t>H.M.Z. Cuernavaca</t>
        </is>
      </c>
      <c r="G107" s="39" t="inlineStr">
        <is>
          <t>Servicio de mantenimiento integral para: Equipo de rayos X móvil, marca Technix, modelo TMS 320, serie 80-16-88-159;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H107" s="40" t="inlineStr">
        <is>
          <t>Servicio</t>
        </is>
      </c>
      <c r="I107" s="41" t="n">
        <v>1</v>
      </c>
      <c r="J107" s="41" t="n">
        <v>2</v>
      </c>
      <c r="K107" s="42" t="inlineStr">
        <is>
          <t>México</t>
        </is>
      </c>
      <c r="L107" s="293" t="n">
        <v>240107.76</v>
      </c>
      <c r="M107" s="293" t="n"/>
      <c r="N107" s="293" t="n">
        <v>230000</v>
      </c>
      <c r="O107" s="293">
        <f>I107*N107</f>
        <v/>
      </c>
      <c r="P107" s="293">
        <f>J107*N107</f>
        <v/>
      </c>
      <c r="Q107" s="293">
        <f>SUM(O107:P107)</f>
        <v/>
      </c>
      <c r="R107" s="293">
        <f>Q107*$R$9</f>
        <v/>
      </c>
      <c r="S107" s="293">
        <f>SUM(Q107:R107)</f>
        <v/>
      </c>
      <c r="T107" s="44" t="inlineStr">
        <is>
          <t>Accesorios: No incluye
Consumibles: No incluye</t>
        </is>
      </c>
      <c r="U107" s="45" t="inlineStr">
        <is>
          <t>Durante la vigencia del contrato</t>
        </is>
      </c>
      <c r="V107" s="46" t="inlineStr">
        <is>
          <t>SI</t>
        </is>
      </c>
      <c r="W107" s="47" t="inlineStr">
        <is>
          <t>IMAGEN</t>
        </is>
      </c>
    </row>
    <row r="108" ht="124.95" customHeight="1" s="227">
      <c r="A108" s="38" t="n">
        <v>172</v>
      </c>
      <c r="B108" s="68" t="inlineStr">
        <is>
          <t>BAJA CALIFORNIA</t>
        </is>
      </c>
      <c r="D108" s="69" t="inlineStr">
        <is>
          <t>Equipo de rayos X móvil, marca Technix, modelo TMS 320</t>
        </is>
      </c>
      <c r="E108" s="68" t="inlineStr">
        <is>
          <t>80-16-83-154</t>
        </is>
      </c>
      <c r="F108" s="69" t="inlineStr">
        <is>
          <t>H.M.Z. Mexicali</t>
        </is>
      </c>
      <c r="G108" s="39" t="inlineStr">
        <is>
          <t>Servicio de mantenimiento integral para: Equipo de rayos X móvil, marca Technix, modelo TMS 320, serie 80-16-83-154; ubicado en H.M.Z. Mexicali, B.C.
Consistente en 1 evento de mantenimiento preventivo por semestre y todos los mantenimientos correctivos que se requieran para mantener, conservar y/o recuperar la operatividad del equipo al 100% durante el periodo de cobertura.</t>
        </is>
      </c>
      <c r="H108" s="40" t="inlineStr">
        <is>
          <t>Servicio</t>
        </is>
      </c>
      <c r="I108" s="41" t="n">
        <v>1</v>
      </c>
      <c r="J108" s="41" t="n">
        <v>2</v>
      </c>
      <c r="K108" s="42" t="inlineStr">
        <is>
          <t>México</t>
        </is>
      </c>
      <c r="L108" s="293" t="n">
        <v>232715.52</v>
      </c>
      <c r="M108" s="293" t="n"/>
      <c r="N108" s="293" t="n">
        <v>300000</v>
      </c>
      <c r="O108" s="293">
        <f>I108*N108</f>
        <v/>
      </c>
      <c r="P108" s="293">
        <f>J108*N108</f>
        <v/>
      </c>
      <c r="Q108" s="293">
        <f>SUM(O108:P108)</f>
        <v/>
      </c>
      <c r="R108" s="293">
        <f>Q108*$R$9</f>
        <v/>
      </c>
      <c r="S108" s="293">
        <f>SUM(Q108:R108)</f>
        <v/>
      </c>
      <c r="T108" s="44" t="inlineStr">
        <is>
          <t>Accesorios: No incluye
Consumibles: No incluye</t>
        </is>
      </c>
      <c r="U108" s="45" t="inlineStr">
        <is>
          <t>Durante la vigencia del contrato</t>
        </is>
      </c>
      <c r="V108" s="46" t="inlineStr">
        <is>
          <t>NO</t>
        </is>
      </c>
      <c r="W108" s="47" t="inlineStr">
        <is>
          <t>IMAGEN</t>
        </is>
      </c>
    </row>
    <row r="109" ht="124.95" customHeight="1" s="227">
      <c r="A109" s="38" t="n">
        <v>175</v>
      </c>
      <c r="B109" s="68" t="inlineStr">
        <is>
          <t>BAJA CALIFORNIA</t>
        </is>
      </c>
      <c r="D109" s="69" t="inlineStr">
        <is>
          <t>Equipo de rayos X móvil, marca Technix, modelo TMS 320</t>
        </is>
      </c>
      <c r="E109" s="68" t="inlineStr">
        <is>
          <t>80-16-81-152</t>
        </is>
      </c>
      <c r="F109" s="69" t="inlineStr">
        <is>
          <t>H.M.R. El Ciprés</t>
        </is>
      </c>
      <c r="G109" s="39" t="inlineStr">
        <is>
          <t>Servicio de mantenimiento integral para: Equipo de rayos X móvil, marca Technix, modelo TMS 320, serie 80-16-81-152; ubicado en H.M.R. El Ciprés, B.C.
Consistente en 1 evento de mantenimiento preventivo por semestre y todos los mantenimientos correctivos que se requieran para mantener, conservar y/o recuperar la operatividad del equipo al 100% durante el periodo de cobertura.</t>
        </is>
      </c>
      <c r="H109" s="40" t="inlineStr">
        <is>
          <t>Servicio</t>
        </is>
      </c>
      <c r="I109" s="41" t="n">
        <v>1</v>
      </c>
      <c r="J109" s="41" t="n">
        <v>2</v>
      </c>
      <c r="K109" s="42" t="inlineStr">
        <is>
          <t>México</t>
        </is>
      </c>
      <c r="L109" s="293" t="n">
        <v>230603.45</v>
      </c>
      <c r="M109" s="293" t="n"/>
      <c r="N109" s="293" t="n">
        <v>300000</v>
      </c>
      <c r="O109" s="293">
        <f>I109*N109</f>
        <v/>
      </c>
      <c r="P109" s="293">
        <f>J109*N109</f>
        <v/>
      </c>
      <c r="Q109" s="293">
        <f>SUM(O109:P109)</f>
        <v/>
      </c>
      <c r="R109" s="293">
        <f>Q109*$R$9</f>
        <v/>
      </c>
      <c r="S109" s="293">
        <f>SUM(Q109:R109)</f>
        <v/>
      </c>
      <c r="T109" s="44" t="inlineStr">
        <is>
          <t>Accesorios: No incluye
Consumibles: No incluye</t>
        </is>
      </c>
      <c r="U109" s="45" t="inlineStr">
        <is>
          <t>Durante la vigencia del contrato</t>
        </is>
      </c>
      <c r="V109" s="46" t="inlineStr">
        <is>
          <t>NO</t>
        </is>
      </c>
      <c r="W109" s="47" t="inlineStr">
        <is>
          <t>IMAGEN</t>
        </is>
      </c>
    </row>
    <row r="110" ht="124.95" customHeight="1" s="227">
      <c r="A110" s="38" t="n">
        <v>179</v>
      </c>
      <c r="B110" s="68" t="inlineStr">
        <is>
          <t>JALISCO</t>
        </is>
      </c>
      <c r="D110" s="69" t="inlineStr">
        <is>
          <t>Equipo de rayos X móvil, marca Technix, modelo TMS 320</t>
        </is>
      </c>
      <c r="E110" s="68" t="inlineStr">
        <is>
          <t>80-16-91-162</t>
        </is>
      </c>
      <c r="F110" s="69" t="inlineStr">
        <is>
          <t>H.M.R.E. Guadalajara</t>
        </is>
      </c>
      <c r="G110" s="39" t="inlineStr">
        <is>
          <t>Servicio de mantenimiento integral para: Equipo de rayos X móvil, marca Technix, modelo TMS 320, serie 80-16-91-162;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H110" s="40" t="inlineStr">
        <is>
          <t>Servicio</t>
        </is>
      </c>
      <c r="I110" s="41" t="n">
        <v>1</v>
      </c>
      <c r="J110" s="41" t="n">
        <v>2</v>
      </c>
      <c r="K110" s="42" t="inlineStr">
        <is>
          <t>México</t>
        </is>
      </c>
      <c r="L110" s="293" t="n">
        <v>235883.62</v>
      </c>
      <c r="M110" s="293" t="n"/>
      <c r="N110" s="293" t="n">
        <v>230000</v>
      </c>
      <c r="O110" s="293">
        <f>I110*N110</f>
        <v/>
      </c>
      <c r="P110" s="293">
        <f>J110*N110</f>
        <v/>
      </c>
      <c r="Q110" s="293">
        <f>SUM(O110:P110)</f>
        <v/>
      </c>
      <c r="R110" s="293">
        <f>Q110*$R$9</f>
        <v/>
      </c>
      <c r="S110" s="293">
        <f>SUM(Q110:R110)</f>
        <v/>
      </c>
      <c r="T110" s="44" t="inlineStr">
        <is>
          <t>Accesorios: No incluye
Consumibles: No incluye</t>
        </is>
      </c>
      <c r="U110" s="45" t="inlineStr">
        <is>
          <t>Durante la vigencia del contrato</t>
        </is>
      </c>
      <c r="V110" s="46" t="inlineStr">
        <is>
          <t>SI</t>
        </is>
      </c>
      <c r="W110" s="47" t="inlineStr">
        <is>
          <t>IMAGEN</t>
        </is>
      </c>
    </row>
    <row r="111" ht="124.95" customHeight="1" s="227">
      <c r="A111" s="38" t="n">
        <v>183</v>
      </c>
      <c r="B111" s="68" t="inlineStr">
        <is>
          <t>SINALOA</t>
        </is>
      </c>
      <c r="D111" s="69" t="inlineStr">
        <is>
          <t>Impresora para placas radiográficas, marca Fujifilm, modelo Drypix Smart</t>
        </is>
      </c>
      <c r="E111" s="68" t="inlineStr">
        <is>
          <t>56728475</t>
        </is>
      </c>
      <c r="F111" s="69" t="inlineStr">
        <is>
          <t>H.M.R.E. Mazatlán</t>
        </is>
      </c>
      <c r="G111" s="39" t="inlineStr">
        <is>
          <t>Servicio de mantenimiento integral para: Impresora para placas radiográficas, marca Fujifilm, modelo Drypix Smart, serie 56728475;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111" s="40" t="inlineStr">
        <is>
          <t>Servicio</t>
        </is>
      </c>
      <c r="I111" s="41" t="n">
        <v>1</v>
      </c>
      <c r="J111" s="41" t="n">
        <v>2</v>
      </c>
      <c r="K111" s="42" t="inlineStr">
        <is>
          <t>México</t>
        </is>
      </c>
      <c r="L111" s="293" t="n">
        <v>230215.52</v>
      </c>
      <c r="M111" s="293" t="n"/>
      <c r="N111" s="293" t="n">
        <v>300000</v>
      </c>
      <c r="O111" s="293">
        <f>I111*N111</f>
        <v/>
      </c>
      <c r="P111" s="293">
        <f>J111*N111</f>
        <v/>
      </c>
      <c r="Q111" s="293">
        <f>SUM(O111:P111)</f>
        <v/>
      </c>
      <c r="R111" s="293">
        <f>Q111*$R$9</f>
        <v/>
      </c>
      <c r="S111" s="293">
        <f>SUM(Q111:R111)</f>
        <v/>
      </c>
      <c r="T111" s="44" t="inlineStr">
        <is>
          <t>Accesorios: No incluye
Consumibles: No incluye</t>
        </is>
      </c>
      <c r="U111" s="45" t="inlineStr">
        <is>
          <t>Durante la vigencia del contrato</t>
        </is>
      </c>
      <c r="V111" s="46" t="inlineStr">
        <is>
          <t>NO</t>
        </is>
      </c>
      <c r="W111" s="47" t="inlineStr">
        <is>
          <t>IMAGEN</t>
        </is>
      </c>
    </row>
    <row r="112" ht="124.95" customHeight="1" s="227">
      <c r="A112" s="38" t="n">
        <v>184</v>
      </c>
      <c r="B112" s="68" t="inlineStr">
        <is>
          <t>SINALOA</t>
        </is>
      </c>
      <c r="D112" s="69" t="inlineStr">
        <is>
          <t>Impresora para placas radiográficas, marca Fujifilm, modelo Drypix Smart</t>
        </is>
      </c>
      <c r="E112" s="68" t="inlineStr">
        <is>
          <t>66131122</t>
        </is>
      </c>
      <c r="F112" s="69" t="inlineStr">
        <is>
          <t>H.M.R.E. Mazatlán</t>
        </is>
      </c>
      <c r="G112" s="39" t="inlineStr">
        <is>
          <t>Servicio de mantenimiento integral para: Impresora para placas radiográficas, marca Fujifilm, modelo Drypix Smart, serie 66131122;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112" s="40" t="inlineStr">
        <is>
          <t>Servicio</t>
        </is>
      </c>
      <c r="I112" s="41" t="n">
        <v>1</v>
      </c>
      <c r="J112" s="41" t="n">
        <v>2</v>
      </c>
      <c r="K112" s="42" t="inlineStr">
        <is>
          <t>México</t>
        </is>
      </c>
      <c r="L112" s="293" t="n">
        <v>233002.29</v>
      </c>
      <c r="M112" s="293" t="n"/>
      <c r="N112" s="293" t="n">
        <v>300000</v>
      </c>
      <c r="O112" s="293">
        <f>I112*N112</f>
        <v/>
      </c>
      <c r="P112" s="293">
        <f>J112*N112</f>
        <v/>
      </c>
      <c r="Q112" s="293">
        <f>SUM(O112:P112)</f>
        <v/>
      </c>
      <c r="R112" s="293">
        <f>Q112*$R$9</f>
        <v/>
      </c>
      <c r="S112" s="293">
        <f>SUM(Q112:R112)</f>
        <v/>
      </c>
      <c r="T112" s="44" t="inlineStr">
        <is>
          <t>Accesorios: No incluye
Consumibles: No incluye</t>
        </is>
      </c>
      <c r="U112" s="45" t="inlineStr">
        <is>
          <t>Durante la vigencia del contrato</t>
        </is>
      </c>
      <c r="V112" s="46" t="inlineStr">
        <is>
          <t>NO</t>
        </is>
      </c>
      <c r="W112" s="47" t="inlineStr">
        <is>
          <t>IMAGEN</t>
        </is>
      </c>
    </row>
    <row r="113" ht="140.4" customHeight="1" s="227">
      <c r="A113" s="49" t="n">
        <v>185</v>
      </c>
      <c r="B113" s="68" t="inlineStr">
        <is>
          <t>CDMX</t>
        </is>
      </c>
      <c r="D113" s="69" t="inlineStr">
        <is>
          <t>Sistema de diagnóstico oftálmico avanzado, marca Heidelberg Engineering, modelo Spectralis</t>
        </is>
      </c>
      <c r="E113" s="68" t="inlineStr">
        <is>
          <t>SPECT-KT-05789</t>
        </is>
      </c>
      <c r="F113" s="69" t="inlineStr">
        <is>
          <t>H.C.M. Lomas de Sotelo</t>
        </is>
      </c>
      <c r="G113" s="50" t="inlineStr">
        <is>
          <t>Servicio de mantenimiento integral para: Sistema de diagnóstico oftálmico avanzado, marca Heidelberg Engineering, modelo Spectralis, serie SPECT-KT-05789; ubicado en H.C.M. Lomas de Sotelo,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113" s="51" t="inlineStr">
        <is>
          <t>Servicio</t>
        </is>
      </c>
      <c r="I113" s="52" t="n">
        <v>2</v>
      </c>
      <c r="J113" s="52" t="n">
        <v>4</v>
      </c>
      <c r="K113" s="59" t="inlineStr">
        <is>
          <t>México</t>
        </is>
      </c>
      <c r="L113" s="290" t="n">
        <v>391810.34</v>
      </c>
      <c r="M113" s="291" t="n">
        <v>125000</v>
      </c>
      <c r="N113" s="292" t="n">
        <v>300000</v>
      </c>
      <c r="O113" s="292">
        <f>I113*N113</f>
        <v/>
      </c>
      <c r="P113" s="292">
        <f>J113*N113</f>
        <v/>
      </c>
      <c r="Q113" s="292">
        <f>SUM(O113:P113)</f>
        <v/>
      </c>
      <c r="R113" s="292">
        <f>Q113*$R$9</f>
        <v/>
      </c>
      <c r="S113" s="292">
        <f>SUM(Q113:R113)</f>
        <v/>
      </c>
      <c r="T113" s="56" t="inlineStr">
        <is>
          <t>Accesorios: No incluye
Consumibles: No incluye</t>
        </is>
      </c>
      <c r="U113" s="54" t="inlineStr">
        <is>
          <t>Durante la vigencia del contrato</t>
        </is>
      </c>
      <c r="V113" s="57" t="inlineStr">
        <is>
          <t>SI</t>
        </is>
      </c>
      <c r="W113" s="54" t="inlineStr">
        <is>
          <t>OFTALMO</t>
        </is>
      </c>
      <c r="X113" s="32" t="inlineStr">
        <is>
          <t>ARFAMEX</t>
        </is>
      </c>
    </row>
    <row r="114" ht="124.95" customHeight="1" s="227">
      <c r="A114" s="38" t="n">
        <v>196</v>
      </c>
      <c r="B114" s="68" t="inlineStr">
        <is>
          <t>NUEVO LEON</t>
        </is>
      </c>
      <c r="D114" s="69" t="inlineStr">
        <is>
          <t>Sistema de digitalización de imágenes, marca SUNI, modelo SUNI</t>
        </is>
      </c>
      <c r="E114" s="68" t="inlineStr">
        <is>
          <t>DI2014106149</t>
        </is>
      </c>
      <c r="F114" s="69" t="inlineStr">
        <is>
          <t>H.M.R.E. Monterrey</t>
        </is>
      </c>
      <c r="G114" s="39" t="inlineStr">
        <is>
          <t>Servicio de mantenimiento integral para: Sistema de digitalización de imágenes, marca SUNI, modelo SUNI, serie DI2014106149;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H114" s="40" t="inlineStr">
        <is>
          <t>Servicio</t>
        </is>
      </c>
      <c r="I114" s="41" t="n">
        <v>1</v>
      </c>
      <c r="J114" s="41" t="n">
        <v>2</v>
      </c>
      <c r="K114" s="42" t="inlineStr">
        <is>
          <t>México</t>
        </is>
      </c>
      <c r="L114" s="293" t="n">
        <v>360000</v>
      </c>
      <c r="M114" s="293" t="n"/>
      <c r="N114" s="293" t="n">
        <v>350000</v>
      </c>
      <c r="O114" s="293">
        <f>I114*N114</f>
        <v/>
      </c>
      <c r="P114" s="293">
        <f>J114*N114</f>
        <v/>
      </c>
      <c r="Q114" s="293">
        <f>SUM(O114:P114)</f>
        <v/>
      </c>
      <c r="R114" s="293">
        <f>Q114*$R$9</f>
        <v/>
      </c>
      <c r="S114" s="293">
        <f>SUM(Q114:R114)</f>
        <v/>
      </c>
      <c r="T114" s="44" t="inlineStr">
        <is>
          <t>Accesorios: No incluye
Consumibles: No incluye</t>
        </is>
      </c>
      <c r="U114" s="45" t="inlineStr">
        <is>
          <t>Durante la vigencia del contrato</t>
        </is>
      </c>
      <c r="V114" s="46" t="inlineStr">
        <is>
          <t>SI</t>
        </is>
      </c>
      <c r="W114" s="47" t="inlineStr">
        <is>
          <t>IMAGEN</t>
        </is>
      </c>
    </row>
    <row r="115" ht="124.95" customHeight="1" s="227">
      <c r="A115" s="38" t="n">
        <v>198</v>
      </c>
      <c r="B115" s="68" t="inlineStr">
        <is>
          <t>VERACRUZ</t>
        </is>
      </c>
      <c r="D115" s="69" t="inlineStr">
        <is>
          <t>Arco en C, marca Ziehm Imaging, modelo Vision R</t>
        </is>
      </c>
      <c r="E115" s="68" t="inlineStr">
        <is>
          <t>10704</t>
        </is>
      </c>
      <c r="F115" s="69" t="inlineStr">
        <is>
          <t>H.M.Z. La Boticaría</t>
        </is>
      </c>
      <c r="G115" s="39" t="inlineStr">
        <is>
          <t>Servicio de mantenimiento integral para: Arco en C, marca Ziehm Imaging, modelo Vision R, serie 10704;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H115" s="40" t="inlineStr">
        <is>
          <t>Servicio</t>
        </is>
      </c>
      <c r="I115" s="41" t="n">
        <v>1</v>
      </c>
      <c r="J115" s="41" t="n">
        <v>2</v>
      </c>
      <c r="K115" s="42" t="inlineStr">
        <is>
          <t>México</t>
        </is>
      </c>
      <c r="L115" s="293" t="n">
        <v>220000</v>
      </c>
      <c r="M115" s="293" t="n"/>
      <c r="N115" s="293" t="n">
        <v>220000</v>
      </c>
      <c r="O115" s="293">
        <f>I115*N115</f>
        <v/>
      </c>
      <c r="P115" s="293">
        <f>J115*N115</f>
        <v/>
      </c>
      <c r="Q115" s="293">
        <f>SUM(O115:P115)</f>
        <v/>
      </c>
      <c r="R115" s="293">
        <f>Q115*$R$9</f>
        <v/>
      </c>
      <c r="S115" s="293">
        <f>SUM(Q115:R115)</f>
        <v/>
      </c>
      <c r="T115" s="44" t="inlineStr">
        <is>
          <t>Accesorios: No incluye
Consumibles: No incluye</t>
        </is>
      </c>
      <c r="U115" s="45" t="inlineStr">
        <is>
          <t>Durante la vigencia del contrato</t>
        </is>
      </c>
      <c r="V115" s="46" t="inlineStr">
        <is>
          <t>SI</t>
        </is>
      </c>
      <c r="W115" s="47" t="inlineStr">
        <is>
          <t>IMAGEN</t>
        </is>
      </c>
    </row>
    <row r="116" ht="124.95" customHeight="1" s="227">
      <c r="A116" s="38" t="n">
        <v>200</v>
      </c>
      <c r="B116" s="68" t="inlineStr">
        <is>
          <t>CHIHUAHUA</t>
        </is>
      </c>
      <c r="D116" s="69" t="inlineStr">
        <is>
          <t>Arco en C, marca Ziehm Imaging, modelo Vision R</t>
        </is>
      </c>
      <c r="E116" s="68" t="inlineStr">
        <is>
          <t>10703</t>
        </is>
      </c>
      <c r="F116" s="69" t="inlineStr">
        <is>
          <t>H.M.R. Chihuahua</t>
        </is>
      </c>
      <c r="G116" s="39" t="inlineStr">
        <is>
          <t>Servicio de mantenimiento integral para: Arco en C, marca Ziehm Imaging, modelo Vision R, serie 10703;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H116" s="40" t="inlineStr">
        <is>
          <t>Servicio</t>
        </is>
      </c>
      <c r="I116" s="41" t="n">
        <v>1</v>
      </c>
      <c r="J116" s="41" t="n">
        <v>2</v>
      </c>
      <c r="K116" s="42" t="inlineStr">
        <is>
          <t>México</t>
        </is>
      </c>
      <c r="L116" s="293" t="n">
        <v>220165.52</v>
      </c>
      <c r="M116" s="293" t="n"/>
      <c r="N116" s="293" t="n">
        <v>300000</v>
      </c>
      <c r="O116" s="293">
        <f>I116*N116</f>
        <v/>
      </c>
      <c r="P116" s="293">
        <f>J116*N116</f>
        <v/>
      </c>
      <c r="Q116" s="293">
        <f>SUM(O116:P116)</f>
        <v/>
      </c>
      <c r="R116" s="293">
        <f>Q116*$R$9</f>
        <v/>
      </c>
      <c r="S116" s="293">
        <f>SUM(Q116:R116)</f>
        <v/>
      </c>
      <c r="T116" s="44" t="inlineStr">
        <is>
          <t>Accesorios: No incluye
Consumibles: No incluye</t>
        </is>
      </c>
      <c r="U116" s="45" t="inlineStr">
        <is>
          <t>Durante la vigencia del contrato</t>
        </is>
      </c>
      <c r="V116" s="46" t="inlineStr">
        <is>
          <t>NO</t>
        </is>
      </c>
      <c r="W116" s="47" t="inlineStr">
        <is>
          <t>IMAGEN</t>
        </is>
      </c>
    </row>
    <row r="117" ht="124.95" customHeight="1" s="227">
      <c r="A117" s="38" t="n">
        <v>203</v>
      </c>
      <c r="B117" s="68" t="inlineStr">
        <is>
          <t>CHIAPAS</t>
        </is>
      </c>
      <c r="D117" s="69" t="inlineStr">
        <is>
          <t>Topógrafo corneal , marca Bausch &amp; Lomb, modelo ORBSCAN lll</t>
        </is>
      </c>
      <c r="E117" s="68" t="inlineStr">
        <is>
          <t>50004019-0093</t>
        </is>
      </c>
      <c r="F117" s="69" t="inlineStr">
        <is>
          <t>H.M.R. Tuxtla Gutiérrez</t>
        </is>
      </c>
      <c r="G117" s="39" t="inlineStr">
        <is>
          <t>Servicio de mantenimiento integral para: Topógrafo corneal , marca Bausch &amp; Lomb, modelo ORBSCAN lll, serie 50004019-0093;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17" s="40" t="inlineStr">
        <is>
          <t>Servicio</t>
        </is>
      </c>
      <c r="I117" s="41" t="n">
        <v>1</v>
      </c>
      <c r="J117" s="41" t="n">
        <v>2</v>
      </c>
      <c r="K117" s="42" t="inlineStr">
        <is>
          <t>México</t>
        </is>
      </c>
      <c r="L117" s="293" t="n">
        <v>281225</v>
      </c>
      <c r="M117" s="293" t="n"/>
      <c r="N117" s="293" t="n">
        <v>350000</v>
      </c>
      <c r="O117" s="293">
        <f>I117*N117</f>
        <v/>
      </c>
      <c r="P117" s="293">
        <f>J117*N117</f>
        <v/>
      </c>
      <c r="Q117" s="293">
        <f>SUM(O117:P117)</f>
        <v/>
      </c>
      <c r="R117" s="293">
        <f>Q117*$R$9</f>
        <v/>
      </c>
      <c r="S117" s="293">
        <f>SUM(Q117:R117)</f>
        <v/>
      </c>
      <c r="T117" s="44" t="inlineStr">
        <is>
          <t>Accesorios: No incluye
Consumibles: No incluye</t>
        </is>
      </c>
      <c r="U117" s="45" t="inlineStr">
        <is>
          <t>Durante la vigencia del contrato</t>
        </is>
      </c>
      <c r="V117" s="46" t="inlineStr">
        <is>
          <t>NO</t>
        </is>
      </c>
      <c r="W117" s="45" t="inlineStr">
        <is>
          <t>OFTALMO</t>
        </is>
      </c>
      <c r="X117" s="32" t="inlineStr">
        <is>
          <t>BAUSH</t>
        </is>
      </c>
    </row>
    <row r="118" ht="124.95" customHeight="1" s="227">
      <c r="A118" s="38" t="n">
        <v>204</v>
      </c>
      <c r="B118" s="68" t="inlineStr">
        <is>
          <t>CHIAPAS</t>
        </is>
      </c>
      <c r="D118" s="69" t="inlineStr">
        <is>
          <t>Láser oftálmico, marca LightMed Corporation, modelo LIGHTLas</t>
        </is>
      </c>
      <c r="E118" s="68" t="inlineStr">
        <is>
          <t>SC22-0487</t>
        </is>
      </c>
      <c r="F118" s="69" t="inlineStr">
        <is>
          <t>H.M.R. Tuxtla Gutiérrez</t>
        </is>
      </c>
      <c r="G118" s="39" t="inlineStr">
        <is>
          <t>Servicio de mantenimiento integral para: Láser oftálmico, marca LightMed Corporation, modelo LIGHTLas, serie SC22-0487;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18" s="40" t="inlineStr">
        <is>
          <t>Servicio</t>
        </is>
      </c>
      <c r="I118" s="41" t="n">
        <v>1</v>
      </c>
      <c r="J118" s="41" t="n">
        <v>2</v>
      </c>
      <c r="K118" s="42" t="inlineStr">
        <is>
          <t>México</t>
        </is>
      </c>
      <c r="L118" s="293" t="n">
        <v>403448.27</v>
      </c>
      <c r="M118" s="293" t="n"/>
      <c r="N118" s="293" t="n">
        <v>600000</v>
      </c>
      <c r="O118" s="293">
        <f>I118*N118</f>
        <v/>
      </c>
      <c r="P118" s="293">
        <f>J118*N118</f>
        <v/>
      </c>
      <c r="Q118" s="293">
        <f>SUM(O118:P118)</f>
        <v/>
      </c>
      <c r="R118" s="293">
        <f>Q118*$R$9</f>
        <v/>
      </c>
      <c r="S118" s="293">
        <f>SUM(Q118:R118)</f>
        <v/>
      </c>
      <c r="T118" s="44" t="inlineStr">
        <is>
          <t>Accesorios: No incluye
Consumibles: No incluye</t>
        </is>
      </c>
      <c r="U118" s="45" t="inlineStr">
        <is>
          <t>Durante la vigencia del contrato</t>
        </is>
      </c>
      <c r="V118" s="46" t="inlineStr">
        <is>
          <t>SI</t>
        </is>
      </c>
      <c r="W118" s="45" t="inlineStr">
        <is>
          <t>OFTALMO</t>
        </is>
      </c>
      <c r="X118" s="32" t="inlineStr">
        <is>
          <t xml:space="preserve">ALDAI </t>
        </is>
      </c>
    </row>
    <row r="119" ht="124.95" customHeight="1" s="227">
      <c r="A119" s="49" t="n">
        <v>208</v>
      </c>
      <c r="B119" s="68" t="inlineStr">
        <is>
          <t>YUCATAN</t>
        </is>
      </c>
      <c r="D119" s="69" t="inlineStr">
        <is>
          <t>Microscopio para cirugía, marca Leica, modelo M844F40</t>
        </is>
      </c>
      <c r="E119" s="68" t="inlineStr">
        <is>
          <t>160516003</t>
        </is>
      </c>
      <c r="F119" s="69" t="inlineStr">
        <is>
          <t>H.M.R.E. Mérida</t>
        </is>
      </c>
      <c r="G119" s="50" t="inlineStr">
        <is>
          <t>Servicio de mantenimiento integral para: Microscopio para cirugía, marca Leica, modelo M844F40, serie 160516003;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H119" s="51" t="inlineStr">
        <is>
          <t>Servicio</t>
        </is>
      </c>
      <c r="I119" s="52" t="n">
        <v>1</v>
      </c>
      <c r="J119" s="52" t="n">
        <v>2</v>
      </c>
      <c r="K119" s="59" t="inlineStr">
        <is>
          <t>México</t>
        </is>
      </c>
      <c r="L119" s="290" t="n">
        <v>198755</v>
      </c>
      <c r="M119" s="291" t="n">
        <v>230000</v>
      </c>
      <c r="N119" s="292" t="n">
        <v>195000</v>
      </c>
      <c r="O119" s="292">
        <f>I119*N119</f>
        <v/>
      </c>
      <c r="P119" s="292">
        <f>J119*N119</f>
        <v/>
      </c>
      <c r="Q119" s="292">
        <f>SUM(O119:P119)</f>
        <v/>
      </c>
      <c r="R119" s="292">
        <f>Q119*$R$9</f>
        <v/>
      </c>
      <c r="S119" s="292">
        <f>SUM(Q119:R119)</f>
        <v/>
      </c>
      <c r="T119" s="56" t="inlineStr">
        <is>
          <t>Accesorios: No incluye
Consumibles: No incluye</t>
        </is>
      </c>
      <c r="U119" s="54" t="inlineStr">
        <is>
          <t>Durante la vigencia del contrato</t>
        </is>
      </c>
      <c r="V119" s="57" t="inlineStr">
        <is>
          <t>SI</t>
        </is>
      </c>
      <c r="W119" s="54" t="inlineStr">
        <is>
          <t>OFTALMO</t>
        </is>
      </c>
      <c r="X119" s="32" t="inlineStr">
        <is>
          <t>COINDISA</t>
        </is>
      </c>
    </row>
    <row r="120" ht="124.95" customHeight="1" s="227">
      <c r="A120" s="49" t="n">
        <v>212</v>
      </c>
      <c r="B120" s="68" t="inlineStr">
        <is>
          <t>CDMX</t>
        </is>
      </c>
      <c r="D120" s="69" t="inlineStr">
        <is>
          <t>Ultrasonido modo A-B, marca Quantel Medical, modelo Aviso</t>
        </is>
      </c>
      <c r="E120" s="68" t="inlineStr">
        <is>
          <t>3640</t>
        </is>
      </c>
      <c r="F120" s="69" t="inlineStr">
        <is>
          <t>H.M.E.O. Constituyentes</t>
        </is>
      </c>
      <c r="G120" s="50" t="inlineStr">
        <is>
          <t>Servicio de mantenimiento integral para: Ultrasonido modo A-B, marca Quantel Medical, modelo Aviso, serie 3640;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0" s="51" t="inlineStr">
        <is>
          <t>Servicio</t>
        </is>
      </c>
      <c r="I120" s="52" t="n">
        <v>1</v>
      </c>
      <c r="J120" s="52" t="n">
        <v>2</v>
      </c>
      <c r="K120" s="59" t="inlineStr">
        <is>
          <t>México</t>
        </is>
      </c>
      <c r="L120" s="290" t="n">
        <v>230215.52</v>
      </c>
      <c r="M120" s="291" t="n">
        <v>55000</v>
      </c>
      <c r="N120" s="292" t="n">
        <v>220000</v>
      </c>
      <c r="O120" s="292">
        <f>I120*N120</f>
        <v/>
      </c>
      <c r="P120" s="292">
        <f>J120*N120</f>
        <v/>
      </c>
      <c r="Q120" s="292">
        <f>SUM(O120:P120)</f>
        <v/>
      </c>
      <c r="R120" s="292">
        <f>Q120*$R$9</f>
        <v/>
      </c>
      <c r="S120" s="292">
        <f>SUM(Q120:R120)</f>
        <v/>
      </c>
      <c r="T120" s="56" t="inlineStr">
        <is>
          <t>Accesorios: No incluye
Consumibles: No incluye</t>
        </is>
      </c>
      <c r="U120" s="54" t="inlineStr">
        <is>
          <t>Durante la vigencia del contrato</t>
        </is>
      </c>
      <c r="V120" s="57" t="inlineStr">
        <is>
          <t>SI</t>
        </is>
      </c>
      <c r="W120" s="54" t="inlineStr">
        <is>
          <t>OFTALMO</t>
        </is>
      </c>
      <c r="X120" s="32" t="inlineStr">
        <is>
          <t>ARFAMEX</t>
        </is>
      </c>
    </row>
    <row r="121" ht="124.95" customHeight="1" s="227">
      <c r="A121" s="49" t="n">
        <v>213</v>
      </c>
      <c r="B121" s="68" t="inlineStr">
        <is>
          <t>CDMX</t>
        </is>
      </c>
      <c r="D121" s="69" t="inlineStr">
        <is>
          <t>Ultrasonido modo A-B y UBM, marca Quantel Medical, modelo Compact Touch</t>
        </is>
      </c>
      <c r="E121" s="68" t="inlineStr">
        <is>
          <t>2746</t>
        </is>
      </c>
      <c r="F121" s="69" t="inlineStr">
        <is>
          <t>H.M.E.O. Constituyentes</t>
        </is>
      </c>
      <c r="G121" s="50" t="inlineStr">
        <is>
          <t>Servicio de mantenimiento integral para: Ultrasonido modo A-B y UBM, marca Quantel Medical, modelo Compact Touch, serie 2746;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1" s="51" t="inlineStr">
        <is>
          <t>Servicio</t>
        </is>
      </c>
      <c r="I121" s="52" t="n">
        <v>1</v>
      </c>
      <c r="J121" s="52" t="n">
        <v>2</v>
      </c>
      <c r="K121" s="59" t="inlineStr">
        <is>
          <t>México</t>
        </is>
      </c>
      <c r="L121" s="290" t="n">
        <v>217543.11</v>
      </c>
      <c r="M121" s="291" t="n">
        <v>55000</v>
      </c>
      <c r="N121" s="292" t="n">
        <v>150000</v>
      </c>
      <c r="O121" s="292">
        <f>I121*N121</f>
        <v/>
      </c>
      <c r="P121" s="292">
        <f>J121*N121</f>
        <v/>
      </c>
      <c r="Q121" s="292">
        <f>SUM(O121:P121)</f>
        <v/>
      </c>
      <c r="R121" s="292">
        <f>Q121*$R$9</f>
        <v/>
      </c>
      <c r="S121" s="292">
        <f>SUM(Q121:R121)</f>
        <v/>
      </c>
      <c r="T121" s="56" t="inlineStr">
        <is>
          <t>Accesorios: No incluye
Consumibles: No incluye</t>
        </is>
      </c>
      <c r="U121" s="54" t="inlineStr">
        <is>
          <t>Durante la vigencia del contrato</t>
        </is>
      </c>
      <c r="V121" s="57" t="inlineStr">
        <is>
          <t>SI</t>
        </is>
      </c>
      <c r="W121" s="54" t="inlineStr">
        <is>
          <t>OFTALMO</t>
        </is>
      </c>
      <c r="X121" s="32" t="inlineStr">
        <is>
          <t>ARFAMEX</t>
        </is>
      </c>
    </row>
    <row r="122" ht="124.95" customHeight="1" s="227">
      <c r="A122" s="49" t="n">
        <v>214</v>
      </c>
      <c r="B122" s="68" t="inlineStr">
        <is>
          <t>CDMX</t>
        </is>
      </c>
      <c r="D122" s="69" t="inlineStr">
        <is>
          <t>Cámara de Scheimpflug, marca Oculus, modelo Pentacam HR</t>
        </is>
      </c>
      <c r="E122" s="68" t="inlineStr">
        <is>
          <t>64835160</t>
        </is>
      </c>
      <c r="F122" s="69" t="inlineStr">
        <is>
          <t>H.M.E.O. Constituyentes</t>
        </is>
      </c>
      <c r="G122" s="50" t="inlineStr">
        <is>
          <t>Servicio de mantenimiento integral para: Cámara de Scheimpflug, marca Oculus, modelo Pentacam HR, serie 64835160;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2" s="51" t="inlineStr">
        <is>
          <t>Servicio</t>
        </is>
      </c>
      <c r="I122" s="52" t="n">
        <v>1</v>
      </c>
      <c r="J122" s="52" t="n">
        <v>2</v>
      </c>
      <c r="K122" s="59" t="inlineStr">
        <is>
          <t>México</t>
        </is>
      </c>
      <c r="L122" s="290" t="n">
        <v>216433.19</v>
      </c>
      <c r="M122" s="291" t="n">
        <v>50000</v>
      </c>
      <c r="N122" s="292" t="n">
        <v>150000</v>
      </c>
      <c r="O122" s="292">
        <f>I122*N122</f>
        <v/>
      </c>
      <c r="P122" s="292">
        <f>J122*N122</f>
        <v/>
      </c>
      <c r="Q122" s="292">
        <f>SUM(O122:P122)</f>
        <v/>
      </c>
      <c r="R122" s="292">
        <f>Q122*$R$9</f>
        <v/>
      </c>
      <c r="S122" s="292">
        <f>SUM(Q122:R122)</f>
        <v/>
      </c>
      <c r="T122" s="56" t="inlineStr">
        <is>
          <t>Accesorios: No incluye
Consumibles: No incluye</t>
        </is>
      </c>
      <c r="U122" s="54" t="inlineStr">
        <is>
          <t>Durante la vigencia del contrato</t>
        </is>
      </c>
      <c r="V122" s="57" t="inlineStr">
        <is>
          <t>SI</t>
        </is>
      </c>
      <c r="W122" s="54" t="inlineStr">
        <is>
          <t>OFTALMO</t>
        </is>
      </c>
      <c r="X122" s="32" t="inlineStr">
        <is>
          <t>CYAN</t>
        </is>
      </c>
    </row>
    <row r="123" ht="124.95" customHeight="1" s="227">
      <c r="A123" s="49" t="n">
        <v>215</v>
      </c>
      <c r="B123" s="68" t="inlineStr">
        <is>
          <t>CDMX</t>
        </is>
      </c>
      <c r="D123" s="69" t="inlineStr">
        <is>
          <t>Unidad de banco de ojos, marca Varios, modelo Varios</t>
        </is>
      </c>
      <c r="E123" s="68" t="inlineStr">
        <is>
          <t>Varios</t>
        </is>
      </c>
      <c r="F123" s="69" t="inlineStr">
        <is>
          <t>H.M.E.O. Constituyentes</t>
        </is>
      </c>
      <c r="G123" s="50" t="inlineStr">
        <is>
          <t>Servicio de mantenimiento integral para: Unidad de banco de ojos, marca Varios, modelo Varios, serie Varios;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3" s="51" t="inlineStr">
        <is>
          <t>Servicio</t>
        </is>
      </c>
      <c r="I123" s="52" t="n">
        <v>1</v>
      </c>
      <c r="J123" s="52" t="n">
        <v>2</v>
      </c>
      <c r="K123" s="59" t="inlineStr">
        <is>
          <t>México</t>
        </is>
      </c>
      <c r="L123" s="290" t="n">
        <v>131700</v>
      </c>
      <c r="M123" s="291" t="n">
        <v>1</v>
      </c>
      <c r="N123" s="292" t="n">
        <v>130000</v>
      </c>
      <c r="O123" s="292">
        <f>I123*N123</f>
        <v/>
      </c>
      <c r="P123" s="292">
        <f>J123*N123</f>
        <v/>
      </c>
      <c r="Q123" s="292">
        <f>SUM(O123:P123)</f>
        <v/>
      </c>
      <c r="R123" s="292">
        <f>Q123*$R$9</f>
        <v/>
      </c>
      <c r="S123" s="292">
        <f>SUM(Q123:R123)</f>
        <v/>
      </c>
      <c r="T123" s="56" t="inlineStr">
        <is>
          <t>Accesorios: No incluye
Consumibles: No incluye</t>
        </is>
      </c>
      <c r="U123" s="54" t="inlineStr">
        <is>
          <t>Durante la vigencia del contrato</t>
        </is>
      </c>
      <c r="V123" s="57" t="inlineStr">
        <is>
          <t>SI</t>
        </is>
      </c>
      <c r="W123" s="54" t="inlineStr">
        <is>
          <t>OFTALMO</t>
        </is>
      </c>
      <c r="X123" s="32" t="inlineStr">
        <is>
          <t>MD</t>
        </is>
      </c>
    </row>
    <row r="124" ht="140.4" customHeight="1" s="227">
      <c r="A124" s="38" t="n">
        <v>218</v>
      </c>
      <c r="B124" s="68" t="inlineStr">
        <is>
          <t>CDMX</t>
        </is>
      </c>
      <c r="D124" s="69" t="inlineStr">
        <is>
          <t>Impresora para placas radiográficas, marca Codonics, modelo Horizon Ci</t>
        </is>
      </c>
      <c r="E124" s="68" t="inlineStr">
        <is>
          <t>50C00394C</t>
        </is>
      </c>
      <c r="F124" s="69" t="inlineStr">
        <is>
          <t>H.M.E.M. Y N. Lomas de Sotelo</t>
        </is>
      </c>
      <c r="G124" s="39" t="inlineStr">
        <is>
          <t>Servicio de mantenimiento integral para: Impresora para placas radiográficas, marca Codonics, modelo Horizon Ci, serie 50C00394C;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4" s="40" t="inlineStr">
        <is>
          <t>Servicio</t>
        </is>
      </c>
      <c r="I124" s="41" t="n">
        <v>1</v>
      </c>
      <c r="J124" s="41" t="n">
        <v>2</v>
      </c>
      <c r="K124" s="42" t="inlineStr">
        <is>
          <t>México</t>
        </is>
      </c>
      <c r="L124" s="293" t="n">
        <v>226391.29</v>
      </c>
      <c r="M124" s="293" t="n"/>
      <c r="N124" s="293" t="n">
        <v>220000</v>
      </c>
      <c r="O124" s="293">
        <f>I124*N124</f>
        <v/>
      </c>
      <c r="P124" s="293">
        <f>J124*N124</f>
        <v/>
      </c>
      <c r="Q124" s="293">
        <f>SUM(O124:P124)</f>
        <v/>
      </c>
      <c r="R124" s="293">
        <f>Q124*$R$9</f>
        <v/>
      </c>
      <c r="S124" s="293">
        <f>SUM(Q124:R124)</f>
        <v/>
      </c>
      <c r="T124" s="44" t="inlineStr">
        <is>
          <t>Accesorios: No incluye
Consumibles: No incluye</t>
        </is>
      </c>
      <c r="U124" s="45" t="inlineStr">
        <is>
          <t>Durante la vigencia del contrato</t>
        </is>
      </c>
      <c r="V124" s="46" t="inlineStr">
        <is>
          <t>SI</t>
        </is>
      </c>
      <c r="W124" s="47" t="inlineStr">
        <is>
          <t>IMAGEN</t>
        </is>
      </c>
    </row>
    <row r="125" ht="156" customHeight="1" s="227">
      <c r="A125" s="38" t="n">
        <v>221</v>
      </c>
      <c r="B125" s="68" t="inlineStr">
        <is>
          <t>VERACRUZ</t>
        </is>
      </c>
      <c r="D125" s="69" t="inlineStr">
        <is>
          <t>Sistema de digitalización de imágenes, marca Fujifilm, modelo Digitalizador: FCR Capsula XLII (CR-IR 359) Impresora: Drypix Plus</t>
        </is>
      </c>
      <c r="E125" s="68" t="inlineStr">
        <is>
          <t>Digitalizador: 46770610 Impresora: 36753809</t>
        </is>
      </c>
      <c r="F125" s="69" t="inlineStr">
        <is>
          <t>H.M.Z. La Boticaría</t>
        </is>
      </c>
      <c r="G125" s="39" t="inlineStr">
        <is>
          <t>Servicio de mantenimiento integral para: Sistema de digitalización de imágenes, marca Fujifilm, modelo Digitalizador: FCR Capsula XLII (CR-IR 359) Impresora: Drypix Plus, serie Digitalizador: 46770610 Impresora: 36753809 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H125" s="40" t="inlineStr">
        <is>
          <t>Servicio</t>
        </is>
      </c>
      <c r="I125" s="41" t="n">
        <v>1</v>
      </c>
      <c r="J125" s="41" t="n">
        <v>2</v>
      </c>
      <c r="K125" s="42" t="inlineStr">
        <is>
          <t>México</t>
        </is>
      </c>
      <c r="L125" s="293" t="n">
        <v>230215.52</v>
      </c>
      <c r="M125" s="293" t="n"/>
      <c r="N125" s="293" t="n">
        <v>220000</v>
      </c>
      <c r="O125" s="293">
        <f>I125*N125</f>
        <v/>
      </c>
      <c r="P125" s="293">
        <f>J125*N125</f>
        <v/>
      </c>
      <c r="Q125" s="293">
        <f>SUM(O125:P125)</f>
        <v/>
      </c>
      <c r="R125" s="293">
        <f>Q125*$R$9</f>
        <v/>
      </c>
      <c r="S125" s="293">
        <f>SUM(Q125:R125)</f>
        <v/>
      </c>
      <c r="T125" s="44" t="inlineStr">
        <is>
          <t>Accesorios: No incluye
Consumibles: No incluye</t>
        </is>
      </c>
      <c r="U125" s="45" t="inlineStr">
        <is>
          <t>Durante la vigencia del contrato</t>
        </is>
      </c>
      <c r="V125" s="46" t="inlineStr">
        <is>
          <t>SI</t>
        </is>
      </c>
      <c r="W125" s="47" t="inlineStr">
        <is>
          <t>IMAGEN</t>
        </is>
      </c>
    </row>
    <row r="126" ht="124.95" customHeight="1" s="227">
      <c r="A126" s="49" t="n">
        <v>222</v>
      </c>
      <c r="B126" s="68" t="inlineStr">
        <is>
          <t>VERACRUZ</t>
        </is>
      </c>
      <c r="D126" s="69" t="inlineStr">
        <is>
          <t>Ultrasonido oftálmico, marca OPTIKON, modelo HiScan</t>
        </is>
      </c>
      <c r="E126" s="68" t="inlineStr">
        <is>
          <t>387BC</t>
        </is>
      </c>
      <c r="F126" s="69" t="inlineStr">
        <is>
          <t>H.M.Z. La Boticaría</t>
        </is>
      </c>
      <c r="G126" s="50" t="inlineStr">
        <is>
          <t>Servicio de mantenimiento integral para: Ultrasonido oftálmico, marca OPTIKON, modelo HiScan, serie 387BC;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H126" s="51" t="inlineStr">
        <is>
          <t>Servicio</t>
        </is>
      </c>
      <c r="I126" s="52" t="n">
        <v>1</v>
      </c>
      <c r="J126" s="52" t="n">
        <v>2</v>
      </c>
      <c r="K126" s="59" t="inlineStr">
        <is>
          <t>México</t>
        </is>
      </c>
      <c r="L126" s="290" t="n">
        <v>368200</v>
      </c>
      <c r="M126" s="291" t="n"/>
      <c r="N126" s="292" t="n">
        <v>365000</v>
      </c>
      <c r="O126" s="292">
        <f>I126*N126</f>
        <v/>
      </c>
      <c r="P126" s="292">
        <f>J126*N126</f>
        <v/>
      </c>
      <c r="Q126" s="292">
        <f>SUM(O126:P126)</f>
        <v/>
      </c>
      <c r="R126" s="292">
        <f>Q126*$R$9</f>
        <v/>
      </c>
      <c r="S126" s="292">
        <f>SUM(Q126:R126)</f>
        <v/>
      </c>
      <c r="T126" s="56" t="inlineStr">
        <is>
          <t>Accesorios: No incluye
Consumibles: No incluye</t>
        </is>
      </c>
      <c r="U126" s="54" t="inlineStr">
        <is>
          <t>Durante la vigencia del contrato</t>
        </is>
      </c>
      <c r="V126" s="57" t="inlineStr">
        <is>
          <t>SI</t>
        </is>
      </c>
      <c r="W126" s="54" t="inlineStr">
        <is>
          <t>OFTALMO</t>
        </is>
      </c>
      <c r="X126" s="32" t="inlineStr">
        <is>
          <t>OPTIKON</t>
        </is>
      </c>
    </row>
    <row r="127" ht="124.95" customHeight="1" s="227">
      <c r="A127" s="38" t="n">
        <v>223</v>
      </c>
      <c r="B127" s="68" t="inlineStr">
        <is>
          <t>GUERRERO</t>
        </is>
      </c>
      <c r="D127" s="69" t="inlineStr">
        <is>
          <t>Rayos X móvil, marca Shimadzu, modelo MobileArt Evolution</t>
        </is>
      </c>
      <c r="E127" s="68" t="inlineStr">
        <is>
          <t>41000333B017</t>
        </is>
      </c>
      <c r="F127" s="69" t="inlineStr">
        <is>
          <t>H.M.R. Chilpancingo</t>
        </is>
      </c>
      <c r="G127" s="39" t="inlineStr">
        <is>
          <t>Servicio de mantenimiento integral para: Rayos X móvil, marca Shimadzu, modelo MobileArt Evolution, serie 41000333B017; ubicado en H.M.R. Chilpancingo, Gro .
Consistente en 1 evento de mantenimiento preventivo por semestre y todos los mantenimientos correctivos que se requieran para mantener, conservar y/o recuperar la operatividad del equipo al 100% durante el periodo de cobertura.</t>
        </is>
      </c>
      <c r="H127" s="40" t="inlineStr">
        <is>
          <t>Servicio</t>
        </is>
      </c>
      <c r="I127" s="41" t="n">
        <v>1</v>
      </c>
      <c r="J127" s="41" t="n">
        <v>2</v>
      </c>
      <c r="K127" s="42" t="inlineStr">
        <is>
          <t>México</t>
        </is>
      </c>
      <c r="L127" s="293" t="n">
        <v>228530.52</v>
      </c>
      <c r="M127" s="293" t="n"/>
      <c r="N127" s="293" t="n">
        <v>220000</v>
      </c>
      <c r="O127" s="293">
        <f>I127*N127</f>
        <v/>
      </c>
      <c r="P127" s="293">
        <f>J127*N127</f>
        <v/>
      </c>
      <c r="Q127" s="293">
        <f>SUM(O127:P127)</f>
        <v/>
      </c>
      <c r="R127" s="293">
        <f>Q127*$R$9</f>
        <v/>
      </c>
      <c r="S127" s="293">
        <f>SUM(Q127:R127)</f>
        <v/>
      </c>
      <c r="T127" s="44" t="inlineStr">
        <is>
          <t>Accesorios: No incluye
Consumibles: No incluye</t>
        </is>
      </c>
      <c r="U127" s="45" t="inlineStr">
        <is>
          <t>Durante la vigencia del contrato</t>
        </is>
      </c>
      <c r="V127" s="46" t="inlineStr">
        <is>
          <t>SI</t>
        </is>
      </c>
      <c r="W127" s="47" t="inlineStr">
        <is>
          <t>IMAGEN</t>
        </is>
      </c>
    </row>
    <row r="128" ht="124.95" customHeight="1" s="227">
      <c r="A128" s="38" t="n">
        <v>225</v>
      </c>
      <c r="B128" s="68" t="inlineStr">
        <is>
          <t>ZACATECAS</t>
        </is>
      </c>
      <c r="D128" s="69" t="inlineStr">
        <is>
          <t>Equipo de rayos X móvil, marca Technix, modelo TMS 320</t>
        </is>
      </c>
      <c r="E128" s="68" t="inlineStr">
        <is>
          <t>80-16-86-157</t>
        </is>
      </c>
      <c r="F128" s="69" t="inlineStr">
        <is>
          <t>H.M.Z. Guadalupe</t>
        </is>
      </c>
      <c r="G128" s="39" t="inlineStr">
        <is>
          <t>Servicio de mantenimiento integral para: Equipo de rayos X móvil, marca Technix, modelo TMS 320, serie 80-16-86-157; ubicado en H.M.Z. Guadalupe, Zac.
Consistente en 1 evento de mantenimiento preventivo por semestre y todos los mantenimientos correctivos que se requieran para mantener, conservar y/o recuperar la operatividad del equipo al 100% durante el periodo de cobertura.</t>
        </is>
      </c>
      <c r="H128" s="40" t="inlineStr">
        <is>
          <t>Servicio</t>
        </is>
      </c>
      <c r="I128" s="41" t="n">
        <v>1</v>
      </c>
      <c r="J128" s="41" t="n">
        <v>2</v>
      </c>
      <c r="K128" s="42" t="inlineStr">
        <is>
          <t>México</t>
        </is>
      </c>
      <c r="L128" s="293" t="n">
        <v>222715.52</v>
      </c>
      <c r="M128" s="293" t="n"/>
      <c r="N128" s="293" t="n">
        <v>300000</v>
      </c>
      <c r="O128" s="293">
        <f>I128*N128</f>
        <v/>
      </c>
      <c r="P128" s="293">
        <f>J128*N128</f>
        <v/>
      </c>
      <c r="Q128" s="293">
        <f>SUM(O128:P128)</f>
        <v/>
      </c>
      <c r="R128" s="293">
        <f>Q128*$R$9</f>
        <v/>
      </c>
      <c r="S128" s="293">
        <f>SUM(Q128:R128)</f>
        <v/>
      </c>
      <c r="T128" s="44" t="inlineStr">
        <is>
          <t>Accesorios: No incluye
Consumibles: No incluye</t>
        </is>
      </c>
      <c r="U128" s="45" t="inlineStr">
        <is>
          <t>Durante la vigencia del contrato</t>
        </is>
      </c>
      <c r="V128" s="46" t="inlineStr">
        <is>
          <t>NO</t>
        </is>
      </c>
      <c r="W128" s="47" t="inlineStr">
        <is>
          <t>IMAGEN</t>
        </is>
      </c>
    </row>
    <row r="129" ht="156" customHeight="1" s="227">
      <c r="A129" s="38" t="n">
        <v>226</v>
      </c>
      <c r="B129" s="68" t="inlineStr">
        <is>
          <t>CHIHUAHUA</t>
        </is>
      </c>
      <c r="D129" s="69" t="inlineStr">
        <is>
          <t>Sistema de digitalización de imágenes, marca Fujifilm, modelo Digitalizador: FCR Capsula XLII (CR-IR 359) Impresora: Drypix 4000</t>
        </is>
      </c>
      <c r="E129" s="68" t="inlineStr">
        <is>
          <t>Digitalizador: 37240106 Impresora: 36653761</t>
        </is>
      </c>
      <c r="F129" s="69" t="inlineStr">
        <is>
          <t>H.M.R. Chihuahua</t>
        </is>
      </c>
      <c r="G129" s="39" t="inlineStr">
        <is>
          <t>Servicio de mantenimiento integral para: Sistema de digitalización de imágenes, marca Fujifilm, modelo Digitalizador: FCR Capsula XLII (CR-IR 359) Impresora: Drypix 4000, serie Digitalizador: 37240106 Impresora: 36653761;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H129" s="40" t="inlineStr">
        <is>
          <t>Servicio</t>
        </is>
      </c>
      <c r="I129" s="41" t="n">
        <v>1</v>
      </c>
      <c r="J129" s="41" t="n">
        <v>2</v>
      </c>
      <c r="K129" s="42" t="inlineStr">
        <is>
          <t>México</t>
        </is>
      </c>
      <c r="L129" s="293" t="n">
        <v>221767.25</v>
      </c>
      <c r="M129" s="293" t="n"/>
      <c r="N129" s="293" t="n">
        <v>300000</v>
      </c>
      <c r="O129" s="293">
        <f>I129*N129</f>
        <v/>
      </c>
      <c r="P129" s="293">
        <f>J129*N129</f>
        <v/>
      </c>
      <c r="Q129" s="293">
        <f>SUM(O129:P129)</f>
        <v/>
      </c>
      <c r="R129" s="293">
        <f>Q129*$R$9</f>
        <v/>
      </c>
      <c r="S129" s="293">
        <f>SUM(Q129:R129)</f>
        <v/>
      </c>
      <c r="T129" s="44" t="inlineStr">
        <is>
          <t>Accesorios: No incluye
Consumibles: No incluye</t>
        </is>
      </c>
      <c r="U129" s="45" t="inlineStr">
        <is>
          <t>Durante la vigencia del contrato</t>
        </is>
      </c>
      <c r="V129" s="46" t="inlineStr">
        <is>
          <t>NO</t>
        </is>
      </c>
      <c r="W129" s="47" t="inlineStr">
        <is>
          <t>IMAGEN</t>
        </is>
      </c>
    </row>
    <row r="130" ht="156" customHeight="1" s="227">
      <c r="A130" s="38" t="n">
        <v>227</v>
      </c>
      <c r="B130" s="68" t="inlineStr">
        <is>
          <t>EDO DE MEX</t>
        </is>
      </c>
      <c r="D130" s="69" t="inlineStr">
        <is>
          <t>Sistema de digitalización de imágenes, marca Fujifilm, modelo Digitalizador: FCR Capsula XLII (CR-IR 359) Impresora: Drypix 4000</t>
        </is>
      </c>
      <c r="E130" s="68" t="inlineStr">
        <is>
          <t>Digitalizador: 46370281 Impresora: 36753805</t>
        </is>
      </c>
      <c r="F130" s="69" t="inlineStr">
        <is>
          <t>H.M.Z. Temamatla</t>
        </is>
      </c>
      <c r="G130" s="39" t="inlineStr">
        <is>
          <t>Servicio de mantenimiento integral para: Sistema de digitalización de imágenes, marca Fujifilm, modelo Digitalizador: FCR Capsula XLII (CR-IR 359) Impresora: Drypix 4000, serie Digitalizador: 46370281 Impresora: 36753805;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30" s="40" t="inlineStr">
        <is>
          <t>Servicio</t>
        </is>
      </c>
      <c r="I130" s="41" t="n">
        <v>1</v>
      </c>
      <c r="J130" s="41" t="n">
        <v>2</v>
      </c>
      <c r="K130" s="42" t="inlineStr">
        <is>
          <t>México</t>
        </is>
      </c>
      <c r="L130" s="293" t="n">
        <v>221400</v>
      </c>
      <c r="M130" s="293" t="n"/>
      <c r="N130" s="293" t="n">
        <v>220000</v>
      </c>
      <c r="O130" s="293">
        <f>I130*N130</f>
        <v/>
      </c>
      <c r="P130" s="293">
        <f>J130*N130</f>
        <v/>
      </c>
      <c r="Q130" s="293">
        <f>SUM(O130:P130)</f>
        <v/>
      </c>
      <c r="R130" s="293">
        <f>Q130*$R$9</f>
        <v/>
      </c>
      <c r="S130" s="293">
        <f>SUM(Q130:R130)</f>
        <v/>
      </c>
      <c r="T130" s="44" t="inlineStr">
        <is>
          <t>Accesorios: No incluye
Consumibles: No incluye</t>
        </is>
      </c>
      <c r="U130" s="45" t="inlineStr">
        <is>
          <t>Durante la vigencia del contrato</t>
        </is>
      </c>
      <c r="V130" s="46" t="inlineStr">
        <is>
          <t>SI</t>
        </is>
      </c>
      <c r="W130" s="47" t="inlineStr">
        <is>
          <t>IMAGEN</t>
        </is>
      </c>
    </row>
    <row r="131" ht="124.95" customHeight="1" s="227">
      <c r="A131" s="38" t="n">
        <v>228</v>
      </c>
      <c r="B131" s="68" t="inlineStr">
        <is>
          <t>EDO DE MEX</t>
        </is>
      </c>
      <c r="D131" s="69" t="inlineStr">
        <is>
          <t>Impresora para placas radiográficas, marca Konica Minolta, modelo DryPro 873</t>
        </is>
      </c>
      <c r="E131" s="68" t="inlineStr">
        <is>
          <t>0992-50128</t>
        </is>
      </c>
      <c r="F131" s="69" t="inlineStr">
        <is>
          <t>H.M.Z. Temamatla</t>
        </is>
      </c>
      <c r="G131" s="39" t="inlineStr">
        <is>
          <t>Servicio de mantenimiento integral para: Impresora para placas radiográficas, marca Konica Minolta, modelo DryPro 873, serie 0992-50128;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31" s="40" t="inlineStr">
        <is>
          <t>Servicio</t>
        </is>
      </c>
      <c r="I131" s="41" t="n">
        <v>1</v>
      </c>
      <c r="J131" s="41" t="n">
        <v>2</v>
      </c>
      <c r="K131" s="42" t="inlineStr">
        <is>
          <t>México</t>
        </is>
      </c>
      <c r="L131" s="293" t="n">
        <v>239063.79</v>
      </c>
      <c r="M131" s="293" t="n"/>
      <c r="N131" s="293" t="n">
        <v>220000</v>
      </c>
      <c r="O131" s="293">
        <f>I131*N131</f>
        <v/>
      </c>
      <c r="P131" s="293">
        <f>J131*N131</f>
        <v/>
      </c>
      <c r="Q131" s="293">
        <f>SUM(O131:P131)</f>
        <v/>
      </c>
      <c r="R131" s="293">
        <f>Q131*$R$9</f>
        <v/>
      </c>
      <c r="S131" s="293">
        <f>SUM(Q131:R131)</f>
        <v/>
      </c>
      <c r="T131" s="44" t="inlineStr">
        <is>
          <t>Accesorios: No incluye
Consumibles: No incluye</t>
        </is>
      </c>
      <c r="U131" s="45" t="inlineStr">
        <is>
          <t>Durante la vigencia del contrato</t>
        </is>
      </c>
      <c r="V131" s="46" t="inlineStr">
        <is>
          <t>SI</t>
        </is>
      </c>
      <c r="W131" s="47" t="inlineStr">
        <is>
          <t>IMAGEN</t>
        </is>
      </c>
    </row>
    <row r="132" ht="124.95" customHeight="1" s="227">
      <c r="A132" s="38" t="n">
        <v>230</v>
      </c>
      <c r="B132" s="68" t="inlineStr">
        <is>
          <t>GUANAJUATO</t>
        </is>
      </c>
      <c r="D132" s="69" t="inlineStr">
        <is>
          <t>Equipo de rayos X móvil, marca Technix, modelo TMS 320</t>
        </is>
      </c>
      <c r="E132" s="68" t="inlineStr">
        <is>
          <t>80-16-85-156</t>
        </is>
      </c>
      <c r="F132" s="69" t="inlineStr">
        <is>
          <t>H.M.R., Irapuato</t>
        </is>
      </c>
      <c r="G132" s="39" t="inlineStr">
        <is>
          <t>Servicio de mantenimiento integral para: Equipo de rayos X móvil, marca Technix, modelo TMS 320, serie 80-16-85-156; ubicado en H.M.R., Irapuato, Gto..
Consistente en 1 evento de mantenimiento preventivo por semestre y todos los mantenimientos correctivos que se requieran para mantener, conservar y/o recuperar la operatividad del equipo al 100% durante el periodo de cobertura.</t>
        </is>
      </c>
      <c r="H132" s="40" t="inlineStr">
        <is>
          <t>Servicio</t>
        </is>
      </c>
      <c r="I132" s="41" t="n">
        <v>1</v>
      </c>
      <c r="J132" s="41" t="n">
        <v>2</v>
      </c>
      <c r="K132" s="42" t="inlineStr">
        <is>
          <t>México</t>
        </is>
      </c>
      <c r="L132" s="293" t="n">
        <v>230107.76</v>
      </c>
      <c r="M132" s="293" t="n"/>
      <c r="N132" s="293" t="n">
        <v>220000</v>
      </c>
      <c r="O132" s="293">
        <f>I132*N132</f>
        <v/>
      </c>
      <c r="P132" s="293">
        <f>J132*N132</f>
        <v/>
      </c>
      <c r="Q132" s="293">
        <f>SUM(O132:P132)</f>
        <v/>
      </c>
      <c r="R132" s="293">
        <f>Q132*$R$9</f>
        <v/>
      </c>
      <c r="S132" s="293">
        <f>SUM(Q132:R132)</f>
        <v/>
      </c>
      <c r="T132" s="44" t="inlineStr">
        <is>
          <t>Accesorios: No incluye
Consumibles: No incluye</t>
        </is>
      </c>
      <c r="U132" s="45" t="inlineStr">
        <is>
          <t>Durante la vigencia del contrato</t>
        </is>
      </c>
      <c r="V132" s="46" t="inlineStr">
        <is>
          <t>SI</t>
        </is>
      </c>
      <c r="W132" s="47" t="inlineStr">
        <is>
          <t>IMAGEN</t>
        </is>
      </c>
    </row>
    <row r="133" ht="156" customHeight="1" s="227">
      <c r="A133" s="38" t="n">
        <v>231</v>
      </c>
      <c r="B133" s="68" t="inlineStr">
        <is>
          <t>MORELOS</t>
        </is>
      </c>
      <c r="D133" s="69" t="inlineStr">
        <is>
          <t>Sistema de digitalización de imágenes, marca Fujifilm, modelo Digitalizador: FCR Capsula XLII (CR-IR 359) Impresora: Drypix 4000</t>
        </is>
      </c>
      <c r="E133" s="68" t="inlineStr">
        <is>
          <t>Digitalizador: 46770614 Impresora: 36653758</t>
        </is>
      </c>
      <c r="F133" s="69" t="inlineStr">
        <is>
          <t>H.M.Z. Cuernavaca</t>
        </is>
      </c>
      <c r="G133" s="39" t="inlineStr">
        <is>
          <t>Servicio de mantenimiento integral para: Sistema de digitalización de imágenes, marca Fujifilm, modelo Digitalizador: FCR Capsula XLII (CR-IR 359) Impresora: Drypix 4000, serie Digitalizador: 46770614 Impresora: 36653758 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H133" s="40" t="inlineStr">
        <is>
          <t>Servicio</t>
        </is>
      </c>
      <c r="I133" s="41" t="n">
        <v>1</v>
      </c>
      <c r="J133" s="41" t="n">
        <v>2</v>
      </c>
      <c r="K133" s="42" t="inlineStr">
        <is>
          <t>México</t>
        </is>
      </c>
      <c r="L133" s="293" t="n">
        <v>239600</v>
      </c>
      <c r="M133" s="293" t="n"/>
      <c r="N133" s="293" t="n">
        <v>220000</v>
      </c>
      <c r="O133" s="293">
        <f>I133*N133</f>
        <v/>
      </c>
      <c r="P133" s="293">
        <f>J133*N133</f>
        <v/>
      </c>
      <c r="Q133" s="293">
        <f>SUM(O133:P133)</f>
        <v/>
      </c>
      <c r="R133" s="293">
        <f>Q133*$R$9</f>
        <v/>
      </c>
      <c r="S133" s="293">
        <f>SUM(Q133:R133)</f>
        <v/>
      </c>
      <c r="T133" s="44" t="inlineStr">
        <is>
          <t>Accesorios: No incluye
Consumibles: No incluye</t>
        </is>
      </c>
      <c r="U133" s="45" t="inlineStr">
        <is>
          <t>Durante la vigencia del contrato</t>
        </is>
      </c>
      <c r="V133" s="46" t="inlineStr">
        <is>
          <t>SI</t>
        </is>
      </c>
      <c r="W133" s="47" t="inlineStr">
        <is>
          <t>IMAGEN</t>
        </is>
      </c>
    </row>
    <row r="134" ht="124.95" customHeight="1" s="227">
      <c r="A134" s="38" t="n">
        <v>232</v>
      </c>
      <c r="B134" s="68" t="inlineStr">
        <is>
          <t>GUERRERO</t>
        </is>
      </c>
      <c r="D134" s="69" t="inlineStr">
        <is>
          <t>Digitalizador de placas radiográficas, marca Fujifilm, modelo CR-IR359</t>
        </is>
      </c>
      <c r="E134" s="68" t="inlineStr">
        <is>
          <t>46270262</t>
        </is>
      </c>
      <c r="F134" s="69" t="inlineStr">
        <is>
          <t>H.M.R. Acapulco</t>
        </is>
      </c>
      <c r="G134" s="39" t="inlineStr">
        <is>
          <t>Servicio de mantenimiento integral para: Digitalizador de placas radiográficas, marca Fujifilm, modelo CR-IR359, serie 46270262; ubicado en H.M.R. Acapulco, Gro.
Consistente en 1 evento de mantenimiento preventivo por semestre y todos los mantenimientos correctivos que se requieran para mantener, conservar y/o recuperar la operatividad del equipo al 100% durante el periodo de cobertura.</t>
        </is>
      </c>
      <c r="H134" s="40" t="inlineStr">
        <is>
          <t>Servicio</t>
        </is>
      </c>
      <c r="I134" s="41" t="n">
        <v>1</v>
      </c>
      <c r="J134" s="41" t="n">
        <v>2</v>
      </c>
      <c r="K134" s="42" t="inlineStr">
        <is>
          <t>México</t>
        </is>
      </c>
      <c r="L134" s="293" t="n">
        <v>245744</v>
      </c>
      <c r="M134" s="293" t="n"/>
      <c r="N134" s="293" t="n">
        <v>220000</v>
      </c>
      <c r="O134" s="293">
        <f>I134*N134</f>
        <v/>
      </c>
      <c r="P134" s="293">
        <f>J134*N134</f>
        <v/>
      </c>
      <c r="Q134" s="293">
        <f>SUM(O134:P134)</f>
        <v/>
      </c>
      <c r="R134" s="293">
        <f>Q134*$R$9</f>
        <v/>
      </c>
      <c r="S134" s="293">
        <f>SUM(Q134:R134)</f>
        <v/>
      </c>
      <c r="T134" s="44" t="inlineStr">
        <is>
          <t>Accesorios: No incluye
Consumibles: No incluye</t>
        </is>
      </c>
      <c r="U134" s="45" t="inlineStr">
        <is>
          <t>Durante la vigencia del contrato</t>
        </is>
      </c>
      <c r="V134" s="46" t="inlineStr">
        <is>
          <t>SI</t>
        </is>
      </c>
      <c r="W134" s="47" t="inlineStr">
        <is>
          <t>IMAGEN</t>
        </is>
      </c>
    </row>
    <row r="135" ht="124.95" customHeight="1" s="227">
      <c r="A135" s="38" t="n">
        <v>265</v>
      </c>
      <c r="B135" s="68" t="inlineStr">
        <is>
          <t>EDO DE MEX</t>
        </is>
      </c>
      <c r="D135" s="69" t="inlineStr">
        <is>
          <t>Rayos X móvil, marca Listem, modelo MOBIX-1000</t>
        </is>
      </c>
      <c r="E135" s="68" t="inlineStr">
        <is>
          <t>10 0155</t>
        </is>
      </c>
      <c r="F135" s="69" t="inlineStr">
        <is>
          <t>H.M.Z. Santa María Rayón</t>
        </is>
      </c>
      <c r="G135" s="39" t="inlineStr">
        <is>
          <t>Servicio de mantenimiento integral para: Rayos X móvil, marca Listem, modelo MOBIX-1000, serie 10 0155; ubicado en H.M.Z. Santa María Rayón,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35" s="40" t="inlineStr">
        <is>
          <t>Servicio</t>
        </is>
      </c>
      <c r="I135" s="41" t="n">
        <v>1</v>
      </c>
      <c r="J135" s="41" t="n">
        <v>2</v>
      </c>
      <c r="K135" s="42" t="inlineStr">
        <is>
          <t>México</t>
        </is>
      </c>
      <c r="L135" s="293" t="n">
        <v>221659.48</v>
      </c>
      <c r="M135" s="293" t="n"/>
      <c r="N135" s="293" t="n">
        <v>220000</v>
      </c>
      <c r="O135" s="293">
        <f>I135*N135</f>
        <v/>
      </c>
      <c r="P135" s="293">
        <f>J135*N135</f>
        <v/>
      </c>
      <c r="Q135" s="293">
        <f>SUM(O135:P135)</f>
        <v/>
      </c>
      <c r="R135" s="293">
        <f>Q135*$R$9</f>
        <v/>
      </c>
      <c r="S135" s="293">
        <f>SUM(Q135:R135)</f>
        <v/>
      </c>
      <c r="T135" s="44" t="inlineStr">
        <is>
          <t>Accesorios: No incluye
Consumibles: No incluye</t>
        </is>
      </c>
      <c r="U135" s="45" t="inlineStr">
        <is>
          <t>Durante la vigencia del contrato</t>
        </is>
      </c>
      <c r="V135" s="46" t="inlineStr">
        <is>
          <t>SI</t>
        </is>
      </c>
      <c r="W135" s="47" t="inlineStr">
        <is>
          <t>IMAGEN</t>
        </is>
      </c>
    </row>
    <row r="136" ht="124.95" customHeight="1" s="227">
      <c r="A136" s="38" t="n">
        <v>268</v>
      </c>
      <c r="B136" s="68" t="inlineStr">
        <is>
          <t>OAXACA</t>
        </is>
      </c>
      <c r="D136" s="69" t="inlineStr">
        <is>
          <t>Fotocoagulador láser , marca Meridian AG, modelo SLA-UNI</t>
        </is>
      </c>
      <c r="E136" s="68" t="inlineStr">
        <is>
          <t>0069</t>
        </is>
      </c>
      <c r="F136" s="69" t="inlineStr">
        <is>
          <t>H.M.Z. Ixcotel</t>
        </is>
      </c>
      <c r="G136" s="39" t="inlineStr">
        <is>
          <t>Servicio de mantenimiento integral para: Fotocoagulador láser , marca Meridian AG, modelo SLA-UNI, serie 0069;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36" s="40" t="inlineStr">
        <is>
          <t>Servicio</t>
        </is>
      </c>
      <c r="I136" s="41" t="n">
        <v>1</v>
      </c>
      <c r="J136" s="41" t="n">
        <v>2</v>
      </c>
      <c r="K136" s="42" t="inlineStr">
        <is>
          <t>México</t>
        </is>
      </c>
      <c r="L136" s="293" t="n">
        <v>430000</v>
      </c>
      <c r="M136" s="293" t="inlineStr">
        <is>
          <t>P</t>
        </is>
      </c>
      <c r="N136" s="293" t="n">
        <v>425000</v>
      </c>
      <c r="O136" s="293">
        <f>I136*N136</f>
        <v/>
      </c>
      <c r="P136" s="293">
        <f>J136*N136</f>
        <v/>
      </c>
      <c r="Q136" s="293">
        <f>SUM(O136:P136)</f>
        <v/>
      </c>
      <c r="R136" s="293">
        <f>Q136*$R$9</f>
        <v/>
      </c>
      <c r="S136" s="293">
        <f>SUM(Q136:R136)</f>
        <v/>
      </c>
      <c r="T136" s="44" t="inlineStr">
        <is>
          <t>Accesorios: No incluye
Consumibles: No incluye</t>
        </is>
      </c>
      <c r="U136" s="45" t="inlineStr">
        <is>
          <t>Durante la vigencia del contrato</t>
        </is>
      </c>
      <c r="V136" s="46" t="inlineStr">
        <is>
          <t>SI</t>
        </is>
      </c>
      <c r="W136" s="45" t="inlineStr">
        <is>
          <t>OFTALMO</t>
        </is>
      </c>
      <c r="X136" s="32" t="inlineStr">
        <is>
          <t>DEWIMED</t>
        </is>
      </c>
    </row>
    <row r="137" ht="124.95" customHeight="1" s="227">
      <c r="A137" s="38" t="n">
        <v>273</v>
      </c>
      <c r="B137" s="68" t="inlineStr">
        <is>
          <t>OAXACA</t>
        </is>
      </c>
      <c r="D137" s="69" t="inlineStr">
        <is>
          <t>Láser oftálmico, marca Alcon, modelo 3000LE</t>
        </is>
      </c>
      <c r="E137" s="68" t="inlineStr">
        <is>
          <t>5342LX</t>
        </is>
      </c>
      <c r="F137" s="69" t="inlineStr">
        <is>
          <t>H.M.Z. Ixcotel</t>
        </is>
      </c>
      <c r="G137" s="39" t="inlineStr">
        <is>
          <t>Servicio de mantenimiento integral para: Láser oftálmico, marca Alcon, modelo 3000LE, serie 5342LX;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37" s="40" t="inlineStr">
        <is>
          <t>Servicio</t>
        </is>
      </c>
      <c r="I137" s="41" t="n">
        <v>1</v>
      </c>
      <c r="J137" s="41" t="n">
        <v>2</v>
      </c>
      <c r="K137" s="42" t="inlineStr">
        <is>
          <t>México</t>
        </is>
      </c>
      <c r="L137" s="293" t="n">
        <v>411654</v>
      </c>
      <c r="M137" s="293" t="n">
        <v>0</v>
      </c>
      <c r="N137" s="293" t="n">
        <v>400000</v>
      </c>
      <c r="O137" s="293">
        <f>I137*N137</f>
        <v/>
      </c>
      <c r="P137" s="293">
        <f>J137*N137</f>
        <v/>
      </c>
      <c r="Q137" s="293">
        <f>SUM(O137:P137)</f>
        <v/>
      </c>
      <c r="R137" s="293">
        <f>Q137*$R$9</f>
        <v/>
      </c>
      <c r="S137" s="293">
        <f>SUM(Q137:R137)</f>
        <v/>
      </c>
      <c r="T137" s="44" t="inlineStr">
        <is>
          <t>Accesorios: No incluye
Consumibles: No incluye</t>
        </is>
      </c>
      <c r="U137" s="45" t="inlineStr">
        <is>
          <t>Durante la vigencia del contrato</t>
        </is>
      </c>
      <c r="V137" s="46" t="inlineStr">
        <is>
          <t>NO</t>
        </is>
      </c>
      <c r="W137" s="45" t="inlineStr">
        <is>
          <t>OFTALMO</t>
        </is>
      </c>
      <c r="X137" s="32" t="inlineStr">
        <is>
          <t>ALCON</t>
        </is>
      </c>
    </row>
    <row r="138" ht="124.95" customHeight="1" s="227">
      <c r="A138" s="38" t="n">
        <v>283</v>
      </c>
      <c r="B138" s="68" t="inlineStr">
        <is>
          <t>CDMX</t>
        </is>
      </c>
      <c r="D138" s="69" t="inlineStr">
        <is>
          <t>Láser excimer, marca Bausch &amp; Lomb, modelo Zyoptix XP</t>
        </is>
      </c>
      <c r="E138" s="68" t="inlineStr">
        <is>
          <t>2805</t>
        </is>
      </c>
      <c r="F138" s="69" t="inlineStr">
        <is>
          <t>H.M.E.O. Constituyentes</t>
        </is>
      </c>
      <c r="G138" s="39" t="inlineStr">
        <is>
          <t>Servicio de mantenimiento integral para: Láser excimer, marca Bausch &amp; Lomb, modelo Zyoptix XP, serie 2805;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38" s="40" t="inlineStr">
        <is>
          <t>Servicio</t>
        </is>
      </c>
      <c r="I138" s="41" t="n">
        <v>1</v>
      </c>
      <c r="J138" s="41" t="n">
        <v>2</v>
      </c>
      <c r="K138" s="42" t="inlineStr">
        <is>
          <t>México</t>
        </is>
      </c>
      <c r="L138" s="293" t="n">
        <v>170786.6</v>
      </c>
      <c r="M138" s="293" t="n">
        <v>1</v>
      </c>
      <c r="N138" s="293" t="n">
        <v>170000</v>
      </c>
      <c r="O138" s="293">
        <f>I138*N138</f>
        <v/>
      </c>
      <c r="P138" s="293">
        <f>J138*N138</f>
        <v/>
      </c>
      <c r="Q138" s="293">
        <f>SUM(O138:P138)</f>
        <v/>
      </c>
      <c r="R138" s="293">
        <f>Q138*$R$9</f>
        <v/>
      </c>
      <c r="S138" s="293">
        <f>SUM(Q138:R138)</f>
        <v/>
      </c>
      <c r="T138" s="44" t="inlineStr">
        <is>
          <t>Accesorios: No incluye
Consumibles: No incluye</t>
        </is>
      </c>
      <c r="U138" s="45" t="inlineStr">
        <is>
          <t>Durante la vigencia del contrato</t>
        </is>
      </c>
      <c r="V138" s="46" t="inlineStr">
        <is>
          <t>SI</t>
        </is>
      </c>
      <c r="W138" s="45" t="inlineStr">
        <is>
          <t>OFTALMO</t>
        </is>
      </c>
      <c r="X138" s="32" t="inlineStr">
        <is>
          <t>BAUSH</t>
        </is>
      </c>
    </row>
    <row r="139" ht="124.95" customHeight="1" s="227">
      <c r="A139" s="49" t="n">
        <v>286</v>
      </c>
      <c r="B139" s="68" t="inlineStr">
        <is>
          <t>JALISCO</t>
        </is>
      </c>
      <c r="D139" s="69" t="inlineStr">
        <is>
          <t>Láser de fotocoagulación oftálmico, marca Carl Zeiss, modelo Visulas 532s</t>
        </is>
      </c>
      <c r="E139" s="68" t="inlineStr">
        <is>
          <t>936471</t>
        </is>
      </c>
      <c r="F139" s="69" t="inlineStr">
        <is>
          <t>H.M.R.E. Guadalajara</t>
        </is>
      </c>
      <c r="G139" s="50" t="inlineStr">
        <is>
          <t>Servicio de mantenimiento integral para: Láser de fotocoagulación oftálmico, marca Carl Zeiss, modelo Visulas 532s, serie 936471;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H139" s="51" t="inlineStr">
        <is>
          <t>Servicio</t>
        </is>
      </c>
      <c r="I139" s="52" t="n">
        <v>1</v>
      </c>
      <c r="J139" s="52" t="n">
        <v>2</v>
      </c>
      <c r="K139" s="59" t="inlineStr">
        <is>
          <t>México</t>
        </is>
      </c>
      <c r="L139" s="290" t="n">
        <v>277155.17</v>
      </c>
      <c r="M139" s="291" t="n">
        <v>100000</v>
      </c>
      <c r="N139" s="292" t="n">
        <v>275000</v>
      </c>
      <c r="O139" s="292">
        <f>I139*N139</f>
        <v/>
      </c>
      <c r="P139" s="292">
        <f>J139*N139</f>
        <v/>
      </c>
      <c r="Q139" s="292">
        <f>SUM(O139:P139)</f>
        <v/>
      </c>
      <c r="R139" s="292">
        <f>Q139*$R$9</f>
        <v/>
      </c>
      <c r="S139" s="292">
        <f>SUM(Q139:R139)</f>
        <v/>
      </c>
      <c r="T139" s="56" t="inlineStr">
        <is>
          <t>Accesorios: No incluye
Consumibles: No incluye</t>
        </is>
      </c>
      <c r="U139" s="54" t="inlineStr">
        <is>
          <t>Durante la vigencia del contrato</t>
        </is>
      </c>
      <c r="V139" s="57" t="inlineStr">
        <is>
          <t>SI</t>
        </is>
      </c>
      <c r="W139" s="54" t="inlineStr">
        <is>
          <t>OFTALMO</t>
        </is>
      </c>
      <c r="X139" s="32" t="inlineStr">
        <is>
          <t>ZEISS</t>
        </is>
      </c>
    </row>
    <row r="140" ht="124.95" customHeight="1" s="227">
      <c r="A140" s="38" t="n">
        <v>287</v>
      </c>
      <c r="B140" s="68" t="inlineStr">
        <is>
          <t>JALISCO</t>
        </is>
      </c>
      <c r="D140" s="69" t="inlineStr">
        <is>
          <t>Topógrafo corneal, marca Bausch &amp; Lomb, modelo Orbscan II-Z</t>
        </is>
      </c>
      <c r="E140" s="68" t="inlineStr">
        <is>
          <t>06061672 Z</t>
        </is>
      </c>
      <c r="F140" s="69" t="inlineStr">
        <is>
          <t>H.M.R.E. Guadalajara</t>
        </is>
      </c>
      <c r="G140" s="39" t="inlineStr">
        <is>
          <t>Servicio de mantenimiento integral para: Topógrafo corneal, marca Bausch &amp; Lomb, modelo Orbscan II-Z, serie 06061672 Z;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H140" s="40" t="inlineStr">
        <is>
          <t>Servicio</t>
        </is>
      </c>
      <c r="I140" s="41" t="n">
        <v>1</v>
      </c>
      <c r="J140" s="41" t="n">
        <v>2</v>
      </c>
      <c r="K140" s="42" t="inlineStr">
        <is>
          <t>México</t>
        </is>
      </c>
      <c r="L140" s="293" t="n">
        <v>205906.59</v>
      </c>
      <c r="M140" s="293" t="n"/>
      <c r="N140" s="293" t="n">
        <v>350000</v>
      </c>
      <c r="O140" s="293">
        <f>I140*N140</f>
        <v/>
      </c>
      <c r="P140" s="293">
        <f>J140*N140</f>
        <v/>
      </c>
      <c r="Q140" s="293">
        <f>SUM(O140:P140)</f>
        <v/>
      </c>
      <c r="R140" s="293">
        <f>Q140*$R$9</f>
        <v/>
      </c>
      <c r="S140" s="293">
        <f>SUM(Q140:R140)</f>
        <v/>
      </c>
      <c r="T140" s="44" t="inlineStr">
        <is>
          <t>Accesorios: No incluye
Consumibles: No incluye</t>
        </is>
      </c>
      <c r="U140" s="45" t="inlineStr">
        <is>
          <t>Durante la vigencia del contrato</t>
        </is>
      </c>
      <c r="V140" s="46" t="inlineStr">
        <is>
          <t>NO</t>
        </is>
      </c>
      <c r="W140" s="45" t="inlineStr">
        <is>
          <t>OFTALMO</t>
        </is>
      </c>
      <c r="X140" s="32" t="inlineStr">
        <is>
          <t>BAUSH</t>
        </is>
      </c>
    </row>
    <row r="141" ht="124.95" customHeight="1" s="227">
      <c r="A141" s="38" t="n">
        <v>291</v>
      </c>
      <c r="B141" s="68" t="inlineStr">
        <is>
          <t>CDMX</t>
        </is>
      </c>
      <c r="D141" s="69" t="inlineStr">
        <is>
          <t>Láser excimer, marca Bausch &amp; Lomb, modelo Zyoptix XP</t>
        </is>
      </c>
      <c r="E141" s="68" t="inlineStr">
        <is>
          <t>XL500322</t>
        </is>
      </c>
      <c r="F141" s="69" t="inlineStr">
        <is>
          <t>H.M.E.O. Constituyentes</t>
        </is>
      </c>
      <c r="G141" s="39" t="inlineStr">
        <is>
          <t>Servicio de mantenimiento integral para: Láser excimer, marca Bausch &amp; Lomb, modelo Zyoptix XP, serie XL500322;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41" s="40" t="inlineStr">
        <is>
          <t>Servicio</t>
        </is>
      </c>
      <c r="I141" s="41" t="n">
        <v>1</v>
      </c>
      <c r="J141" s="41" t="n">
        <v>2</v>
      </c>
      <c r="K141" s="42" t="inlineStr">
        <is>
          <t>México</t>
        </is>
      </c>
      <c r="L141" s="293" t="n">
        <v>147529.05</v>
      </c>
      <c r="M141" s="293" t="n">
        <v>1</v>
      </c>
      <c r="N141" s="293" t="n">
        <v>140000</v>
      </c>
      <c r="O141" s="293">
        <f>I141*N141</f>
        <v/>
      </c>
      <c r="P141" s="293">
        <f>J141*N141</f>
        <v/>
      </c>
      <c r="Q141" s="293">
        <f>SUM(O141:P141)</f>
        <v/>
      </c>
      <c r="R141" s="293">
        <f>Q141*$R$9</f>
        <v/>
      </c>
      <c r="S141" s="293">
        <f>SUM(Q141:R141)</f>
        <v/>
      </c>
      <c r="T141" s="44" t="inlineStr">
        <is>
          <t>Accesorios: No incluye
Consumibles: No incluye</t>
        </is>
      </c>
      <c r="U141" s="45" t="inlineStr">
        <is>
          <t>Durante la vigencia del contrato</t>
        </is>
      </c>
      <c r="V141" s="46" t="inlineStr">
        <is>
          <t>SI</t>
        </is>
      </c>
      <c r="W141" s="45" t="inlineStr">
        <is>
          <t>OFTALMO</t>
        </is>
      </c>
      <c r="X141" s="32" t="inlineStr">
        <is>
          <t>BAUSH</t>
        </is>
      </c>
    </row>
    <row r="142" ht="124.95" customHeight="1" s="227">
      <c r="A142" s="49" t="n">
        <v>292</v>
      </c>
      <c r="B142" s="68" t="inlineStr">
        <is>
          <t>CDMX</t>
        </is>
      </c>
      <c r="D142" s="69" t="inlineStr">
        <is>
          <t>Microscopio especular, marca Konan, modelo CellChek XL NSP9900</t>
        </is>
      </c>
      <c r="E142" s="68" t="inlineStr">
        <is>
          <t>NPA-3-1816</t>
        </is>
      </c>
      <c r="F142" s="69" t="inlineStr">
        <is>
          <t>H.M.E.O. Constituyentes</t>
        </is>
      </c>
      <c r="G142" s="50" t="inlineStr">
        <is>
          <t>Servicio de mantenimiento integral para: Microscopio especular, marca Konan, modelo CellChek XL NSP9900, serie NPA-3-1816;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42" s="51" t="inlineStr">
        <is>
          <t>Servicio</t>
        </is>
      </c>
      <c r="I142" s="52" t="n">
        <v>1</v>
      </c>
      <c r="J142" s="52" t="n">
        <v>2</v>
      </c>
      <c r="K142" s="59" t="inlineStr">
        <is>
          <t>México</t>
        </is>
      </c>
      <c r="L142" s="290" t="n">
        <v>125647</v>
      </c>
      <c r="M142" s="291" t="n">
        <v>1</v>
      </c>
      <c r="N142" s="292" t="n">
        <v>120000</v>
      </c>
      <c r="O142" s="292">
        <f>I142*N142</f>
        <v/>
      </c>
      <c r="P142" s="292">
        <f>J142*N142</f>
        <v/>
      </c>
      <c r="Q142" s="292">
        <f>SUM(O142:P142)</f>
        <v/>
      </c>
      <c r="R142" s="292">
        <f>Q142*$R$9</f>
        <v/>
      </c>
      <c r="S142" s="292">
        <f>SUM(Q142:R142)</f>
        <v/>
      </c>
      <c r="T142" s="56" t="inlineStr">
        <is>
          <t>Accesorios: No incluye
Consumibles: No incluye</t>
        </is>
      </c>
      <c r="U142" s="54" t="inlineStr">
        <is>
          <t>Durante la vigencia del contrato</t>
        </is>
      </c>
      <c r="V142" s="57" t="inlineStr">
        <is>
          <t>SI</t>
        </is>
      </c>
      <c r="W142" s="54" t="inlineStr">
        <is>
          <t>OFTALMO</t>
        </is>
      </c>
      <c r="X142" s="32" t="inlineStr">
        <is>
          <t>TECHNOMIX</t>
        </is>
      </c>
    </row>
    <row r="143" ht="124.95" customHeight="1" s="227">
      <c r="A143" s="38" t="n">
        <v>294</v>
      </c>
      <c r="B143" s="68" t="inlineStr">
        <is>
          <t>CHIAPAS</t>
        </is>
      </c>
      <c r="D143" s="69" t="inlineStr">
        <is>
          <t>Láser excimer, marca WaveLight, modelo Allegretto</t>
        </is>
      </c>
      <c r="E143" s="68" t="inlineStr">
        <is>
          <t>1010-2-382</t>
        </is>
      </c>
      <c r="F143" s="69" t="inlineStr">
        <is>
          <t>H.M.R. Tuxtla Gutiérrez</t>
        </is>
      </c>
      <c r="G143" s="39" t="inlineStr">
        <is>
          <t>Servicio de mantenimiento integral para: Láser excimer, marca WaveLight, modelo Allegretto, serie 1010-2-382;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43" s="40" t="inlineStr">
        <is>
          <t>Servicio</t>
        </is>
      </c>
      <c r="I143" s="41" t="n">
        <v>1</v>
      </c>
      <c r="J143" s="41" t="n">
        <v>2</v>
      </c>
      <c r="K143" s="42" t="inlineStr">
        <is>
          <t>México</t>
        </is>
      </c>
      <c r="L143" s="293" t="n">
        <v>589413</v>
      </c>
      <c r="M143" s="293" t="inlineStr">
        <is>
          <t>NO</t>
        </is>
      </c>
      <c r="N143" s="293" t="n">
        <v>990000</v>
      </c>
      <c r="O143" s="293">
        <f>I143*N143</f>
        <v/>
      </c>
      <c r="P143" s="293">
        <f>J143*N143</f>
        <v/>
      </c>
      <c r="Q143" s="293">
        <f>SUM(O143:P143)</f>
        <v/>
      </c>
      <c r="R143" s="293">
        <f>Q143*$R$9</f>
        <v/>
      </c>
      <c r="S143" s="293">
        <f>SUM(Q143:R143)</f>
        <v/>
      </c>
      <c r="T143" s="44" t="inlineStr">
        <is>
          <t>Accesorios: No incluye
Consumibles: No incluye</t>
        </is>
      </c>
      <c r="U143" s="45" t="inlineStr">
        <is>
          <t>Durante la vigencia del contrato</t>
        </is>
      </c>
      <c r="V143" s="46" t="inlineStr">
        <is>
          <t>NO</t>
        </is>
      </c>
      <c r="W143" s="45" t="inlineStr">
        <is>
          <t>OFTALMO</t>
        </is>
      </c>
      <c r="X143" s="32" t="inlineStr">
        <is>
          <t>ALCON</t>
        </is>
      </c>
    </row>
    <row r="144" ht="140.4" customHeight="1" s="227">
      <c r="A144" s="38" t="n">
        <v>298</v>
      </c>
      <c r="B144" s="68" t="inlineStr">
        <is>
          <t>QUINTANA ROO</t>
        </is>
      </c>
      <c r="D144" s="69" t="inlineStr">
        <is>
          <t>Sistema de digitalización de imágenes, marca Fujifilm, modelo Digitalizador: FCR Capsula XLII (CR-IR 359)</t>
        </is>
      </c>
      <c r="E144" s="68" t="inlineStr">
        <is>
          <t>46770608</t>
        </is>
      </c>
      <c r="F144" s="69" t="inlineStr">
        <is>
          <t>H.M.Z. Chetumal</t>
        </is>
      </c>
      <c r="G144" s="39" t="inlineStr">
        <is>
          <t>Servicio de mantenimiento integral para: Sistema de digitalización de imágenes, marca Fujifilm, modelo Digitalizador: FCR Capsula XLII (CR-IR 359) , serie 46770608; ubicado en H.M.Z. Chetumal, Q. Roo.
Consistente en 1 evento de mantenimiento preventivo por semestre y todos los mantenimientos correctivos que se requieran para mantener, conservar y/o recuperar la operatividad del equipo al 100% durante el periodo de cobertura.</t>
        </is>
      </c>
      <c r="H144" s="40" t="inlineStr">
        <is>
          <t>Servicio</t>
        </is>
      </c>
      <c r="I144" s="41" t="n">
        <v>1</v>
      </c>
      <c r="J144" s="41" t="n">
        <v>2</v>
      </c>
      <c r="K144" s="42" t="inlineStr">
        <is>
          <t>México</t>
        </is>
      </c>
      <c r="L144" s="293" t="n">
        <v>227995.69</v>
      </c>
      <c r="M144" s="293" t="n"/>
      <c r="N144" s="293" t="n">
        <v>220000</v>
      </c>
      <c r="O144" s="293">
        <f>I144*N144</f>
        <v/>
      </c>
      <c r="P144" s="293">
        <f>J144*N144</f>
        <v/>
      </c>
      <c r="Q144" s="293">
        <f>SUM(O144:P144)</f>
        <v/>
      </c>
      <c r="R144" s="293">
        <f>Q144*$R$9</f>
        <v/>
      </c>
      <c r="S144" s="293">
        <f>SUM(Q144:R144)</f>
        <v/>
      </c>
      <c r="T144" s="44" t="inlineStr">
        <is>
          <t>Accesorios: No incluye
Consumibles: No incluye</t>
        </is>
      </c>
      <c r="U144" s="45" t="inlineStr">
        <is>
          <t>Durante la vigencia del contrato</t>
        </is>
      </c>
      <c r="V144" s="46" t="inlineStr">
        <is>
          <t>SI</t>
        </is>
      </c>
      <c r="W144" s="47" t="inlineStr">
        <is>
          <t>IMAGEN</t>
        </is>
      </c>
    </row>
    <row r="145" ht="140.4" customHeight="1" s="227">
      <c r="A145" s="38" t="n">
        <v>301</v>
      </c>
      <c r="B145" s="68" t="inlineStr">
        <is>
          <t>CDMX</t>
        </is>
      </c>
      <c r="D145" s="69" t="inlineStr">
        <is>
          <t>Rayos X fijo, marca Osko, modelo XR5</t>
        </is>
      </c>
      <c r="E145" s="68" t="inlineStr">
        <is>
          <t>XRC1094990MX</t>
        </is>
      </c>
      <c r="F145" s="69" t="inlineStr">
        <is>
          <t>Subcentro de Evaluación Médica, Campo Militar 1-A</t>
        </is>
      </c>
      <c r="G145" s="39" t="inlineStr">
        <is>
          <t>Servicio de mantenimiento integral para: Rayos X fijo, marca Osko, modelo XR5, serie XRC1094990MX;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5" s="40" t="inlineStr">
        <is>
          <t>Servicio</t>
        </is>
      </c>
      <c r="I145" s="41" t="n">
        <v>1</v>
      </c>
      <c r="J145" s="41" t="n">
        <v>2</v>
      </c>
      <c r="K145" s="42" t="inlineStr">
        <is>
          <t>México</t>
        </is>
      </c>
      <c r="L145" s="293" t="n">
        <v>229310.95</v>
      </c>
      <c r="M145" s="293" t="n"/>
      <c r="N145" s="293" t="n">
        <v>220000</v>
      </c>
      <c r="O145" s="293">
        <f>I145*N145</f>
        <v/>
      </c>
      <c r="P145" s="293">
        <f>J145*N145</f>
        <v/>
      </c>
      <c r="Q145" s="293">
        <f>SUM(O145:P145)</f>
        <v/>
      </c>
      <c r="R145" s="293">
        <f>Q145*$R$9</f>
        <v/>
      </c>
      <c r="S145" s="293">
        <f>SUM(Q145:R145)</f>
        <v/>
      </c>
      <c r="T145" s="44" t="inlineStr">
        <is>
          <t>Accesorios: No incluye
Consumibles: No incluye</t>
        </is>
      </c>
      <c r="U145" s="45" t="inlineStr">
        <is>
          <t>Durante la vigencia del contrato</t>
        </is>
      </c>
      <c r="V145" s="46" t="inlineStr">
        <is>
          <t>SI</t>
        </is>
      </c>
      <c r="W145" s="47" t="inlineStr">
        <is>
          <t>IMAGEN</t>
        </is>
      </c>
    </row>
    <row r="146" ht="140.4" customHeight="1" s="227">
      <c r="A146" s="38" t="n">
        <v>302</v>
      </c>
      <c r="B146" s="68" t="inlineStr">
        <is>
          <t>CDMX</t>
        </is>
      </c>
      <c r="D146" s="69" t="inlineStr">
        <is>
          <t>Rayos X fijo, marca Osko, modelo XR5</t>
        </is>
      </c>
      <c r="E146" s="68" t="inlineStr">
        <is>
          <t>XRC1095095MX</t>
        </is>
      </c>
      <c r="F146" s="69" t="inlineStr">
        <is>
          <t>Subcentro de Evaluación Médica, Campo Militar 1-A</t>
        </is>
      </c>
      <c r="G146" s="39" t="inlineStr">
        <is>
          <t>Servicio de mantenimiento integral para: Rayos X fijo, marca Osko, modelo XR5, serie XRC1095095MX;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6" s="40" t="inlineStr">
        <is>
          <t>Servicio</t>
        </is>
      </c>
      <c r="I146" s="41" t="n">
        <v>1</v>
      </c>
      <c r="J146" s="41" t="n">
        <v>2</v>
      </c>
      <c r="K146" s="42" t="inlineStr">
        <is>
          <t>México</t>
        </is>
      </c>
      <c r="L146" s="293" t="n">
        <v>221980.55</v>
      </c>
      <c r="M146" s="293" t="n"/>
      <c r="N146" s="293" t="n">
        <v>220000</v>
      </c>
      <c r="O146" s="293">
        <f>I146*N146</f>
        <v/>
      </c>
      <c r="P146" s="293">
        <f>J146*N146</f>
        <v/>
      </c>
      <c r="Q146" s="293">
        <f>SUM(O146:P146)</f>
        <v/>
      </c>
      <c r="R146" s="293">
        <f>Q146*$R$9</f>
        <v/>
      </c>
      <c r="S146" s="293">
        <f>SUM(Q146:R146)</f>
        <v/>
      </c>
      <c r="T146" s="44" t="inlineStr">
        <is>
          <t>Accesorios: No incluye
Consumibles: No incluye</t>
        </is>
      </c>
      <c r="U146" s="45" t="inlineStr">
        <is>
          <t>Durante la vigencia del contrato</t>
        </is>
      </c>
      <c r="V146" s="46" t="inlineStr">
        <is>
          <t>SI</t>
        </is>
      </c>
      <c r="W146" s="47" t="inlineStr">
        <is>
          <t>IMAGEN</t>
        </is>
      </c>
    </row>
    <row r="147" ht="140.4" customHeight="1" s="227">
      <c r="A147" s="38" t="n">
        <v>303</v>
      </c>
      <c r="B147" s="68" t="inlineStr">
        <is>
          <t>CDMX</t>
        </is>
      </c>
      <c r="D147" s="69" t="inlineStr">
        <is>
          <t>Rayos X fijo, marca Osko, modelo XR5</t>
        </is>
      </c>
      <c r="E147" s="68" t="inlineStr">
        <is>
          <t>XRC1094988MX</t>
        </is>
      </c>
      <c r="F147" s="69" t="inlineStr">
        <is>
          <t>Subcentro de Evaluación Médica, Campo Militar 1-A</t>
        </is>
      </c>
      <c r="G147" s="39" t="inlineStr">
        <is>
          <t>Servicio de mantenimiento integral para: Rayos X fijo, marca Osko, modelo XR5, serie XRC1094988MX;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7" s="40" t="inlineStr">
        <is>
          <t>Servicio</t>
        </is>
      </c>
      <c r="I147" s="41" t="n">
        <v>1</v>
      </c>
      <c r="J147" s="41" t="n">
        <v>2</v>
      </c>
      <c r="K147" s="42" t="inlineStr">
        <is>
          <t>México</t>
        </is>
      </c>
      <c r="L147" s="293" t="n">
        <v>223768.65</v>
      </c>
      <c r="M147" s="293" t="n"/>
      <c r="N147" s="293" t="n">
        <v>220000</v>
      </c>
      <c r="O147" s="293">
        <f>I147*N147</f>
        <v/>
      </c>
      <c r="P147" s="293">
        <f>J147*N147</f>
        <v/>
      </c>
      <c r="Q147" s="293">
        <f>SUM(O147:P147)</f>
        <v/>
      </c>
      <c r="R147" s="293">
        <f>Q147*$R$9</f>
        <v/>
      </c>
      <c r="S147" s="293">
        <f>SUM(Q147:R147)</f>
        <v/>
      </c>
      <c r="T147" s="44" t="inlineStr">
        <is>
          <t>Accesorios: No incluye
Consumibles: No incluye</t>
        </is>
      </c>
      <c r="U147" s="45" t="inlineStr">
        <is>
          <t>Durante la vigencia del contrato</t>
        </is>
      </c>
      <c r="V147" s="46" t="inlineStr">
        <is>
          <t>SI</t>
        </is>
      </c>
      <c r="W147" s="47" t="inlineStr">
        <is>
          <t>IMAGEN</t>
        </is>
      </c>
    </row>
    <row r="148" ht="140.4" customHeight="1" s="227">
      <c r="A148" s="38" t="n">
        <v>304</v>
      </c>
      <c r="B148" s="68" t="inlineStr">
        <is>
          <t>CDMX</t>
        </is>
      </c>
      <c r="D148" s="69" t="inlineStr">
        <is>
          <t>Impresora para placas radiográficas, marca Fujifilm, modelo Drypix 8000</t>
        </is>
      </c>
      <c r="E148" s="68" t="inlineStr">
        <is>
          <t>17130510</t>
        </is>
      </c>
      <c r="F148" s="69" t="inlineStr">
        <is>
          <t>Subcentro de Evaluación Médica, Campo Militar 1-A</t>
        </is>
      </c>
      <c r="G148" s="39" t="inlineStr">
        <is>
          <t>Servicio de mantenimiento integral para: Impresora para placas radiográficas, marca Fujifilm, modelo Drypix 8000, serie 17130510;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8" s="40" t="inlineStr">
        <is>
          <t>Servicio</t>
        </is>
      </c>
      <c r="I148" s="41" t="n">
        <v>1</v>
      </c>
      <c r="J148" s="41" t="n">
        <v>2</v>
      </c>
      <c r="K148" s="42" t="inlineStr">
        <is>
          <t>México</t>
        </is>
      </c>
      <c r="L148" s="293" t="n">
        <v>230000</v>
      </c>
      <c r="M148" s="293" t="n"/>
      <c r="N148" s="293" t="n">
        <v>220000</v>
      </c>
      <c r="O148" s="293">
        <f>I148*N148</f>
        <v/>
      </c>
      <c r="P148" s="293">
        <f>J148*N148</f>
        <v/>
      </c>
      <c r="Q148" s="293">
        <f>SUM(O148:P148)</f>
        <v/>
      </c>
      <c r="R148" s="293">
        <f>Q148*$R$9</f>
        <v/>
      </c>
      <c r="S148" s="293">
        <f>SUM(Q148:R148)</f>
        <v/>
      </c>
      <c r="T148" s="44" t="inlineStr">
        <is>
          <t>Accesorios: No incluye
Consumibles: No incluye</t>
        </is>
      </c>
      <c r="U148" s="45" t="inlineStr">
        <is>
          <t>Durante la vigencia del contrato</t>
        </is>
      </c>
      <c r="V148" s="46" t="inlineStr">
        <is>
          <t>SI</t>
        </is>
      </c>
      <c r="W148" s="47" t="inlineStr">
        <is>
          <t>IMAGEN</t>
        </is>
      </c>
    </row>
    <row r="149" ht="140.4" customHeight="1" s="227">
      <c r="A149" s="38" t="n">
        <v>305</v>
      </c>
      <c r="B149" s="68" t="inlineStr">
        <is>
          <t>CDMX</t>
        </is>
      </c>
      <c r="D149" s="69" t="inlineStr">
        <is>
          <t>Impresora para placas radiográficas, marca Fujifilm, modelo Drypix 8000</t>
        </is>
      </c>
      <c r="E149" s="68" t="inlineStr">
        <is>
          <t>17130513</t>
        </is>
      </c>
      <c r="F149" s="69" t="inlineStr">
        <is>
          <t>Subcentro de Evaluación Médica, Campo Militar 1-A</t>
        </is>
      </c>
      <c r="G149" s="39" t="inlineStr">
        <is>
          <t>Servicio de mantenimiento integral para: Impresora para placas radiográficas, marca Fujifilm, modelo Drypix 8000, serie 17130513;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9" s="40" t="inlineStr">
        <is>
          <t>Servicio</t>
        </is>
      </c>
      <c r="I149" s="41" t="n">
        <v>1</v>
      </c>
      <c r="J149" s="41" t="n">
        <v>2</v>
      </c>
      <c r="K149" s="42" t="inlineStr">
        <is>
          <t>México</t>
        </is>
      </c>
      <c r="L149" s="293" t="n">
        <v>248741</v>
      </c>
      <c r="M149" s="293" t="n"/>
      <c r="N149" s="293" t="n">
        <v>220000</v>
      </c>
      <c r="O149" s="293">
        <f>I149*N149</f>
        <v/>
      </c>
      <c r="P149" s="293">
        <f>J149*N149</f>
        <v/>
      </c>
      <c r="Q149" s="293">
        <f>SUM(O149:P149)</f>
        <v/>
      </c>
      <c r="R149" s="293">
        <f>Q149*$R$9</f>
        <v/>
      </c>
      <c r="S149" s="293">
        <f>SUM(Q149:R149)</f>
        <v/>
      </c>
      <c r="T149" s="44" t="inlineStr">
        <is>
          <t>Accesorios: No incluye
Consumibles: No incluye</t>
        </is>
      </c>
      <c r="U149" s="45" t="inlineStr">
        <is>
          <t>Durante la vigencia del contrato</t>
        </is>
      </c>
      <c r="V149" s="46" t="inlineStr">
        <is>
          <t>SI</t>
        </is>
      </c>
      <c r="W149" s="47" t="inlineStr">
        <is>
          <t>IMAGEN</t>
        </is>
      </c>
    </row>
    <row r="150" ht="140.4" customHeight="1" s="227">
      <c r="A150" s="38" t="n">
        <v>306</v>
      </c>
      <c r="B150" s="68" t="inlineStr">
        <is>
          <t>CDMX</t>
        </is>
      </c>
      <c r="D150" s="69" t="inlineStr">
        <is>
          <t>Impresora para placas radiográficas, marca Fujifilm, modelo Drypix 8000</t>
        </is>
      </c>
      <c r="E150" s="68" t="inlineStr">
        <is>
          <t>17130554</t>
        </is>
      </c>
      <c r="F150" s="69" t="inlineStr">
        <is>
          <t>Subcentro de Evaluación Médica, Campo Militar 1-A</t>
        </is>
      </c>
      <c r="G150" s="39" t="inlineStr">
        <is>
          <t>Servicio de mantenimiento integral para: Impresora para placas radiográficas, marca Fujifilm, modelo Drypix 8000, serie 17130554;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50" s="40" t="inlineStr">
        <is>
          <t>Servicio</t>
        </is>
      </c>
      <c r="I150" s="41" t="n">
        <v>1</v>
      </c>
      <c r="J150" s="41" t="n">
        <v>2</v>
      </c>
      <c r="K150" s="42" t="inlineStr">
        <is>
          <t>México</t>
        </is>
      </c>
      <c r="L150" s="293" t="n">
        <v>230000</v>
      </c>
      <c r="M150" s="293" t="n"/>
      <c r="N150" s="293" t="n">
        <v>220000</v>
      </c>
      <c r="O150" s="293">
        <f>I150*N150</f>
        <v/>
      </c>
      <c r="P150" s="293">
        <f>J150*N150</f>
        <v/>
      </c>
      <c r="Q150" s="293">
        <f>SUM(O150:P150)</f>
        <v/>
      </c>
      <c r="R150" s="293">
        <f>Q150*$R$9</f>
        <v/>
      </c>
      <c r="S150" s="293">
        <f>SUM(Q150:R150)</f>
        <v/>
      </c>
      <c r="T150" s="44" t="inlineStr">
        <is>
          <t>Accesorios: No incluye
Consumibles: No incluye</t>
        </is>
      </c>
      <c r="U150" s="45" t="inlineStr">
        <is>
          <t>Durante la vigencia del contrato</t>
        </is>
      </c>
      <c r="V150" s="46" t="inlineStr">
        <is>
          <t>SI</t>
        </is>
      </c>
      <c r="W150" s="47" t="inlineStr">
        <is>
          <t>IMAGEN</t>
        </is>
      </c>
    </row>
    <row r="151" ht="140.4" customHeight="1" s="227">
      <c r="A151" s="49" t="n">
        <v>307</v>
      </c>
      <c r="B151" s="68" t="inlineStr">
        <is>
          <t>CDMX</t>
        </is>
      </c>
      <c r="D151" s="69" t="inlineStr">
        <is>
          <t>Cámara de Scheimpflug, marca Oculus, modelo Pentacam HR</t>
        </is>
      </c>
      <c r="E151" s="68" t="inlineStr">
        <is>
          <t>70900 2455 1210</t>
        </is>
      </c>
      <c r="F151" s="69" t="inlineStr">
        <is>
          <t>Subcentro de Evaluación Médica, Campo Militar 1-A</t>
        </is>
      </c>
      <c r="G151" s="50" t="inlineStr">
        <is>
          <t>Servicio de mantenimiento integral para: Cámara de Scheimpflug, marca Oculus, modelo Pentacam HR, serie 70900 2455 1210;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51" s="51" t="inlineStr">
        <is>
          <t>Servicio</t>
        </is>
      </c>
      <c r="I151" s="52" t="n">
        <v>1</v>
      </c>
      <c r="J151" s="52" t="n">
        <v>2</v>
      </c>
      <c r="K151" s="59" t="inlineStr">
        <is>
          <t>México</t>
        </is>
      </c>
      <c r="L151" s="290" t="n">
        <v>289745</v>
      </c>
      <c r="M151" s="291" t="n">
        <v>50000</v>
      </c>
      <c r="N151" s="292" t="n">
        <v>150000</v>
      </c>
      <c r="O151" s="292">
        <f>I151*N151</f>
        <v/>
      </c>
      <c r="P151" s="292">
        <f>J151*N151</f>
        <v/>
      </c>
      <c r="Q151" s="292">
        <f>SUM(O151:P151)</f>
        <v/>
      </c>
      <c r="R151" s="292">
        <f>Q151*$R$9</f>
        <v/>
      </c>
      <c r="S151" s="292">
        <f>SUM(Q151:R151)</f>
        <v/>
      </c>
      <c r="T151" s="56" t="inlineStr">
        <is>
          <t>Accesorios: No incluye
Consumibles: No incluye</t>
        </is>
      </c>
      <c r="U151" s="54" t="inlineStr">
        <is>
          <t>Durante la vigencia del contrato</t>
        </is>
      </c>
      <c r="V151" s="57" t="inlineStr">
        <is>
          <t>SI</t>
        </is>
      </c>
      <c r="W151" s="54" t="inlineStr">
        <is>
          <t>OFTALMO</t>
        </is>
      </c>
      <c r="X151" s="32" t="inlineStr">
        <is>
          <t>CYAN</t>
        </is>
      </c>
    </row>
    <row r="152" ht="124.95" customHeight="1" s="227">
      <c r="A152" s="38" t="n">
        <v>309</v>
      </c>
      <c r="B152" s="68" t="inlineStr">
        <is>
          <t>BAJA CALIFORNIA</t>
        </is>
      </c>
      <c r="D152" s="69" t="inlineStr">
        <is>
          <t>Equipo de rayos X móvil, marca Technix, modelo TMS 320</t>
        </is>
      </c>
      <c r="E152" s="68" t="inlineStr">
        <is>
          <t>80-16-82-153</t>
        </is>
      </c>
      <c r="F152" s="69" t="inlineStr">
        <is>
          <t>H.M.R. La Paz</t>
        </is>
      </c>
      <c r="G152" s="39" t="inlineStr">
        <is>
          <t>Servicio de mantenimiento integral para: Equipo de rayos X móvil, marca Technix, modelo TMS 320, serie 80-16-82-153;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H152" s="40" t="inlineStr">
        <is>
          <t>Servicio</t>
        </is>
      </c>
      <c r="I152" s="41" t="n">
        <v>1</v>
      </c>
      <c r="J152" s="41" t="n">
        <v>2</v>
      </c>
      <c r="K152" s="42" t="inlineStr">
        <is>
          <t>México</t>
        </is>
      </c>
      <c r="L152" s="293" t="n">
        <v>220564.52</v>
      </c>
      <c r="M152" s="293" t="n"/>
      <c r="N152" s="293" t="n">
        <v>300000</v>
      </c>
      <c r="O152" s="293">
        <f>I152*N152</f>
        <v/>
      </c>
      <c r="P152" s="293">
        <f>J152*N152</f>
        <v/>
      </c>
      <c r="Q152" s="293">
        <f>SUM(O152:P152)</f>
        <v/>
      </c>
      <c r="R152" s="293">
        <f>Q152*$R$9</f>
        <v/>
      </c>
      <c r="S152" s="293">
        <f>SUM(Q152:R152)</f>
        <v/>
      </c>
      <c r="T152" s="44" t="inlineStr">
        <is>
          <t>Accesorios: No incluye
Consumibles: No incluye</t>
        </is>
      </c>
      <c r="U152" s="45" t="inlineStr">
        <is>
          <t>Durante la vigencia del contrato</t>
        </is>
      </c>
      <c r="V152" s="46" t="inlineStr">
        <is>
          <t>NO</t>
        </is>
      </c>
      <c r="W152" s="47" t="inlineStr">
        <is>
          <t>IMAGEN</t>
        </is>
      </c>
    </row>
    <row r="153" ht="124.95" customHeight="1" s="227">
      <c r="A153" s="49" t="n">
        <v>310</v>
      </c>
      <c r="B153" s="68" t="inlineStr">
        <is>
          <t>BAJA CALIFORNIA</t>
        </is>
      </c>
      <c r="D153" s="69" t="inlineStr">
        <is>
          <t>Fotocoagulador láser , marca Quantel Medical, modelo Supra Scan</t>
        </is>
      </c>
      <c r="E153" s="68" t="inlineStr">
        <is>
          <t>454</t>
        </is>
      </c>
      <c r="F153" s="69" t="inlineStr">
        <is>
          <t>H.M.R. La Paz</t>
        </is>
      </c>
      <c r="G153" s="50" t="inlineStr">
        <is>
          <t>Servicio de mantenimiento integral para: Fotocoagulador láser , marca Quantel Medical, modelo Supra Scan, serie 454;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H153" s="51" t="inlineStr">
        <is>
          <t>Servicio</t>
        </is>
      </c>
      <c r="I153" s="52" t="n">
        <v>1</v>
      </c>
      <c r="J153" s="52" t="n">
        <v>2</v>
      </c>
      <c r="K153" s="59" t="inlineStr">
        <is>
          <t>México</t>
        </is>
      </c>
      <c r="L153" s="290" t="n">
        <v>186174.57</v>
      </c>
      <c r="M153" s="291" t="n">
        <v>55000</v>
      </c>
      <c r="N153" s="292" t="n">
        <v>180000</v>
      </c>
      <c r="O153" s="292">
        <f>I153*N153</f>
        <v/>
      </c>
      <c r="P153" s="292">
        <f>J153*N153</f>
        <v/>
      </c>
      <c r="Q153" s="292">
        <f>SUM(O153:P153)</f>
        <v/>
      </c>
      <c r="R153" s="292">
        <f>Q153*$R$9</f>
        <v/>
      </c>
      <c r="S153" s="292">
        <f>SUM(Q153:R153)</f>
        <v/>
      </c>
      <c r="T153" s="56" t="inlineStr">
        <is>
          <t>Accesorios: No incluye
Consumibles: No incluye</t>
        </is>
      </c>
      <c r="U153" s="54" t="inlineStr">
        <is>
          <t>Durante la vigencia del contrato</t>
        </is>
      </c>
      <c r="V153" s="57" t="inlineStr">
        <is>
          <t>SI</t>
        </is>
      </c>
      <c r="W153" s="54" t="inlineStr">
        <is>
          <t>OFTALMO</t>
        </is>
      </c>
      <c r="X153" s="32" t="inlineStr">
        <is>
          <t>ARFAMEX</t>
        </is>
      </c>
    </row>
    <row r="154" ht="124.95" customHeight="1" s="227">
      <c r="A154" s="38" t="n">
        <v>313</v>
      </c>
      <c r="B154" s="68" t="inlineStr">
        <is>
          <t>SINALOA</t>
        </is>
      </c>
      <c r="D154" s="69" t="inlineStr">
        <is>
          <t>Rayos X móvil, marca Villa Sistemi Medicali, modelo Visitor T30 M-DR</t>
        </is>
      </c>
      <c r="E154" s="68" t="inlineStr">
        <is>
          <t>14-11-1038</t>
        </is>
      </c>
      <c r="F154" s="69" t="inlineStr">
        <is>
          <t>H.M.R.E. Mazatlán</t>
        </is>
      </c>
      <c r="G154" s="39" t="inlineStr">
        <is>
          <t>Servicio de mantenimiento integral para: Rayos X móvil, marca Villa Sistemi Medicali, modelo Visitor T30 M-DR, serie 14-11-1038;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154" s="40" t="inlineStr">
        <is>
          <t>Servicio</t>
        </is>
      </c>
      <c r="I154" s="41" t="n">
        <v>1</v>
      </c>
      <c r="J154" s="41" t="n">
        <v>2</v>
      </c>
      <c r="K154" s="42" t="inlineStr">
        <is>
          <t>México</t>
        </is>
      </c>
      <c r="L154" s="293" t="n">
        <v>231163.79</v>
      </c>
      <c r="M154" s="293" t="n"/>
      <c r="N154" s="293" t="n">
        <v>300000</v>
      </c>
      <c r="O154" s="293">
        <f>I154*N154</f>
        <v/>
      </c>
      <c r="P154" s="293">
        <f>J154*N154</f>
        <v/>
      </c>
      <c r="Q154" s="293">
        <f>SUM(O154:P154)</f>
        <v/>
      </c>
      <c r="R154" s="293">
        <f>Q154*$R$9</f>
        <v/>
      </c>
      <c r="S154" s="293">
        <f>SUM(Q154:R154)</f>
        <v/>
      </c>
      <c r="T154" s="44" t="inlineStr">
        <is>
          <t>Accesorios: No incluye
Consumibles: No incluye</t>
        </is>
      </c>
      <c r="U154" s="45" t="inlineStr">
        <is>
          <t>Durante la vigencia del contrato</t>
        </is>
      </c>
      <c r="V154" s="46" t="inlineStr">
        <is>
          <t>NO</t>
        </is>
      </c>
      <c r="W154" s="47" t="inlineStr">
        <is>
          <t>IMAGEN</t>
        </is>
      </c>
    </row>
    <row r="155" ht="124.95" customHeight="1" s="227">
      <c r="A155" s="38" t="n">
        <v>314</v>
      </c>
      <c r="B155" s="68" t="inlineStr">
        <is>
          <t>PUEBLA</t>
        </is>
      </c>
      <c r="D155" s="69" t="inlineStr">
        <is>
          <t>Equipo de rayos X móvil, marca Technix, modelo TMS 320</t>
        </is>
      </c>
      <c r="E155" s="68" t="inlineStr">
        <is>
          <t>80-16-101-172</t>
        </is>
      </c>
      <c r="F155" s="69" t="inlineStr">
        <is>
          <t>H.M.R. Puebla</t>
        </is>
      </c>
      <c r="G155" s="39" t="inlineStr">
        <is>
          <t>Servicio de mantenimiento integral para: Equipo de rayos X móvil, marca Technix, modelo TMS 320, serie 80-16-101-172;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H155" s="40" t="inlineStr">
        <is>
          <t>Servicio</t>
        </is>
      </c>
      <c r="I155" s="41" t="n">
        <v>1</v>
      </c>
      <c r="J155" s="41" t="n">
        <v>2</v>
      </c>
      <c r="K155" s="42" t="inlineStr">
        <is>
          <t>México</t>
        </is>
      </c>
      <c r="L155" s="293" t="n">
        <v>225603.45</v>
      </c>
      <c r="M155" s="293" t="n"/>
      <c r="N155" s="293" t="n">
        <v>220000</v>
      </c>
      <c r="O155" s="293">
        <f>I155*N155</f>
        <v/>
      </c>
      <c r="P155" s="293">
        <f>J155*N155</f>
        <v/>
      </c>
      <c r="Q155" s="293">
        <f>SUM(O155:P155)</f>
        <v/>
      </c>
      <c r="R155" s="293">
        <f>Q155*$R$9</f>
        <v/>
      </c>
      <c r="S155" s="293">
        <f>SUM(Q155:R155)</f>
        <v/>
      </c>
      <c r="T155" s="44" t="inlineStr">
        <is>
          <t>Accesorios: No incluye
Consumibles: No incluye</t>
        </is>
      </c>
      <c r="U155" s="45" t="inlineStr">
        <is>
          <t>Durante la vigencia del contrato</t>
        </is>
      </c>
      <c r="V155" s="46" t="inlineStr">
        <is>
          <t>SI</t>
        </is>
      </c>
      <c r="W155" s="47" t="inlineStr">
        <is>
          <t>IMAGEN</t>
        </is>
      </c>
    </row>
    <row r="156" ht="124.95" customHeight="1" s="227">
      <c r="A156" s="38" t="n">
        <v>316</v>
      </c>
      <c r="B156" s="68" t="inlineStr">
        <is>
          <t>PUEBLA</t>
        </is>
      </c>
      <c r="D156" s="69" t="inlineStr">
        <is>
          <t>Equipo de rayos X móvil, marca Mindray, modelo MobiEye 700</t>
        </is>
      </c>
      <c r="E156" s="68" t="inlineStr">
        <is>
          <t>C8-05002378T</t>
        </is>
      </c>
      <c r="F156" s="69" t="inlineStr">
        <is>
          <t>H.M.R. Puebla</t>
        </is>
      </c>
      <c r="G156" s="39" t="inlineStr">
        <is>
          <t>Servicio de mantenimiento integral para: Equipo de rayos X móvil, marca Mindray, modelo MobiEye 700, serie C8-05002378T;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H156" s="40" t="inlineStr">
        <is>
          <t>Servicio</t>
        </is>
      </c>
      <c r="I156" s="41" t="n">
        <v>1</v>
      </c>
      <c r="J156" s="41" t="n">
        <v>2</v>
      </c>
      <c r="K156" s="42" t="inlineStr">
        <is>
          <t>México</t>
        </is>
      </c>
      <c r="L156" s="293" t="n">
        <v>237500.26</v>
      </c>
      <c r="M156" s="293" t="n"/>
      <c r="N156" s="293" t="n">
        <v>220000</v>
      </c>
      <c r="O156" s="293">
        <f>I156*N156</f>
        <v/>
      </c>
      <c r="P156" s="293">
        <f>J156*N156</f>
        <v/>
      </c>
      <c r="Q156" s="293">
        <f>SUM(O156:P156)</f>
        <v/>
      </c>
      <c r="R156" s="293">
        <f>Q156*$R$9</f>
        <v/>
      </c>
      <c r="S156" s="293">
        <f>SUM(Q156:R156)</f>
        <v/>
      </c>
      <c r="T156" s="44" t="inlineStr">
        <is>
          <t>Accesorios: No incluye
Consumibles: No incluye</t>
        </is>
      </c>
      <c r="U156" s="45" t="inlineStr">
        <is>
          <t>Durante la vigencia del contrato</t>
        </is>
      </c>
      <c r="V156" s="46" t="inlineStr">
        <is>
          <t>SI</t>
        </is>
      </c>
      <c r="W156" s="47" t="inlineStr">
        <is>
          <t>IMAGEN</t>
        </is>
      </c>
    </row>
    <row r="157" ht="124.95" customHeight="1" s="227">
      <c r="A157" s="38" t="n">
        <v>319</v>
      </c>
      <c r="B157" s="68" t="inlineStr">
        <is>
          <t>CDMX</t>
        </is>
      </c>
      <c r="D157" s="69" t="inlineStr">
        <is>
          <t>Arco en C, marca Ziehm Imaging, modelo Vision R</t>
        </is>
      </c>
      <c r="E157" s="68" t="inlineStr">
        <is>
          <t>10705</t>
        </is>
      </c>
      <c r="F157" s="69" t="inlineStr">
        <is>
          <t>H.M.Z. Campo Militar No. 1-A</t>
        </is>
      </c>
      <c r="G157" s="39" t="inlineStr">
        <is>
          <t>Servicio de mantenimiento integral para: Arco en C, marca Ziehm Imaging, modelo Vision R, serie 10705; ubicado en H.M.Z. Campo Militar No. 1-A, Cd. de Méx.
Consistente en 1 evento de mantenimiento preventivo por semestre y todos los mantenimientos correctivos que se requieran para mantener, conservar y/o recuperar la operatividad del equipo al 100% durante el periodo de cobertura.</t>
        </is>
      </c>
      <c r="H157" s="40" t="inlineStr">
        <is>
          <t>Servicio</t>
        </is>
      </c>
      <c r="I157" s="41" t="n">
        <v>1</v>
      </c>
      <c r="J157" s="41" t="n">
        <v>2</v>
      </c>
      <c r="K157" s="42" t="inlineStr">
        <is>
          <t>México</t>
        </is>
      </c>
      <c r="L157" s="293" t="n">
        <v>255210</v>
      </c>
      <c r="M157" s="293" t="n"/>
      <c r="N157" s="293" t="n">
        <v>220000</v>
      </c>
      <c r="O157" s="293">
        <f>I157*N157</f>
        <v/>
      </c>
      <c r="P157" s="293">
        <f>J157*N157</f>
        <v/>
      </c>
      <c r="Q157" s="293">
        <f>SUM(O157:P157)</f>
        <v/>
      </c>
      <c r="R157" s="293">
        <f>Q157*$R$9</f>
        <v/>
      </c>
      <c r="S157" s="293">
        <f>SUM(Q157:R157)</f>
        <v/>
      </c>
      <c r="T157" s="44" t="inlineStr">
        <is>
          <t>Accesorios: No incluye
Consumibles: No incluye</t>
        </is>
      </c>
      <c r="U157" s="45" t="inlineStr">
        <is>
          <t>Durante la vigencia del contrato</t>
        </is>
      </c>
      <c r="V157" s="46" t="inlineStr">
        <is>
          <t>SI</t>
        </is>
      </c>
      <c r="W157" s="47" t="inlineStr">
        <is>
          <t>IMAGEN</t>
        </is>
      </c>
    </row>
    <row r="158" ht="124.95" customHeight="1" s="227">
      <c r="A158" s="49" t="n">
        <v>321</v>
      </c>
      <c r="B158" s="68" t="inlineStr">
        <is>
          <t>JALISCO</t>
        </is>
      </c>
      <c r="D158" s="69" t="inlineStr">
        <is>
          <t>Microscopio quirúrgico oftalmológico, marca Leica, modelo M822 F40</t>
        </is>
      </c>
      <c r="E158" s="68" t="inlineStr">
        <is>
          <t>160219002</t>
        </is>
      </c>
      <c r="F158" s="69" t="inlineStr">
        <is>
          <t>H.M.Z. Zapopan</t>
        </is>
      </c>
      <c r="G158" s="50" t="inlineStr">
        <is>
          <t>Servicio de mantenimiento integral para: Microscopio quirúrgico oftalmológico, marca Leica, modelo M822 F40, serie 160219002;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H158" s="51" t="inlineStr">
        <is>
          <t>Servicio</t>
        </is>
      </c>
      <c r="I158" s="52" t="n">
        <v>1</v>
      </c>
      <c r="J158" s="52" t="n">
        <v>2</v>
      </c>
      <c r="K158" s="59" t="inlineStr">
        <is>
          <t>México</t>
        </is>
      </c>
      <c r="L158" s="290" t="n">
        <v>167985</v>
      </c>
      <c r="M158" s="291" t="n">
        <v>250000</v>
      </c>
      <c r="N158" s="292" t="n">
        <v>160000</v>
      </c>
      <c r="O158" s="292">
        <f>I158*N158</f>
        <v/>
      </c>
      <c r="P158" s="292">
        <f>J158*N158</f>
        <v/>
      </c>
      <c r="Q158" s="292">
        <f>SUM(O158:P158)</f>
        <v/>
      </c>
      <c r="R158" s="292">
        <f>Q158*$R$9</f>
        <v/>
      </c>
      <c r="S158" s="292">
        <f>SUM(Q158:R158)</f>
        <v/>
      </c>
      <c r="T158" s="56" t="inlineStr">
        <is>
          <t>Accesorios: No incluye
Consumibles: No incluye</t>
        </is>
      </c>
      <c r="U158" s="54" t="inlineStr">
        <is>
          <t>Durante la vigencia del contrato</t>
        </is>
      </c>
      <c r="V158" s="57" t="inlineStr">
        <is>
          <t>SI</t>
        </is>
      </c>
      <c r="W158" s="54" t="inlineStr">
        <is>
          <t>OFTALMO</t>
        </is>
      </c>
      <c r="X158" s="32" t="inlineStr">
        <is>
          <t>COINDISA</t>
        </is>
      </c>
    </row>
    <row r="159" ht="140.4" customHeight="1" s="227">
      <c r="A159" s="38" t="n">
        <v>335</v>
      </c>
      <c r="B159" s="68" t="inlineStr">
        <is>
          <t>CDMX</t>
        </is>
      </c>
      <c r="D159" s="69" t="inlineStr">
        <is>
          <t>Rayos X móvil, marca Philips, modelo MobileDiagnost wDR Release 2</t>
        </is>
      </c>
      <c r="E159" s="68" t="inlineStr">
        <is>
          <t>15100252</t>
        </is>
      </c>
      <c r="F159" s="69" t="inlineStr">
        <is>
          <t>H.M.E.M. Y N. Lomas de Sotelo</t>
        </is>
      </c>
      <c r="G159" s="39" t="inlineStr">
        <is>
          <t>Servicio de mantenimiento integral para: Rayos X móvil, marca Philips, modelo MobileDiagnost wDR Release 2, serie 15100252;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59" s="40" t="inlineStr">
        <is>
          <t>Servicio</t>
        </is>
      </c>
      <c r="I159" s="41" t="n">
        <v>1</v>
      </c>
      <c r="J159" s="41" t="n">
        <v>2</v>
      </c>
      <c r="K159" s="42" t="inlineStr">
        <is>
          <t>México</t>
        </is>
      </c>
      <c r="L159" s="293" t="n">
        <v>225784</v>
      </c>
      <c r="M159" s="293" t="n"/>
      <c r="N159" s="293" t="n">
        <v>220000</v>
      </c>
      <c r="O159" s="293">
        <f>I159*N159</f>
        <v/>
      </c>
      <c r="P159" s="293">
        <f>J159*N159</f>
        <v/>
      </c>
      <c r="Q159" s="293">
        <f>SUM(O159:P159)</f>
        <v/>
      </c>
      <c r="R159" s="293">
        <f>Q159*$R$9</f>
        <v/>
      </c>
      <c r="S159" s="293">
        <f>SUM(Q159:R159)</f>
        <v/>
      </c>
      <c r="T159" s="44" t="inlineStr">
        <is>
          <t>Accesorios: No incluye
Consumibles: No incluye</t>
        </is>
      </c>
      <c r="U159" s="45" t="inlineStr">
        <is>
          <t>Durante la vigencia del contrato</t>
        </is>
      </c>
      <c r="V159" s="46" t="inlineStr">
        <is>
          <t>SI</t>
        </is>
      </c>
      <c r="W159" s="47" t="inlineStr">
        <is>
          <t>IMAGEN</t>
        </is>
      </c>
    </row>
    <row r="160" ht="124.95" customHeight="1" s="227">
      <c r="A160" s="38" t="n">
        <v>336</v>
      </c>
      <c r="B160" s="68" t="inlineStr">
        <is>
          <t>NUEVO LEON</t>
        </is>
      </c>
      <c r="D160" s="69" t="inlineStr">
        <is>
          <t>Rayos X móvil, marca Philips, modelo MobileDiagnost wDR Release 2</t>
        </is>
      </c>
      <c r="E160" s="68" t="inlineStr">
        <is>
          <t>16200158</t>
        </is>
      </c>
      <c r="F160" s="69" t="inlineStr">
        <is>
          <t>H.M.R.E. Monterrey</t>
        </is>
      </c>
      <c r="G160" s="39" t="inlineStr">
        <is>
          <t>Servicio de mantenimiento integral para: Rayos X móvil, marca Philips, modelo MobileDiagnost wDR Release 2, serie 16200158;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H160" s="40" t="inlineStr">
        <is>
          <t>Servicio</t>
        </is>
      </c>
      <c r="I160" s="41" t="n">
        <v>1</v>
      </c>
      <c r="J160" s="41" t="n">
        <v>2</v>
      </c>
      <c r="K160" s="42" t="inlineStr">
        <is>
          <t>México</t>
        </is>
      </c>
      <c r="L160" s="293" t="n">
        <v>225846.76</v>
      </c>
      <c r="M160" s="293" t="n"/>
      <c r="N160" s="293" t="n">
        <v>300000</v>
      </c>
      <c r="O160" s="293">
        <f>I160*N160</f>
        <v/>
      </c>
      <c r="P160" s="293">
        <f>J160*N160</f>
        <v/>
      </c>
      <c r="Q160" s="293">
        <f>SUM(O160:P160)</f>
        <v/>
      </c>
      <c r="R160" s="293">
        <f>Q160*$R$9</f>
        <v/>
      </c>
      <c r="S160" s="293">
        <f>SUM(Q160:R160)</f>
        <v/>
      </c>
      <c r="T160" s="44" t="inlineStr">
        <is>
          <t>Accesorios: No incluye
Consumibles: No incluye</t>
        </is>
      </c>
      <c r="U160" s="45" t="inlineStr">
        <is>
          <t>Durante la vigencia del contrato</t>
        </is>
      </c>
      <c r="V160" s="46" t="inlineStr">
        <is>
          <t>NO</t>
        </is>
      </c>
      <c r="W160" s="47" t="inlineStr">
        <is>
          <t>IMAGEN</t>
        </is>
      </c>
    </row>
    <row r="161" ht="124.95" customHeight="1" s="227">
      <c r="A161" s="49" t="n">
        <v>338</v>
      </c>
      <c r="B161" s="68" t="inlineStr">
        <is>
          <t>CDMX</t>
        </is>
      </c>
      <c r="D161" s="69" t="inlineStr">
        <is>
          <t>Láser de femtosegundo, marca Alcon, modelo LenSx</t>
        </is>
      </c>
      <c r="E161" s="68" t="inlineStr">
        <is>
          <t>2102004501X</t>
        </is>
      </c>
      <c r="F161" s="69" t="inlineStr">
        <is>
          <t>H.M.E.O. Constituyentes</t>
        </is>
      </c>
      <c r="G161" s="50" t="inlineStr">
        <is>
          <t>Servicio de mantenimiento integral para: Láser de femtosegundo, marca Alcon, modelo LenSx, serie 2102004501X;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61" s="51" t="inlineStr">
        <is>
          <t>Servicio</t>
        </is>
      </c>
      <c r="I161" s="52" t="n">
        <v>1</v>
      </c>
      <c r="J161" s="52" t="n">
        <v>2</v>
      </c>
      <c r="K161" s="59" t="inlineStr">
        <is>
          <t>México</t>
        </is>
      </c>
      <c r="L161" s="290" t="n">
        <v>421478</v>
      </c>
      <c r="M161" s="291" t="n">
        <v>280000</v>
      </c>
      <c r="N161" s="292" t="n">
        <v>390000</v>
      </c>
      <c r="O161" s="292">
        <f>I161*N161</f>
        <v/>
      </c>
      <c r="P161" s="292">
        <f>J161*N161</f>
        <v/>
      </c>
      <c r="Q161" s="292">
        <f>SUM(O161:P161)</f>
        <v/>
      </c>
      <c r="R161" s="292">
        <f>Q161*$R$9</f>
        <v/>
      </c>
      <c r="S161" s="292">
        <f>SUM(Q161:R161)</f>
        <v/>
      </c>
      <c r="T161" s="56" t="inlineStr">
        <is>
          <t>Accesorios: No incluye
Consumibles: No incluye</t>
        </is>
      </c>
      <c r="U161" s="54" t="inlineStr">
        <is>
          <t>Durante la vigencia del contrato</t>
        </is>
      </c>
      <c r="V161" s="57" t="inlineStr">
        <is>
          <t>SI</t>
        </is>
      </c>
      <c r="W161" s="54" t="inlineStr">
        <is>
          <t>OFTALMO</t>
        </is>
      </c>
      <c r="X161" s="32" t="inlineStr">
        <is>
          <t>ALCON</t>
        </is>
      </c>
    </row>
    <row r="162" ht="140.4" customHeight="1" s="227">
      <c r="A162" s="49" t="n">
        <v>351</v>
      </c>
      <c r="B162" s="68" t="inlineStr">
        <is>
          <t>CDMX</t>
        </is>
      </c>
      <c r="D162" s="69" t="inlineStr">
        <is>
          <t>Sistema de diagnóstico oftálmico avanzado, marca Nidek, modelo OPD-Scan III</t>
        </is>
      </c>
      <c r="E162" s="68" t="inlineStr">
        <is>
          <t>470023</t>
        </is>
      </c>
      <c r="F162" s="69" t="inlineStr">
        <is>
          <t>H.M.E.O. Constituyentes</t>
        </is>
      </c>
      <c r="G162" s="50" t="inlineStr">
        <is>
          <t>Servicio de mantenimiento integral para: Sistema de diagnóstico oftálmico avanzado, marca Nidek, modelo OPD-Scan III, serie 470023;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62" s="51" t="inlineStr">
        <is>
          <t>Servicio</t>
        </is>
      </c>
      <c r="I162" s="52" t="n">
        <v>1</v>
      </c>
      <c r="J162" s="52" t="n">
        <v>2</v>
      </c>
      <c r="K162" s="59" t="inlineStr">
        <is>
          <t>México</t>
        </is>
      </c>
      <c r="L162" s="290" t="n">
        <v>206206.89</v>
      </c>
      <c r="M162" s="291" t="n">
        <v>40000</v>
      </c>
      <c r="N162" s="292" t="n">
        <v>150000</v>
      </c>
      <c r="O162" s="292">
        <f>I162*N162</f>
        <v/>
      </c>
      <c r="P162" s="292">
        <f>J162*N162</f>
        <v/>
      </c>
      <c r="Q162" s="292">
        <f>SUM(O162:P162)</f>
        <v/>
      </c>
      <c r="R162" s="292">
        <f>Q162*$R$9</f>
        <v/>
      </c>
      <c r="S162" s="292">
        <f>SUM(Q162:R162)</f>
        <v/>
      </c>
      <c r="T162" s="56" t="inlineStr">
        <is>
          <t>Accesorios: No incluye
Consumibles: No incluye</t>
        </is>
      </c>
      <c r="U162" s="54" t="inlineStr">
        <is>
          <t>Durante la vigencia del contrato</t>
        </is>
      </c>
      <c r="V162" s="57" t="inlineStr">
        <is>
          <t>SI</t>
        </is>
      </c>
      <c r="W162" s="54" t="inlineStr">
        <is>
          <t>OFTALMO</t>
        </is>
      </c>
      <c r="X162" s="32" t="inlineStr">
        <is>
          <t>S4</t>
        </is>
      </c>
    </row>
    <row r="163" ht="124.95" customHeight="1" s="227">
      <c r="A163" s="38" t="n">
        <v>353</v>
      </c>
      <c r="B163" s="68" t="inlineStr">
        <is>
          <t>CDMX</t>
        </is>
      </c>
      <c r="D163" s="69" t="inlineStr">
        <is>
          <t>Rayos X portátil, marca Carestream, modelo DRX Revolution</t>
        </is>
      </c>
      <c r="E163" s="68" t="inlineStr">
        <is>
          <t>21F0363</t>
        </is>
      </c>
      <c r="F163" s="69" t="inlineStr">
        <is>
          <t>U.M.C.E. Tlalpan</t>
        </is>
      </c>
      <c r="G163" s="39" t="inlineStr">
        <is>
          <t>Servicio de mantenimiento integral para: Rayos X portátil, marca Carestream, modelo DRX Revolution, serie 21F0363; ubicado en U.M.C.E. Tlalpan,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63" s="40" t="inlineStr">
        <is>
          <t>Servicio</t>
        </is>
      </c>
      <c r="I163" s="41" t="n">
        <v>1</v>
      </c>
      <c r="J163" s="65" t="n">
        <v>2</v>
      </c>
      <c r="K163" s="42" t="inlineStr">
        <is>
          <t>México</t>
        </is>
      </c>
      <c r="L163" s="293" t="n">
        <v>265000</v>
      </c>
      <c r="M163" s="293" t="n"/>
      <c r="N163" s="293" t="n">
        <v>250000</v>
      </c>
      <c r="O163" s="293">
        <f>I163*N163</f>
        <v/>
      </c>
      <c r="P163" s="293">
        <f>J163*N163</f>
        <v/>
      </c>
      <c r="Q163" s="293">
        <f>SUM(O163:P163)</f>
        <v/>
      </c>
      <c r="R163" s="293">
        <f>Q163*$R$9</f>
        <v/>
      </c>
      <c r="S163" s="293">
        <f>SUM(Q163:R163)</f>
        <v/>
      </c>
      <c r="T163" s="44" t="inlineStr">
        <is>
          <t>Accesorios: No incluye
Consumibles: No incluye</t>
        </is>
      </c>
      <c r="U163" s="45" t="inlineStr">
        <is>
          <t>Durante la vigencia del contrato</t>
        </is>
      </c>
      <c r="V163" s="46" t="inlineStr">
        <is>
          <t>SI</t>
        </is>
      </c>
      <c r="W163" s="47" t="inlineStr">
        <is>
          <t>IMAGEN</t>
        </is>
      </c>
    </row>
    <row r="164" ht="124.95" customHeight="1" s="227">
      <c r="A164" s="38" t="n">
        <v>354</v>
      </c>
      <c r="B164" s="68" t="inlineStr">
        <is>
          <t>TAMAULIPAS</t>
        </is>
      </c>
      <c r="D164" s="69" t="inlineStr">
        <is>
          <t>Rayos X portátil, marca Carestream, modelo DRX Revolution</t>
        </is>
      </c>
      <c r="E164" s="68" t="inlineStr">
        <is>
          <t>MM00296</t>
        </is>
      </c>
      <c r="F164" s="69" t="inlineStr">
        <is>
          <t>U.M.C.E. Reynosa</t>
        </is>
      </c>
      <c r="G164" s="39" t="inlineStr">
        <is>
          <t>Servicio de mantenimiento integral para: Rayos X portátil, marca Carestream, modelo DRX Revolution, serie MM00296;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H164" s="40" t="inlineStr">
        <is>
          <t>Servicio</t>
        </is>
      </c>
      <c r="I164" s="41" t="n">
        <v>1</v>
      </c>
      <c r="J164" s="65" t="n">
        <v>2</v>
      </c>
      <c r="K164" s="42" t="inlineStr">
        <is>
          <t>México</t>
        </is>
      </c>
      <c r="L164" s="293" t="n">
        <v>150000</v>
      </c>
      <c r="M164" s="293" t="n"/>
      <c r="N164" s="293" t="n">
        <v>250000</v>
      </c>
      <c r="O164" s="293">
        <f>I164*N164</f>
        <v/>
      </c>
      <c r="P164" s="293">
        <f>J164*N164</f>
        <v/>
      </c>
      <c r="Q164" s="293">
        <f>SUM(O164:P164)</f>
        <v/>
      </c>
      <c r="R164" s="293">
        <f>Q164*$R$9</f>
        <v/>
      </c>
      <c r="S164" s="293">
        <f>SUM(Q164:R164)</f>
        <v/>
      </c>
      <c r="T164" s="44" t="inlineStr">
        <is>
          <t>Accesorios: No incluye
Consumibles: No incluye</t>
        </is>
      </c>
      <c r="U164" s="45" t="inlineStr">
        <is>
          <t>Durante la vigencia del contrato</t>
        </is>
      </c>
      <c r="V164" s="46" t="inlineStr">
        <is>
          <t>NO</t>
        </is>
      </c>
      <c r="W164" s="47" t="inlineStr">
        <is>
          <t>IMAGEN</t>
        </is>
      </c>
    </row>
    <row r="165" ht="140.4" customHeight="1" s="227">
      <c r="A165" s="38" t="n">
        <v>355</v>
      </c>
      <c r="B165" s="68" t="inlineStr">
        <is>
          <t>OAXACA</t>
        </is>
      </c>
      <c r="D165" s="69" t="inlineStr">
        <is>
          <t>Sistema de digitalización de imágenes, marca Carestream, modelo Digitalizador: Direct</t>
        </is>
      </c>
      <c r="E165" s="68" t="inlineStr">
        <is>
          <t>Pendiente</t>
        </is>
      </c>
      <c r="F165" s="69" t="inlineStr">
        <is>
          <t>H.M.Z. Ixcotel</t>
        </is>
      </c>
      <c r="G165" s="39" t="inlineStr">
        <is>
          <t>Servicio de mantenimiento integral para: Sistema de digitalización de imágenes, marca Carestream, modelo Digitalizador: Direct, serie Pendiente;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65" s="40" t="inlineStr">
        <is>
          <t>Servicio</t>
        </is>
      </c>
      <c r="I165" s="41" t="n">
        <v>1</v>
      </c>
      <c r="J165" s="65" t="n">
        <v>2</v>
      </c>
      <c r="K165" s="42" t="inlineStr">
        <is>
          <t>México</t>
        </is>
      </c>
      <c r="L165" s="293" t="n">
        <v>138387.24</v>
      </c>
      <c r="M165" s="293" t="n"/>
      <c r="N165" s="293" t="n">
        <v>225000</v>
      </c>
      <c r="O165" s="293">
        <f>I165*N165</f>
        <v/>
      </c>
      <c r="P165" s="293">
        <f>J165*N165</f>
        <v/>
      </c>
      <c r="Q165" s="293">
        <f>SUM(O165:P165)</f>
        <v/>
      </c>
      <c r="R165" s="293">
        <f>Q165*$R$9</f>
        <v/>
      </c>
      <c r="S165" s="293">
        <f>SUM(Q165:R165)</f>
        <v/>
      </c>
      <c r="T165" s="44" t="inlineStr">
        <is>
          <t>Accesorios: No incluye
Consumibles: No incluye</t>
        </is>
      </c>
      <c r="U165" s="45" t="inlineStr">
        <is>
          <t>Durante la vigencia del contrato</t>
        </is>
      </c>
      <c r="V165" s="46" t="inlineStr">
        <is>
          <t>NO</t>
        </is>
      </c>
      <c r="W165" s="47" t="inlineStr">
        <is>
          <t>IMAGEN</t>
        </is>
      </c>
    </row>
    <row r="166" ht="124.95" customHeight="1" s="227">
      <c r="A166" s="49" t="n">
        <v>356</v>
      </c>
      <c r="B166" s="68" t="inlineStr">
        <is>
          <t>SINALOA</t>
        </is>
      </c>
      <c r="D166" s="69" t="inlineStr">
        <is>
          <t>Microscopio, marca Carl Zeiss, modelo OPMI</t>
        </is>
      </c>
      <c r="E166" s="68" t="inlineStr">
        <is>
          <t>6628503641</t>
        </is>
      </c>
      <c r="F166" s="69" t="inlineStr">
        <is>
          <t>H.M.R.E. Mazatlán</t>
        </is>
      </c>
      <c r="G166" s="50" t="inlineStr">
        <is>
          <t>Servicio de mantenimiento integral para: Microscopio, marca Carl Zeiss, modelo OPMI, serie 6628503641;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166" s="51" t="inlineStr">
        <is>
          <t>Servicio</t>
        </is>
      </c>
      <c r="I166" s="52" t="n">
        <v>1</v>
      </c>
      <c r="J166" s="61" t="n">
        <v>2</v>
      </c>
      <c r="K166" s="59" t="inlineStr">
        <is>
          <t>México</t>
        </is>
      </c>
      <c r="L166" s="290" t="n">
        <v>58960</v>
      </c>
      <c r="M166" s="291" t="inlineStr">
        <is>
          <t>NO</t>
        </is>
      </c>
      <c r="N166" s="292" t="n">
        <v>250000</v>
      </c>
      <c r="O166" s="292">
        <f>I166*N166</f>
        <v/>
      </c>
      <c r="P166" s="292">
        <f>J166*N166</f>
        <v/>
      </c>
      <c r="Q166" s="292">
        <f>SUM(O166:P166)</f>
        <v/>
      </c>
      <c r="R166" s="292">
        <f>Q166*$R$9</f>
        <v/>
      </c>
      <c r="S166" s="292">
        <f>SUM(Q166:R166)</f>
        <v/>
      </c>
      <c r="T166" s="56" t="inlineStr">
        <is>
          <t>Accesorios: No incluye
Consumibles: No incluye</t>
        </is>
      </c>
      <c r="U166" s="54" t="inlineStr">
        <is>
          <t>Durante la vigencia del contrato</t>
        </is>
      </c>
      <c r="V166" s="57" t="inlineStr">
        <is>
          <t>SI</t>
        </is>
      </c>
      <c r="W166" s="54" t="inlineStr">
        <is>
          <t>OFTALMO</t>
        </is>
      </c>
      <c r="X166" s="32" t="inlineStr">
        <is>
          <t>ZEISS</t>
        </is>
      </c>
    </row>
    <row r="167" ht="124.95" customHeight="1" s="227">
      <c r="A167" s="49" t="n">
        <v>357</v>
      </c>
      <c r="B167" s="68" t="inlineStr">
        <is>
          <t>NUEVO LEON</t>
        </is>
      </c>
      <c r="D167" s="69" t="inlineStr">
        <is>
          <t>Topógrafo corneal, marca Zeiss, modelo Atlas 9000</t>
        </is>
      </c>
      <c r="E167" s="68" t="inlineStr">
        <is>
          <t>9000-2972</t>
        </is>
      </c>
      <c r="F167" s="69" t="inlineStr">
        <is>
          <t>H.M.R.E. Monterrey</t>
        </is>
      </c>
      <c r="G167" s="50" t="inlineStr">
        <is>
          <t>Servicio de mantenimiento integral para: Topógrafo corneal, marca Zeiss, modelo Atlas 9000, serie 9000-2972;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H167" s="51" t="inlineStr">
        <is>
          <t>Servicio</t>
        </is>
      </c>
      <c r="I167" s="52" t="n">
        <v>1</v>
      </c>
      <c r="J167" s="61" t="n">
        <v>2</v>
      </c>
      <c r="K167" s="59" t="inlineStr">
        <is>
          <t>México</t>
        </is>
      </c>
      <c r="L167" s="290" t="n">
        <v>276244</v>
      </c>
      <c r="M167" s="291" t="inlineStr">
        <is>
          <t>P</t>
        </is>
      </c>
      <c r="N167" s="292" t="n">
        <v>270000</v>
      </c>
      <c r="O167" s="292">
        <f>I167*N167</f>
        <v/>
      </c>
      <c r="P167" s="292">
        <f>J167*N167</f>
        <v/>
      </c>
      <c r="Q167" s="292">
        <f>SUM(O167:P167)</f>
        <v/>
      </c>
      <c r="R167" s="292">
        <f>Q167*$R$9</f>
        <v/>
      </c>
      <c r="S167" s="292">
        <f>SUM(Q167:R167)</f>
        <v/>
      </c>
      <c r="T167" s="56" t="inlineStr">
        <is>
          <t>Accesorios: No incluye
Consumibles: No incluye</t>
        </is>
      </c>
      <c r="U167" s="54" t="inlineStr">
        <is>
          <t>Durante la vigencia del contrato</t>
        </is>
      </c>
      <c r="V167" s="57" t="inlineStr">
        <is>
          <t>SI</t>
        </is>
      </c>
      <c r="W167" s="54" t="inlineStr">
        <is>
          <t>OFTALMO</t>
        </is>
      </c>
      <c r="X167" s="32" t="inlineStr">
        <is>
          <t>ZEISS</t>
        </is>
      </c>
    </row>
    <row r="168" ht="124.95" customHeight="1" s="227">
      <c r="A168" s="49" t="n">
        <v>358</v>
      </c>
      <c r="B168" s="68" t="inlineStr">
        <is>
          <t>JALISCO</t>
        </is>
      </c>
      <c r="D168" s="69" t="inlineStr">
        <is>
          <t>Microscopio, marca Carl Zeiss, modelo OPMI Visu 160</t>
        </is>
      </c>
      <c r="E168" s="68" t="inlineStr">
        <is>
          <t>6213404030</t>
        </is>
      </c>
      <c r="F168" s="69" t="inlineStr">
        <is>
          <t>H.M.R.E. Guadalajara</t>
        </is>
      </c>
      <c r="G168" s="50" t="inlineStr">
        <is>
          <t>Servicio de mantenimiento integral para: Microscopio, marca Carl Zeiss, modelo OPMI Visu 160, serie 6213404030;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H168" s="51" t="inlineStr">
        <is>
          <t>Servicio</t>
        </is>
      </c>
      <c r="I168" s="52" t="n">
        <v>1</v>
      </c>
      <c r="J168" s="61" t="n">
        <v>2</v>
      </c>
      <c r="K168" s="59" t="inlineStr">
        <is>
          <t>México</t>
        </is>
      </c>
      <c r="L168" s="290" t="n">
        <v>58960</v>
      </c>
      <c r="M168" s="291" t="n"/>
      <c r="N168" s="292" t="n">
        <v>55000</v>
      </c>
      <c r="O168" s="292">
        <f>I168*N168</f>
        <v/>
      </c>
      <c r="P168" s="292">
        <f>J168*N168</f>
        <v/>
      </c>
      <c r="Q168" s="292">
        <f>SUM(O168:P168)</f>
        <v/>
      </c>
      <c r="R168" s="292">
        <f>Q168*$R$9</f>
        <v/>
      </c>
      <c r="S168" s="292">
        <f>SUM(Q168:R168)</f>
        <v/>
      </c>
      <c r="T168" s="56" t="inlineStr">
        <is>
          <t>Accesorios: No incluye
Consumibles: No incluye</t>
        </is>
      </c>
      <c r="U168" s="54" t="inlineStr">
        <is>
          <t>Durante la vigencia del contrato</t>
        </is>
      </c>
      <c r="V168" s="57" t="inlineStr">
        <is>
          <t>SI</t>
        </is>
      </c>
      <c r="W168" s="54" t="inlineStr">
        <is>
          <t>OFTALMO</t>
        </is>
      </c>
      <c r="X168" s="32" t="inlineStr">
        <is>
          <t>ZEISS</t>
        </is>
      </c>
    </row>
    <row r="169" ht="124.95" customHeight="1" s="227">
      <c r="A169" s="49" t="n">
        <v>359</v>
      </c>
      <c r="B169" s="68" t="inlineStr">
        <is>
          <t>EDO DE MEX</t>
        </is>
      </c>
      <c r="D169" s="69" t="inlineStr">
        <is>
          <t>Campímetro, marca Carl Zeiss, modelo Humphrey 750</t>
        </is>
      </c>
      <c r="E169" s="68" t="inlineStr">
        <is>
          <t>11974</t>
        </is>
      </c>
      <c r="F169" s="69" t="inlineStr">
        <is>
          <t>H.M.R. Santa Lucía</t>
        </is>
      </c>
      <c r="G169" s="50" t="inlineStr">
        <is>
          <t>Servicio de mantenimiento integral para: Campímetro, marca Carl Zeiss, modelo Humphrey 750, serie 11974;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69" s="51" t="inlineStr">
        <is>
          <t>Servicio</t>
        </is>
      </c>
      <c r="I169" s="52" t="n">
        <v>1</v>
      </c>
      <c r="J169" s="61" t="n">
        <v>2</v>
      </c>
      <c r="K169" s="59" t="inlineStr">
        <is>
          <t>México</t>
        </is>
      </c>
      <c r="L169" s="290" t="n">
        <v>88566.45</v>
      </c>
      <c r="M169" s="291" t="inlineStr">
        <is>
          <t>NO</t>
        </is>
      </c>
      <c r="N169" s="292" t="n">
        <v>250000</v>
      </c>
      <c r="O169" s="292">
        <f>I169*N169</f>
        <v/>
      </c>
      <c r="P169" s="292">
        <f>J169*N169</f>
        <v/>
      </c>
      <c r="Q169" s="292">
        <f>SUM(O169:P169)</f>
        <v/>
      </c>
      <c r="R169" s="292">
        <f>Q169*$R$9</f>
        <v/>
      </c>
      <c r="S169" s="292">
        <f>SUM(Q169:R169)</f>
        <v/>
      </c>
      <c r="T169" s="56" t="inlineStr">
        <is>
          <t>Accesorios: No incluye
Consumibles: No incluye</t>
        </is>
      </c>
      <c r="U169" s="54" t="inlineStr">
        <is>
          <t>Durante la vigencia del contrato</t>
        </is>
      </c>
      <c r="V169" s="57" t="inlineStr">
        <is>
          <t>SI</t>
        </is>
      </c>
      <c r="W169" s="54" t="inlineStr">
        <is>
          <t>OFTALMO</t>
        </is>
      </c>
      <c r="X169" s="32" t="inlineStr">
        <is>
          <t>ZEISS</t>
        </is>
      </c>
    </row>
    <row r="170" ht="124.95" customHeight="1" s="227">
      <c r="A170" s="38" t="n">
        <v>360</v>
      </c>
      <c r="B170" s="68" t="inlineStr">
        <is>
          <t>CHIAPAS</t>
        </is>
      </c>
      <c r="D170" s="69" t="inlineStr">
        <is>
          <t>Campímetro, marca Carl Zeiss Meditec, modelo Humphrey Matrix 800</t>
        </is>
      </c>
      <c r="E170" s="68" t="inlineStr">
        <is>
          <t>56000002990</t>
        </is>
      </c>
      <c r="F170" s="69" t="inlineStr">
        <is>
          <t>H.M.R. Tuxtla Gutiérrez</t>
        </is>
      </c>
      <c r="G170" s="39" t="inlineStr">
        <is>
          <t>Servicio de mantenimiento integral para: Campímetro, marca Carl Zeiss Meditec, modelo Humphrey Matrix 800, serie 56000002990;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70" s="40" t="inlineStr">
        <is>
          <t>Servicio</t>
        </is>
      </c>
      <c r="I170" s="41" t="n">
        <v>1</v>
      </c>
      <c r="J170" s="65" t="n">
        <v>2</v>
      </c>
      <c r="K170" s="42" t="inlineStr">
        <is>
          <t>México</t>
        </is>
      </c>
      <c r="L170" s="293" t="n">
        <v>94500</v>
      </c>
      <c r="M170" s="293" t="inlineStr">
        <is>
          <t>NO</t>
        </is>
      </c>
      <c r="N170" s="293" t="n">
        <v>250000</v>
      </c>
      <c r="O170" s="293">
        <f>I170*N170</f>
        <v/>
      </c>
      <c r="P170" s="293">
        <f>J170*N170</f>
        <v/>
      </c>
      <c r="Q170" s="293">
        <f>SUM(O170:P170)</f>
        <v/>
      </c>
      <c r="R170" s="293">
        <f>Q170*$R$9</f>
        <v/>
      </c>
      <c r="S170" s="293">
        <f>SUM(Q170:R170)</f>
        <v/>
      </c>
      <c r="T170" s="44" t="inlineStr">
        <is>
          <t>Accesorios: No incluye
Consumibles: No incluye</t>
        </is>
      </c>
      <c r="U170" s="45" t="inlineStr">
        <is>
          <t>Durante la vigencia del contrato</t>
        </is>
      </c>
      <c r="V170" s="46" t="inlineStr">
        <is>
          <t>SI</t>
        </is>
      </c>
      <c r="W170" s="45" t="inlineStr">
        <is>
          <t>OFTALMO</t>
        </is>
      </c>
      <c r="X170" s="32" t="inlineStr">
        <is>
          <t>ZEISS</t>
        </is>
      </c>
    </row>
    <row r="171" ht="124.95" customHeight="1" s="227">
      <c r="A171" s="49" t="n">
        <v>361</v>
      </c>
      <c r="B171" s="68" t="inlineStr">
        <is>
          <t>CHIAPAS</t>
        </is>
      </c>
      <c r="D171" s="69" t="inlineStr">
        <is>
          <t>Microscopio , marca Carl Zeiss, modelo OPMI Visu 160</t>
        </is>
      </c>
      <c r="E171" s="68" t="inlineStr">
        <is>
          <t>6629120864</t>
        </is>
      </c>
      <c r="F171" s="69" t="inlineStr">
        <is>
          <t>H.M.R. Tuxtla Gutiérrez</t>
        </is>
      </c>
      <c r="G171" s="50" t="inlineStr">
        <is>
          <t>Servicio de mantenimiento integral para: Microscopio , marca Carl Zeiss, modelo OPMI Visu 160, serie 6629120864;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71" s="51" t="inlineStr">
        <is>
          <t>Servicio</t>
        </is>
      </c>
      <c r="I171" s="52" t="n">
        <v>1</v>
      </c>
      <c r="J171" s="61" t="n">
        <v>2</v>
      </c>
      <c r="K171" s="59" t="inlineStr">
        <is>
          <t>México</t>
        </is>
      </c>
      <c r="L171" s="290" t="n">
        <v>58960</v>
      </c>
      <c r="M171" s="291" t="inlineStr">
        <is>
          <t>NO</t>
        </is>
      </c>
      <c r="N171" s="292" t="n">
        <v>250000</v>
      </c>
      <c r="O171" s="292">
        <f>I171*N171</f>
        <v/>
      </c>
      <c r="P171" s="292">
        <f>J171*N171</f>
        <v/>
      </c>
      <c r="Q171" s="292">
        <f>SUM(O171:P171)</f>
        <v/>
      </c>
      <c r="R171" s="292">
        <f>Q171*$R$9</f>
        <v/>
      </c>
      <c r="S171" s="292">
        <f>SUM(Q171:R171)</f>
        <v/>
      </c>
      <c r="T171" s="56" t="inlineStr">
        <is>
          <t>Accesorios: No incluye
Consumibles: No incluye</t>
        </is>
      </c>
      <c r="U171" s="54" t="inlineStr">
        <is>
          <t>Durante la vigencia del contrato</t>
        </is>
      </c>
      <c r="V171" s="57" t="inlineStr">
        <is>
          <t>SI</t>
        </is>
      </c>
      <c r="W171" s="54" t="inlineStr">
        <is>
          <t>OFTALMO</t>
        </is>
      </c>
      <c r="X171" s="32" t="inlineStr">
        <is>
          <t>ZEISS</t>
        </is>
      </c>
    </row>
    <row r="172" ht="124.95" customHeight="1" s="227">
      <c r="A172" s="49" t="n">
        <v>362</v>
      </c>
      <c r="B172" s="68" t="inlineStr">
        <is>
          <t>BAJA CALIFORNIA</t>
        </is>
      </c>
      <c r="D172" s="69" t="inlineStr">
        <is>
          <t>Microscopio, marca Carl Zeiss, modelo OPMI Visu 210</t>
        </is>
      </c>
      <c r="E172" s="68" t="inlineStr">
        <is>
          <t>662950</t>
        </is>
      </c>
      <c r="F172" s="69" t="inlineStr">
        <is>
          <t>H.M.R. La Paz</t>
        </is>
      </c>
      <c r="G172" s="50" t="inlineStr">
        <is>
          <t>Servicio de mantenimiento integral para: Microscopio, marca Carl Zeiss, modelo OPMI Visu 210, serie 662950;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H172" s="51" t="inlineStr">
        <is>
          <t>Servicio</t>
        </is>
      </c>
      <c r="I172" s="52" t="n">
        <v>1</v>
      </c>
      <c r="J172" s="61" t="n">
        <v>2</v>
      </c>
      <c r="K172" s="59" t="inlineStr">
        <is>
          <t>México</t>
        </is>
      </c>
      <c r="L172" s="290" t="n">
        <v>58960</v>
      </c>
      <c r="M172" s="291" t="inlineStr">
        <is>
          <t>NO</t>
        </is>
      </c>
      <c r="N172" s="292" t="n">
        <v>250000</v>
      </c>
      <c r="O172" s="292">
        <f>I172*N172</f>
        <v/>
      </c>
      <c r="P172" s="292">
        <f>J172*N172</f>
        <v/>
      </c>
      <c r="Q172" s="292">
        <f>SUM(O172:P172)</f>
        <v/>
      </c>
      <c r="R172" s="292">
        <f>Q172*$R$9</f>
        <v/>
      </c>
      <c r="S172" s="292">
        <f>SUM(Q172:R172)</f>
        <v/>
      </c>
      <c r="T172" s="56" t="inlineStr">
        <is>
          <t>Accesorios: No incluye
Consumibles: No incluye</t>
        </is>
      </c>
      <c r="U172" s="54" t="inlineStr">
        <is>
          <t>Durante la vigencia del contrato</t>
        </is>
      </c>
      <c r="V172" s="57" t="inlineStr">
        <is>
          <t>SI</t>
        </is>
      </c>
      <c r="W172" s="54" t="inlineStr">
        <is>
          <t>OFTALMO</t>
        </is>
      </c>
      <c r="X172" s="32" t="inlineStr">
        <is>
          <t>ZEISS</t>
        </is>
      </c>
    </row>
    <row r="173" ht="124.95" customHeight="1" s="227">
      <c r="A173" s="38" t="n">
        <v>363</v>
      </c>
      <c r="B173" s="68" t="inlineStr">
        <is>
          <t>TABASCO</t>
        </is>
      </c>
      <c r="D173" s="69" t="inlineStr">
        <is>
          <t>Campímetro, marca Carl Zeiss Meditec, modelo Humphrey 740I</t>
        </is>
      </c>
      <c r="E173" s="68" t="inlineStr">
        <is>
          <t>740I-14200</t>
        </is>
      </c>
      <c r="F173" s="69" t="inlineStr">
        <is>
          <t>H.M.Z. Villahermosa</t>
        </is>
      </c>
      <c r="G173" s="39" t="inlineStr">
        <is>
          <t>Servicio de mantenimiento integral para: Campímetro, marca Carl Zeiss Meditec, modelo Humphrey 740I, serie 740I-14200; ubicado en H.M.Z. Villahermosa, Tab.
Consistente en 1 evento de mantenimiento preventivo por semestre y todos los mantenimientos correctivos que se requieran para mantener, conservar y/o recuperar la operatividad del equipo al 100% durante el periodo de cobertura.</t>
        </is>
      </c>
      <c r="H173" s="40" t="inlineStr">
        <is>
          <t>Servicio</t>
        </is>
      </c>
      <c r="I173" s="41" t="n">
        <v>1</v>
      </c>
      <c r="J173" s="65" t="n">
        <v>2</v>
      </c>
      <c r="K173" s="42" t="inlineStr">
        <is>
          <t>México</t>
        </is>
      </c>
      <c r="L173" s="293" t="n">
        <v>198600</v>
      </c>
      <c r="M173" s="293" t="n">
        <v>100000</v>
      </c>
      <c r="N173" s="293" t="n">
        <v>195000</v>
      </c>
      <c r="O173" s="293">
        <f>I173*N173</f>
        <v/>
      </c>
      <c r="P173" s="293">
        <f>J173*N173</f>
        <v/>
      </c>
      <c r="Q173" s="293">
        <f>SUM(O173:P173)</f>
        <v/>
      </c>
      <c r="R173" s="293">
        <f>Q173*$R$9</f>
        <v/>
      </c>
      <c r="S173" s="293">
        <f>SUM(Q173:R173)</f>
        <v/>
      </c>
      <c r="T173" s="44" t="inlineStr">
        <is>
          <t>Accesorios: No incluye
Consumibles: No incluye</t>
        </is>
      </c>
      <c r="U173" s="45" t="inlineStr">
        <is>
          <t>Durante la vigencia del contrato</t>
        </is>
      </c>
      <c r="V173" s="46" t="inlineStr">
        <is>
          <t>SI</t>
        </is>
      </c>
      <c r="W173" s="45" t="inlineStr">
        <is>
          <t>OFTALMO</t>
        </is>
      </c>
      <c r="X173" s="32" t="inlineStr">
        <is>
          <t>ZEISS</t>
        </is>
      </c>
    </row>
    <row r="174" ht="124.95" customHeight="1" s="227">
      <c r="A174" s="38" t="n">
        <v>367</v>
      </c>
      <c r="B174" s="68" t="inlineStr">
        <is>
          <t>CHIHUAHUA</t>
        </is>
      </c>
      <c r="D174" s="69" t="inlineStr">
        <is>
          <t>Equipo de rayos X móvil, marca Primax, modelo Raybow dR</t>
        </is>
      </c>
      <c r="E174" s="68" t="inlineStr">
        <is>
          <t>10076715</t>
        </is>
      </c>
      <c r="F174" s="69" t="inlineStr">
        <is>
          <t>H.M.Z. Santa Gertrudis</t>
        </is>
      </c>
      <c r="G174" s="39" t="inlineStr">
        <is>
          <t>Servicio de mantenimiento integral para: Equipo de rayos X móvil, marca Primax, modelo Raybow dR, serie 10076715; ubicado en H.M.Z. Santa Gertrudis, Chih.
Consistente en 1 evento de mantenimiento preventivo por semestre y todos los mantenimientos correctivos que se requieran para mantener, conservar y/o recuperar la operatividad del equipo al 100% durante el periodo de cobertura.</t>
        </is>
      </c>
      <c r="H174" s="40" t="inlineStr">
        <is>
          <t>Servicio</t>
        </is>
      </c>
      <c r="I174" s="41" t="n">
        <v>1</v>
      </c>
      <c r="J174" s="65" t="n">
        <v>2</v>
      </c>
      <c r="K174" s="42" t="inlineStr">
        <is>
          <t>México</t>
        </is>
      </c>
      <c r="L174" s="293" t="n">
        <v>252360.8</v>
      </c>
      <c r="M174" s="293" t="n"/>
      <c r="N174" s="293" t="n">
        <v>250000</v>
      </c>
      <c r="O174" s="293">
        <f>I174*N174</f>
        <v/>
      </c>
      <c r="P174" s="293">
        <f>J174*N174</f>
        <v/>
      </c>
      <c r="Q174" s="293">
        <f>SUM(O174:P174)</f>
        <v/>
      </c>
      <c r="R174" s="293">
        <f>Q174*$R$9</f>
        <v/>
      </c>
      <c r="S174" s="293">
        <f>SUM(Q174:R174)</f>
        <v/>
      </c>
      <c r="T174" s="44" t="inlineStr">
        <is>
          <t>Accesorios: No incluye
Consumibles: No incluye</t>
        </is>
      </c>
      <c r="U174" s="45" t="inlineStr">
        <is>
          <t>Durante la vigencia del contrato</t>
        </is>
      </c>
      <c r="V174" s="46" t="inlineStr">
        <is>
          <t>SI</t>
        </is>
      </c>
      <c r="W174" s="47" t="inlineStr">
        <is>
          <t>IMAGEN</t>
        </is>
      </c>
    </row>
    <row r="175" ht="124.95" customHeight="1" s="227">
      <c r="A175" s="38" t="n">
        <v>368</v>
      </c>
      <c r="B175" s="68" t="inlineStr">
        <is>
          <t>BAJA CALIFORNIA SUR</t>
        </is>
      </c>
      <c r="D175" s="69" t="inlineStr">
        <is>
          <t>Equipo de rayos X móvil, marca Primax Internacional, modelo Raybow dR</t>
        </is>
      </c>
      <c r="E175" s="68" t="inlineStr">
        <is>
          <t>10106715</t>
        </is>
      </c>
      <c r="F175" s="69" t="inlineStr">
        <is>
          <t>H.M.Z. Guerrero Negro</t>
        </is>
      </c>
      <c r="G175" s="39" t="inlineStr">
        <is>
          <t>Servicio de mantenimiento integral para: Equipo de rayos X móvil, marca Primax Internacional, modelo Raybow dR, serie 10106715; ubicado en H.M.Z. Guerrero Negro, B.C.S..
Consistente en 1 evento de mantenimiento preventivo por semestre y todos los mantenimientos correctivos que se requieran para mantener, conservar y/o recuperar la operatividad del equipo al 100% durante el periodo de cobertura.</t>
        </is>
      </c>
      <c r="H175" s="40" t="inlineStr">
        <is>
          <t>Servicio</t>
        </is>
      </c>
      <c r="I175" s="41" t="n">
        <v>1</v>
      </c>
      <c r="J175" s="65" t="n">
        <v>2</v>
      </c>
      <c r="K175" s="42" t="inlineStr">
        <is>
          <t>México</t>
        </is>
      </c>
      <c r="L175" s="293" t="n">
        <v>216292.02</v>
      </c>
      <c r="M175" s="293" t="n"/>
      <c r="N175" s="293" t="n">
        <v>300000</v>
      </c>
      <c r="O175" s="293">
        <f>I175*N175</f>
        <v/>
      </c>
      <c r="P175" s="293">
        <f>J175*N175</f>
        <v/>
      </c>
      <c r="Q175" s="293">
        <f>SUM(O175:P175)</f>
        <v/>
      </c>
      <c r="R175" s="293">
        <f>Q175*$R$9</f>
        <v/>
      </c>
      <c r="S175" s="293">
        <f>SUM(Q175:R175)</f>
        <v/>
      </c>
      <c r="T175" s="44" t="inlineStr">
        <is>
          <t>Accesorios: No incluye
Consumibles: No incluye</t>
        </is>
      </c>
      <c r="U175" s="45" t="inlineStr">
        <is>
          <t>Durante la vigencia del contrato</t>
        </is>
      </c>
      <c r="V175" s="46" t="inlineStr">
        <is>
          <t>NO</t>
        </is>
      </c>
      <c r="W175" s="47" t="inlineStr">
        <is>
          <t>IMAGEN</t>
        </is>
      </c>
    </row>
    <row r="176" ht="124.95" customHeight="1" s="227">
      <c r="A176" s="38" t="n">
        <v>369</v>
      </c>
      <c r="B176" s="68" t="inlineStr">
        <is>
          <t>TAMAULIPAS</t>
        </is>
      </c>
      <c r="D176" s="69" t="inlineStr">
        <is>
          <t>Equipo de rayos X móvil, marca Primax, modelo Raybow dR</t>
        </is>
      </c>
      <c r="E176" s="68" t="inlineStr">
        <is>
          <t>10116715</t>
        </is>
      </c>
      <c r="F176" s="69" t="inlineStr">
        <is>
          <t>U.M.C.E. Reynosa</t>
        </is>
      </c>
      <c r="G176" s="39" t="inlineStr">
        <is>
          <t>Servicio de mantenimiento integral para: Equipo de rayos X móvil, marca Primax, modelo Raybow dR, serie 10116715;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H176" s="40" t="inlineStr">
        <is>
          <t>Servicio</t>
        </is>
      </c>
      <c r="I176" s="41" t="n">
        <v>1</v>
      </c>
      <c r="J176" s="65" t="n">
        <v>2</v>
      </c>
      <c r="K176" s="42" t="inlineStr">
        <is>
          <t>México</t>
        </is>
      </c>
      <c r="L176" s="293" t="n">
        <v>250000</v>
      </c>
      <c r="M176" s="293" t="n"/>
      <c r="N176" s="293" t="n">
        <v>300000</v>
      </c>
      <c r="O176" s="293">
        <f>I176*N176</f>
        <v/>
      </c>
      <c r="P176" s="293">
        <f>J176*N176</f>
        <v/>
      </c>
      <c r="Q176" s="293">
        <f>SUM(O176:P176)</f>
        <v/>
      </c>
      <c r="R176" s="293">
        <f>Q176*$R$9</f>
        <v/>
      </c>
      <c r="S176" s="293">
        <f>SUM(Q176:R176)</f>
        <v/>
      </c>
      <c r="T176" s="44" t="inlineStr">
        <is>
          <t>Accesorios: No incluye
Consumibles: No incluye</t>
        </is>
      </c>
      <c r="U176" s="45" t="inlineStr">
        <is>
          <t>Durante la vigencia del contrato</t>
        </is>
      </c>
      <c r="V176" s="46" t="inlineStr">
        <is>
          <t>NO</t>
        </is>
      </c>
      <c r="W176" s="47" t="inlineStr">
        <is>
          <t>IMAGEN</t>
        </is>
      </c>
    </row>
    <row r="177" ht="15.75" customHeight="1" s="227">
      <c r="I177" s="32">
        <f>SUM(I14:I176)</f>
        <v/>
      </c>
      <c r="J177" s="32">
        <f>SUM(J14:J176)</f>
        <v/>
      </c>
      <c r="L177" s="267" t="n"/>
      <c r="M177" s="291">
        <f>L177-N177</f>
        <v/>
      </c>
      <c r="O177" s="294">
        <f>SUM(O14:O176)</f>
        <v/>
      </c>
      <c r="P177" s="294">
        <f>SUM(P14:P176)</f>
        <v/>
      </c>
      <c r="Q177" s="294">
        <f>SUM(Q14:Q176)</f>
        <v/>
      </c>
      <c r="R177" s="294">
        <f>SUM(R14:R176)</f>
        <v/>
      </c>
      <c r="S177" s="294">
        <f>SUM(S14:S176)</f>
        <v/>
      </c>
    </row>
    <row r="178">
      <c r="I178" s="295">
        <f>SUM(I177:J177)</f>
        <v/>
      </c>
      <c r="J178" s="254" t="n"/>
      <c r="L178" s="267" t="n"/>
      <c r="M178" s="267" t="n"/>
    </row>
    <row r="179">
      <c r="G179" s="34" t="n"/>
      <c r="L179" s="267" t="n"/>
      <c r="M179" s="267" t="n"/>
    </row>
    <row r="180" ht="135.75" customHeight="1" s="227">
      <c r="G180" s="6" t="n"/>
      <c r="L180" s="267" t="n"/>
      <c r="M180" s="267" t="n"/>
    </row>
    <row r="181">
      <c r="L181" s="267" t="n"/>
      <c r="M181" s="267" t="n"/>
    </row>
    <row r="182">
      <c r="G182" s="35" t="inlineStr">
        <is>
          <t>Las condiciones de entrega son conforme a lo especificado en el "Anexo administrativo".</t>
        </is>
      </c>
      <c r="L182" s="267" t="n"/>
      <c r="M182" s="267" t="n"/>
    </row>
    <row r="183">
      <c r="G183" s="267" t="inlineStr">
        <is>
          <t>Los bienes requeridos son conforme a lo especificado en los anexos "Consolidado de necesidades",  "Anexos técnicos" y  "Anexo administrativo".</t>
        </is>
      </c>
      <c r="L183" s="267" t="n"/>
      <c r="M183" s="267" t="n"/>
    </row>
    <row r="184">
      <c r="G184" s="267" t="inlineStr">
        <is>
          <t>El porcentaje de garantia de cumplimiento será del 10%.</t>
        </is>
      </c>
      <c r="L184" s="267" t="n"/>
      <c r="M184" s="267" t="n"/>
    </row>
    <row r="185">
      <c r="G185" s="35" t="inlineStr">
        <is>
          <t>El lugar  de entrega:  será en las instalaciones de los diferentes escalones sanitarios donde se encuentran instalados los equipos médicos conforme al anexo "Consolidado de necesidades" y "Lugares de prestación de servicios".</t>
        </is>
      </c>
      <c r="L185" s="267" t="n"/>
      <c r="M185" s="267" t="n"/>
    </row>
    <row r="186">
      <c r="G186" s="35" t="inlineStr">
        <is>
          <t>La garantías que debe entregar: de calidad, de cumplimiento y de responsabilidad civil, serán conforme a lo especificado en el "Anexo administrativo".</t>
        </is>
      </c>
      <c r="L186" s="267" t="n"/>
      <c r="M186" s="267" t="n"/>
    </row>
    <row r="187">
      <c r="G187" s="267" t="inlineStr">
        <is>
          <t>El precio será fijo y definitivo desde el momento del fallo y durante la vigencia del contrato.</t>
        </is>
      </c>
      <c r="L187" s="267" t="n"/>
      <c r="M187" s="267" t="n"/>
    </row>
    <row r="188">
      <c r="G188" s="36" t="inlineStr">
        <is>
          <t>El precio está moneda nacional.</t>
        </is>
      </c>
      <c r="L188" s="267" t="n"/>
      <c r="M188" s="267" t="n"/>
    </row>
    <row r="189">
      <c r="G189" s="35" t="inlineStr">
        <is>
          <t>La forma y condiciones de pago será de acuerdo a lo especificado en el "Anexo administrativo".</t>
        </is>
      </c>
      <c r="L189" s="267" t="n"/>
      <c r="M189" s="267" t="n"/>
    </row>
    <row r="190" ht="15.75" customHeight="1" s="227">
      <c r="G190" s="37" t="inlineStr">
        <is>
          <t>Esta cotización tiene vigencia hasta el 30 Jun. 2026.</t>
        </is>
      </c>
      <c r="L190" s="267" t="n"/>
      <c r="M190" s="267" t="n"/>
    </row>
  </sheetData>
  <autoFilter ref="V12:X178"/>
  <mergeCells count="13">
    <mergeCell ref="I178:J178"/>
    <mergeCell ref="V10:X10"/>
    <mergeCell ref="I12:J12"/>
    <mergeCell ref="A12:A13"/>
    <mergeCell ref="H12:H13"/>
    <mergeCell ref="X12:X13"/>
    <mergeCell ref="L12:L13"/>
    <mergeCell ref="G12:G13"/>
    <mergeCell ref="M12:M13"/>
    <mergeCell ref="A11:X11"/>
    <mergeCell ref="N8:P8"/>
    <mergeCell ref="A5:G8"/>
    <mergeCell ref="W12:W13"/>
  </mergeCells>
  <conditionalFormatting sqref="E16:F16">
    <cfRule type="duplicateValues" priority="1" dxfId="0"/>
  </conditionalFormatting>
  <printOptions horizontalCentered="1" verticalCentered="1"/>
  <pageMargins left="0.3937007874015748" right="0.3937007874015748" top="0.3937007874015748" bottom="0.3937007874015748" header="0" footer="0"/>
  <pageSetup orientation="portrait" scale="3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116"/>
  <sheetViews>
    <sheetView topLeftCell="I137" zoomScaleNormal="100" workbookViewId="0">
      <selection activeCell="A1" sqref="A1:H1"/>
    </sheetView>
  </sheetViews>
  <sheetFormatPr baseColWidth="10" defaultColWidth="11.44140625" defaultRowHeight="15.6"/>
  <cols>
    <col width="10" customWidth="1" style="267" min="1" max="1"/>
    <col width="20" customWidth="1" style="267" min="2" max="2"/>
    <col width="60" customWidth="1" style="3" min="3" max="3"/>
    <col width="22" customWidth="1" style="267" min="4" max="4"/>
    <col width="42" customWidth="1" style="3" min="5" max="5"/>
    <col width="70" customWidth="1" style="267" min="6" max="6"/>
    <col width="14" customWidth="1" style="3" min="7" max="7"/>
    <col width="14" customWidth="1" style="227" min="8" max="8"/>
    <col width="18.33203125" customWidth="1" style="277" min="9" max="11"/>
    <col width="23.44140625" customWidth="1" style="277" min="12" max="12"/>
    <col width="17.109375" customWidth="1" style="277" min="13" max="13"/>
    <col width="24.33203125" customWidth="1" style="277" min="14" max="14"/>
    <col width="18" customWidth="1" style="267" min="15" max="15"/>
    <col width="21.88671875" customWidth="1" style="267" min="16" max="17"/>
    <col width="27.6640625" customWidth="1" style="267" min="18" max="18"/>
    <col width="19.109375" customWidth="1" style="267" min="19" max="19"/>
    <col width="24.33203125" customWidth="1" style="267" min="20" max="20"/>
    <col width="23.109375" customWidth="1" style="267" min="21" max="21"/>
    <col width="21.109375" customWidth="1" style="64" min="22" max="22"/>
    <col width="18" customWidth="1" style="5" min="23" max="23"/>
    <col width="21" bestFit="1" customWidth="1" style="5" min="24" max="24"/>
    <col width="47.6640625" customWidth="1" style="5" min="25" max="25"/>
    <col width="18" customWidth="1" style="5" min="26" max="26"/>
    <col width="11.44140625" customWidth="1" style="5" min="27" max="45"/>
    <col width="11.44140625" customWidth="1" style="5" min="46" max="16384"/>
  </cols>
  <sheetData>
    <row r="1">
      <c r="I1" s="267" t="n"/>
      <c r="J1" s="267" t="n"/>
      <c r="K1" s="267" t="n"/>
      <c r="L1" s="267" t="n"/>
      <c r="M1" s="267" t="n"/>
      <c r="N1" s="267" t="n"/>
    </row>
    <row r="2" ht="15.75" customHeight="1" s="227">
      <c r="A2" s="1" t="n"/>
      <c r="B2" s="1" t="n"/>
      <c r="I2" s="267" t="n"/>
      <c r="J2" s="267" t="n"/>
      <c r="K2" s="267" t="n"/>
      <c r="L2" s="267" t="n"/>
      <c r="M2" s="267" t="n"/>
      <c r="N2" s="267" t="n"/>
    </row>
    <row r="3" ht="15.75" customHeight="1" s="227">
      <c r="A3" s="1" t="n"/>
      <c r="B3" s="1" t="n"/>
      <c r="I3" s="267" t="n"/>
      <c r="J3" s="267" t="n"/>
      <c r="K3" s="267" t="n"/>
      <c r="L3" s="267" t="n"/>
      <c r="M3" s="267" t="n"/>
      <c r="N3" s="267" t="n"/>
    </row>
    <row r="4" ht="15.75" customHeight="1" s="227">
      <c r="A4" s="1" t="n"/>
      <c r="B4" s="1" t="n"/>
      <c r="F4" s="3" t="n"/>
      <c r="I4" s="267" t="n"/>
      <c r="J4" s="267" t="n"/>
      <c r="K4" s="267" t="n"/>
      <c r="L4" s="267" t="n"/>
      <c r="M4" s="267" t="n"/>
      <c r="N4" s="267" t="n"/>
    </row>
    <row r="5" ht="15.75" customHeight="1" s="227">
      <c r="A5" s="1" t="n"/>
      <c r="C5" s="267" t="n"/>
      <c r="E5" s="267" t="n"/>
      <c r="I5" s="267" t="n"/>
      <c r="J5" s="267" t="n"/>
      <c r="K5" s="267" t="n"/>
      <c r="L5" s="267" t="n"/>
      <c r="M5" s="267" t="n"/>
      <c r="N5" s="267" t="n"/>
    </row>
    <row r="6">
      <c r="C6" s="267" t="n"/>
      <c r="E6" s="267" t="n"/>
      <c r="I6" s="267" t="n"/>
      <c r="J6" s="267" t="n"/>
      <c r="K6" s="267" t="n"/>
      <c r="L6" s="267" t="n"/>
      <c r="M6" s="267" t="n"/>
      <c r="N6" s="267" t="n"/>
      <c r="R6" s="5" t="n"/>
    </row>
    <row r="7">
      <c r="C7" s="267" t="n"/>
      <c r="E7" s="267" t="n"/>
      <c r="I7" s="267" t="n"/>
      <c r="J7" s="267" t="n"/>
      <c r="K7" s="267" t="n"/>
      <c r="L7" s="267" t="n"/>
      <c r="M7" s="267" t="n"/>
      <c r="N7" s="267" t="n"/>
    </row>
    <row r="8" ht="33.75" customHeight="1" s="227">
      <c r="C8" s="267" t="n"/>
      <c r="E8" s="267" t="n"/>
      <c r="I8" s="267" t="n"/>
      <c r="J8" s="267" t="n"/>
      <c r="K8" s="267" t="n"/>
      <c r="L8" s="267" t="n"/>
      <c r="M8" s="267" t="n"/>
      <c r="N8" s="267" t="n"/>
      <c r="O8" s="266" t="inlineStr">
        <is>
          <t xml:space="preserve">
MEDICAL DIMEGAR S.A. DE C.V. </t>
        </is>
      </c>
    </row>
    <row r="9">
      <c r="I9" s="267" t="n"/>
      <c r="J9" s="267" t="n"/>
      <c r="K9" s="267" t="n"/>
      <c r="L9" s="267" t="n"/>
      <c r="M9" s="267" t="n"/>
      <c r="N9" s="267" t="n"/>
      <c r="S9" s="7" t="n">
        <v>0.16</v>
      </c>
    </row>
    <row r="10" ht="10.2" customFormat="1" customHeight="1" s="11">
      <c r="A10" s="255" t="n"/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4" t="n"/>
    </row>
    <row r="11" ht="31.95" customFormat="1" customHeight="1" s="265">
      <c r="A11" s="264" t="inlineStr">
        <is>
          <t xml:space="preserve">Nombre del proyecto:  "Servicio de Mantenimiento Integral a Equipos Médicos de Diversas Marcas". </t>
        </is>
      </c>
    </row>
    <row r="12" ht="31.2" customFormat="1" customHeight="1" s="17">
      <c r="A12" s="258" t="inlineStr">
        <is>
          <t>Partida</t>
        </is>
      </c>
      <c r="B12" s="257" t="inlineStr">
        <is>
          <t>Estado</t>
        </is>
      </c>
      <c r="C12" s="257" t="inlineStr">
        <is>
          <t>Equipo</t>
        </is>
      </c>
      <c r="D12" s="257" t="inlineStr">
        <is>
          <t>N/S</t>
        </is>
      </c>
      <c r="E12" s="257" t="inlineStr">
        <is>
          <t>Unidad Médica</t>
        </is>
      </c>
      <c r="F12" s="257" t="inlineStr">
        <is>
          <t>Descripcion del servicio</t>
        </is>
      </c>
      <c r="G12" s="257" t="inlineStr">
        <is>
          <t>Cantidad solicitada</t>
        </is>
      </c>
      <c r="H12" s="254" t="n"/>
      <c r="I12" s="263" t="inlineStr">
        <is>
          <t>costo</t>
        </is>
      </c>
      <c r="J12" s="263" t="inlineStr">
        <is>
          <t>costo</t>
        </is>
      </c>
      <c r="K12" s="263" t="inlineStr">
        <is>
          <t>costo</t>
        </is>
      </c>
      <c r="L12" s="269" t="inlineStr">
        <is>
          <t>Total sin I.V.A.</t>
        </is>
      </c>
      <c r="M12" s="269" t="inlineStr">
        <is>
          <t>I.V.A.</t>
        </is>
      </c>
      <c r="N12" s="269" t="inlineStr">
        <is>
          <t>Total con I.V.A.</t>
        </is>
      </c>
      <c r="O12" s="257" t="inlineStr">
        <is>
          <t>Precio Ofertado</t>
        </is>
      </c>
      <c r="P12" s="258" t="inlineStr">
        <is>
          <t>Precio unitario sin I.V.A.</t>
        </is>
      </c>
      <c r="Q12" s="258" t="inlineStr">
        <is>
          <t>Precio unitario sin I.V.A.</t>
        </is>
      </c>
      <c r="R12" s="257" t="inlineStr">
        <is>
          <t>Total sin I.V.A.</t>
        </is>
      </c>
      <c r="S12" s="257" t="inlineStr">
        <is>
          <t>I.V.A.</t>
        </is>
      </c>
      <c r="T12" s="257" t="inlineStr">
        <is>
          <t>Total con I.V.A.</t>
        </is>
      </c>
      <c r="U12" s="257" t="inlineStr">
        <is>
          <t>ESPECIALIDAD</t>
        </is>
      </c>
      <c r="V12" s="257" t="inlineStr">
        <is>
          <t>PROVEEDOR</t>
        </is>
      </c>
      <c r="W12" s="270" t="inlineStr">
        <is>
          <t>ADJUDICADO</t>
        </is>
      </c>
      <c r="X12" s="270" t="inlineStr">
        <is>
          <t>FALLO</t>
        </is>
      </c>
      <c r="Y12" s="272" t="inlineStr">
        <is>
          <t>OBSERVACIONES</t>
        </is>
      </c>
    </row>
    <row r="13" ht="25.5" customFormat="1" customHeight="1" s="26">
      <c r="A13" s="259" t="n"/>
      <c r="B13" s="259" t="n"/>
      <c r="C13" s="259" t="n"/>
      <c r="D13" s="259" t="n"/>
      <c r="E13" s="259" t="n"/>
      <c r="F13" s="259" t="n"/>
      <c r="G13" s="21" t="n">
        <v>2026</v>
      </c>
      <c r="H13" s="21" t="n">
        <v>2027</v>
      </c>
      <c r="I13" s="90" t="n">
        <v>2026</v>
      </c>
      <c r="J13" s="90" t="inlineStr">
        <is>
          <t>1ER 2027</t>
        </is>
      </c>
      <c r="K13" s="90" t="inlineStr">
        <is>
          <t>2DO 2027</t>
        </is>
      </c>
      <c r="L13" s="259" t="n"/>
      <c r="M13" s="259" t="n"/>
      <c r="N13" s="259" t="n"/>
      <c r="O13" s="259" t="n"/>
      <c r="P13" s="22" t="n">
        <v>2026</v>
      </c>
      <c r="Q13" s="23" t="n">
        <v>2027</v>
      </c>
      <c r="R13" s="259" t="n"/>
      <c r="S13" s="259" t="n"/>
      <c r="T13" s="259" t="n"/>
      <c r="U13" s="259" t="n"/>
      <c r="V13" s="259" t="n"/>
      <c r="W13" s="271" t="n"/>
      <c r="X13" s="271" t="n"/>
      <c r="Y13" s="271" t="n"/>
    </row>
    <row r="14" ht="28.2" customFormat="1" customHeight="1" s="29">
      <c r="A14" s="86" t="n">
        <v>6</v>
      </c>
      <c r="B14" s="87" t="inlineStr">
        <is>
          <t>CDMX</t>
        </is>
      </c>
      <c r="C14" s="93" t="inlineStr">
        <is>
          <t>Microscopio avanzado, marca Leica, modelo M320F12</t>
        </is>
      </c>
      <c r="D14" s="88" t="inlineStr">
        <is>
          <t>10724001</t>
        </is>
      </c>
      <c r="E14" s="94" t="inlineStr">
        <is>
          <t>H.C.M. Lomas de Sotelo</t>
        </is>
      </c>
      <c r="F14" s="95" t="inlineStr">
        <is>
          <t>Servicio de mantenimiento integral para: Microscopio avanzado, marca Leica, modelo M320F12, serie 10724001;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" s="79" t="n">
        <v>1</v>
      </c>
      <c r="H14" s="80" t="n">
        <v>2</v>
      </c>
      <c r="I14" s="291" t="n">
        <v>125000</v>
      </c>
      <c r="J14" s="291">
        <f>I14</f>
        <v/>
      </c>
      <c r="K14" s="291">
        <f>J14</f>
        <v/>
      </c>
      <c r="L14" s="291">
        <f>SUM(I14:K14)</f>
        <v/>
      </c>
      <c r="M14" s="291">
        <f>L14*0.16</f>
        <v/>
      </c>
      <c r="N14" s="291">
        <f>SUM(L14:M14)</f>
        <v/>
      </c>
      <c r="O14" s="296" t="n">
        <v>150000</v>
      </c>
      <c r="P14" s="296">
        <f>G14*O14</f>
        <v/>
      </c>
      <c r="Q14" s="296">
        <f>H14*O14</f>
        <v/>
      </c>
      <c r="R14" s="296">
        <f>SUM(P14:Q14)</f>
        <v/>
      </c>
      <c r="S14" s="296">
        <f>R14*$S$9</f>
        <v/>
      </c>
      <c r="T14" s="296">
        <f>SUM(R14:S14)</f>
        <v/>
      </c>
      <c r="U14" s="78" t="inlineStr">
        <is>
          <t>OFTALMO</t>
        </is>
      </c>
      <c r="V14" s="82" t="inlineStr">
        <is>
          <t>COINDISA</t>
        </is>
      </c>
      <c r="W14" s="83" t="inlineStr">
        <is>
          <t>ADJUDICADO</t>
        </is>
      </c>
      <c r="X14" s="29" t="inlineStr">
        <is>
          <t>PROYECTADO</t>
        </is>
      </c>
    </row>
    <row r="15" ht="28.2" customFormat="1" customHeight="1" s="29">
      <c r="A15" s="86" t="n">
        <v>16</v>
      </c>
      <c r="B15" s="68" t="inlineStr">
        <is>
          <t>OAXACA</t>
        </is>
      </c>
      <c r="C15" s="72" t="inlineStr">
        <is>
          <t>Sistema de diagnóstico oftálmico avanzado, marca Heidelberg Engineering, modelo Anterion</t>
        </is>
      </c>
      <c r="D15" s="73" t="inlineStr">
        <is>
          <t>01827B0106</t>
        </is>
      </c>
      <c r="E15" s="72" t="inlineStr">
        <is>
          <t>H.M.Z. Ixcotel</t>
        </is>
      </c>
      <c r="F15" s="95" t="inlineStr">
        <is>
          <t>Servicio de mantenimiento integral para: Sistema de diagnóstico oftálmico avanzado, marca Heidelberg Engineering, modelo Anterion, serie 01827B0106;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5" s="79" t="n">
        <v>1</v>
      </c>
      <c r="H15" s="80" t="n">
        <v>2</v>
      </c>
      <c r="I15" s="291" t="n">
        <v>77500</v>
      </c>
      <c r="J15" s="291">
        <f>I15</f>
        <v/>
      </c>
      <c r="K15" s="291">
        <f>J15</f>
        <v/>
      </c>
      <c r="L15" s="291">
        <f>SUM(I15:K15)</f>
        <v/>
      </c>
      <c r="M15" s="291">
        <f>L15*0.16</f>
        <v/>
      </c>
      <c r="N15" s="291">
        <f>SUM(L15:M15)</f>
        <v/>
      </c>
      <c r="O15" s="296" t="n">
        <v>180000</v>
      </c>
      <c r="P15" s="296">
        <f>G15*O15</f>
        <v/>
      </c>
      <c r="Q15" s="296">
        <f>H15*O15</f>
        <v/>
      </c>
      <c r="R15" s="296">
        <f>SUM(P15:Q15)</f>
        <v/>
      </c>
      <c r="S15" s="296">
        <f>R15*$S$9</f>
        <v/>
      </c>
      <c r="T15" s="296">
        <f>SUM(R15:S15)</f>
        <v/>
      </c>
      <c r="U15" s="78" t="inlineStr">
        <is>
          <t>OFTALMO</t>
        </is>
      </c>
      <c r="V15" s="82" t="inlineStr">
        <is>
          <t>ARFAMEX</t>
        </is>
      </c>
      <c r="W15" s="83" t="inlineStr">
        <is>
          <t>ADJUDICADO</t>
        </is>
      </c>
      <c r="X15" s="29" t="inlineStr">
        <is>
          <t>PROYECTADO</t>
        </is>
      </c>
    </row>
    <row r="16" ht="28.2" customFormat="1" customHeight="1" s="29">
      <c r="A16" s="86" t="n">
        <v>17</v>
      </c>
      <c r="B16" s="68" t="inlineStr">
        <is>
          <t>OAXACA</t>
        </is>
      </c>
      <c r="C16" s="69" t="inlineStr">
        <is>
          <t>Sistema de diagnóstico oftálmico avanzado, marca Heidelberg Engineering, modelo Spectralis</t>
        </is>
      </c>
      <c r="D16" s="70" t="inlineStr">
        <is>
          <t>SPEC-CAM-22694-S3610</t>
        </is>
      </c>
      <c r="E16" s="71" t="inlineStr">
        <is>
          <t>H.M.Z. Ixcotel</t>
        </is>
      </c>
      <c r="F16" s="95" t="inlineStr">
        <is>
          <t>Servicio de mantenimiento integral para: Sistema de diagnóstico oftálmico avanzado, marca Heidelberg Engineering, modelo Spectralis, serie SPEC-CAM-22694-S3610;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6" s="79" t="n">
        <v>1</v>
      </c>
      <c r="H16" s="80" t="n">
        <v>2</v>
      </c>
      <c r="I16" s="291" t="n">
        <v>122850</v>
      </c>
      <c r="J16" s="291">
        <f>I16</f>
        <v/>
      </c>
      <c r="K16" s="291">
        <f>J16</f>
        <v/>
      </c>
      <c r="L16" s="291">
        <f>SUM(I16:K16)</f>
        <v/>
      </c>
      <c r="M16" s="291">
        <f>L16*0.16</f>
        <v/>
      </c>
      <c r="N16" s="291">
        <f>SUM(L16:M16)</f>
        <v/>
      </c>
      <c r="O16" s="296" t="n">
        <v>225000</v>
      </c>
      <c r="P16" s="296">
        <f>G16*O16</f>
        <v/>
      </c>
      <c r="Q16" s="296">
        <f>H16*O16</f>
        <v/>
      </c>
      <c r="R16" s="296">
        <f>SUM(P16:Q16)</f>
        <v/>
      </c>
      <c r="S16" s="296">
        <f>R16*$S$9</f>
        <v/>
      </c>
      <c r="T16" s="296">
        <f>SUM(R16:S16)</f>
        <v/>
      </c>
      <c r="U16" s="78" t="inlineStr">
        <is>
          <t>OFTALMO</t>
        </is>
      </c>
      <c r="V16" s="82" t="inlineStr">
        <is>
          <t>ARFAMEX</t>
        </is>
      </c>
      <c r="W16" s="83" t="inlineStr">
        <is>
          <t>ADJUDICADO</t>
        </is>
      </c>
      <c r="X16" s="29" t="inlineStr">
        <is>
          <t>PROYECTADO</t>
        </is>
      </c>
    </row>
    <row r="17" ht="28.2" customFormat="1" customHeight="1" s="29">
      <c r="A17" s="86" t="n">
        <v>19</v>
      </c>
      <c r="B17" s="68" t="inlineStr">
        <is>
          <t>CDMX</t>
        </is>
      </c>
      <c r="C17" s="72" t="inlineStr">
        <is>
          <t>Sistema de facoemulsificación, marca Alcon, modelo Centurion</t>
        </is>
      </c>
      <c r="D17" s="73" t="inlineStr">
        <is>
          <t>2201601801X</t>
        </is>
      </c>
      <c r="E17" s="72" t="inlineStr">
        <is>
          <t>H.M.E.O. Constituyentes</t>
        </is>
      </c>
      <c r="F17" s="95" t="inlineStr">
        <is>
          <t>Servicio de mantenimiento integral para: Sistema de facoemulsificación, marca Alcon, modelo Centurion, serie 2201601801X;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7" s="79" t="n">
        <v>1</v>
      </c>
      <c r="H17" s="80" t="n">
        <v>2</v>
      </c>
      <c r="I17" s="291" t="n">
        <v>75000</v>
      </c>
      <c r="J17" s="291">
        <f>I17</f>
        <v/>
      </c>
      <c r="K17" s="291">
        <f>J17</f>
        <v/>
      </c>
      <c r="L17" s="291">
        <f>SUM(I17:K17)</f>
        <v/>
      </c>
      <c r="M17" s="291">
        <f>L17*0.16</f>
        <v/>
      </c>
      <c r="N17" s="291">
        <f>SUM(L17:M17)</f>
        <v/>
      </c>
      <c r="O17" s="296" t="n">
        <v>160000</v>
      </c>
      <c r="P17" s="296">
        <f>G17*O17</f>
        <v/>
      </c>
      <c r="Q17" s="296">
        <f>H17*O17</f>
        <v/>
      </c>
      <c r="R17" s="296">
        <f>SUM(P17:Q17)</f>
        <v/>
      </c>
      <c r="S17" s="296">
        <f>R17*$S$9</f>
        <v/>
      </c>
      <c r="T17" s="296">
        <f>SUM(R17:S17)</f>
        <v/>
      </c>
      <c r="U17" s="78" t="inlineStr">
        <is>
          <t>OFTALMO</t>
        </is>
      </c>
      <c r="V17" s="82" t="inlineStr">
        <is>
          <t>ALCON</t>
        </is>
      </c>
      <c r="W17" s="83" t="inlineStr">
        <is>
          <t>ADJUDICADO</t>
        </is>
      </c>
      <c r="X17" s="29" t="inlineStr">
        <is>
          <t>PROYECTADO</t>
        </is>
      </c>
    </row>
    <row r="18" ht="28.2" customFormat="1" customHeight="1" s="29">
      <c r="A18" s="86" t="n">
        <v>20</v>
      </c>
      <c r="B18" s="68" t="inlineStr">
        <is>
          <t>CDMX</t>
        </is>
      </c>
      <c r="C18" s="72" t="inlineStr">
        <is>
          <t>Sistema de facoemulsificación, marca Alcon, modelo Centurion</t>
        </is>
      </c>
      <c r="D18" s="68" t="inlineStr">
        <is>
          <t>2201483301X</t>
        </is>
      </c>
      <c r="E18" s="69" t="inlineStr">
        <is>
          <t>H.M.E.O. Constituyentes</t>
        </is>
      </c>
      <c r="F18" s="95" t="inlineStr">
        <is>
          <t>Servicio de mantenimiento integral para: Sistema de facoemulsificación, marca Alcon, modelo Centurion, serie 2201483301X;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8" s="79" t="n">
        <v>1</v>
      </c>
      <c r="H18" s="80" t="n">
        <v>2</v>
      </c>
      <c r="I18" s="291" t="n">
        <v>75000</v>
      </c>
      <c r="J18" s="291">
        <f>I18</f>
        <v/>
      </c>
      <c r="K18" s="291">
        <f>J18</f>
        <v/>
      </c>
      <c r="L18" s="291">
        <f>SUM(I18:K18)</f>
        <v/>
      </c>
      <c r="M18" s="291">
        <f>L18*0.16</f>
        <v/>
      </c>
      <c r="N18" s="291">
        <f>SUM(L18:M18)</f>
        <v/>
      </c>
      <c r="O18" s="296" t="n">
        <v>160000</v>
      </c>
      <c r="P18" s="296">
        <f>G18*O18</f>
        <v/>
      </c>
      <c r="Q18" s="296">
        <f>H18*O18</f>
        <v/>
      </c>
      <c r="R18" s="296">
        <f>SUM(P18:Q18)</f>
        <v/>
      </c>
      <c r="S18" s="296">
        <f>R18*$S$9</f>
        <v/>
      </c>
      <c r="T18" s="296">
        <f>SUM(R18:S18)</f>
        <v/>
      </c>
      <c r="U18" s="78" t="inlineStr">
        <is>
          <t>OFTALMO</t>
        </is>
      </c>
      <c r="V18" s="82" t="inlineStr">
        <is>
          <t>ALCON</t>
        </is>
      </c>
      <c r="W18" s="83" t="inlineStr">
        <is>
          <t>ADJUDICADO</t>
        </is>
      </c>
      <c r="X18" s="29" t="inlineStr">
        <is>
          <t>PROYECTADO</t>
        </is>
      </c>
    </row>
    <row r="19" ht="28.2" customFormat="1" customHeight="1" s="29">
      <c r="A19" s="86" t="n">
        <v>21</v>
      </c>
      <c r="B19" s="68" t="inlineStr">
        <is>
          <t>CDMX</t>
        </is>
      </c>
      <c r="C19" s="72" t="inlineStr">
        <is>
          <t>Sistema de facoemulsificación, marca Alcon, modelo Centurion</t>
        </is>
      </c>
      <c r="D19" s="73" t="inlineStr">
        <is>
          <t>2201602101X</t>
        </is>
      </c>
      <c r="E19" s="72" t="inlineStr">
        <is>
          <t>H.M.E.O. Constituyentes</t>
        </is>
      </c>
      <c r="F19" s="96" t="inlineStr">
        <is>
          <t>Servicio de mantenimiento integral para: Sistema de facoemulsificación, marca Alcon, modelo Centurion, serie 2201602101X;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9" s="79" t="n">
        <v>1</v>
      </c>
      <c r="H19" s="80" t="n">
        <v>2</v>
      </c>
      <c r="I19" s="291" t="n">
        <v>75000</v>
      </c>
      <c r="J19" s="291">
        <f>I19</f>
        <v/>
      </c>
      <c r="K19" s="291">
        <f>J19</f>
        <v/>
      </c>
      <c r="L19" s="291">
        <f>SUM(I19:K19)</f>
        <v/>
      </c>
      <c r="M19" s="291">
        <f>L19*0.16</f>
        <v/>
      </c>
      <c r="N19" s="291">
        <f>SUM(L19:M19)</f>
        <v/>
      </c>
      <c r="O19" s="296" t="n">
        <v>160000</v>
      </c>
      <c r="P19" s="296">
        <f>G19*O19</f>
        <v/>
      </c>
      <c r="Q19" s="296">
        <f>H19*O19</f>
        <v/>
      </c>
      <c r="R19" s="296">
        <f>SUM(P19:Q19)</f>
        <v/>
      </c>
      <c r="S19" s="296">
        <f>R19*$S$9</f>
        <v/>
      </c>
      <c r="T19" s="296">
        <f>SUM(R19:S19)</f>
        <v/>
      </c>
      <c r="U19" s="78" t="inlineStr">
        <is>
          <t>OFTALMO</t>
        </is>
      </c>
      <c r="V19" s="82" t="inlineStr">
        <is>
          <t>ALCON</t>
        </is>
      </c>
      <c r="W19" s="83" t="inlineStr">
        <is>
          <t>ADJUDICADO</t>
        </is>
      </c>
      <c r="X19" s="29" t="inlineStr">
        <is>
          <t>PROYECTADO</t>
        </is>
      </c>
    </row>
    <row r="20" ht="28.2" customFormat="1" customHeight="1" s="29">
      <c r="A20" s="86" t="n">
        <v>22</v>
      </c>
      <c r="B20" s="68" t="inlineStr">
        <is>
          <t>CDMX</t>
        </is>
      </c>
      <c r="C20" s="72" t="inlineStr">
        <is>
          <t>Sistema de facoemulsificación, marca Alcon, modelo Centurion</t>
        </is>
      </c>
      <c r="D20" s="68" t="inlineStr">
        <is>
          <t>2202291501X</t>
        </is>
      </c>
      <c r="E20" s="69" t="inlineStr">
        <is>
          <t>H.M.E.O. Constituyentes</t>
        </is>
      </c>
      <c r="F20" s="95" t="inlineStr">
        <is>
          <t>Servicio de mantenimiento integral para: Sistema de facoemulsificación, marca Alcon, modelo Centurion, serie 2202291501X;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0" s="79" t="n">
        <v>1</v>
      </c>
      <c r="H20" s="80" t="n">
        <v>2</v>
      </c>
      <c r="I20" s="291" t="n">
        <v>75000</v>
      </c>
      <c r="J20" s="291">
        <f>I20</f>
        <v/>
      </c>
      <c r="K20" s="291">
        <f>J20</f>
        <v/>
      </c>
      <c r="L20" s="291">
        <f>SUM(I20:K20)</f>
        <v/>
      </c>
      <c r="M20" s="291">
        <f>L20*0.16</f>
        <v/>
      </c>
      <c r="N20" s="291">
        <f>SUM(L20:M20)</f>
        <v/>
      </c>
      <c r="O20" s="296" t="n">
        <v>160000</v>
      </c>
      <c r="P20" s="296">
        <f>G20*O20</f>
        <v/>
      </c>
      <c r="Q20" s="296">
        <f>H20*O20</f>
        <v/>
      </c>
      <c r="R20" s="296">
        <f>SUM(P20:Q20)</f>
        <v/>
      </c>
      <c r="S20" s="296">
        <f>R20*$S$9</f>
        <v/>
      </c>
      <c r="T20" s="296">
        <f>SUM(R20:S20)</f>
        <v/>
      </c>
      <c r="U20" s="78" t="inlineStr">
        <is>
          <t>OFTALMO</t>
        </is>
      </c>
      <c r="V20" s="82" t="inlineStr">
        <is>
          <t>ALCON</t>
        </is>
      </c>
      <c r="W20" s="83" t="inlineStr">
        <is>
          <t>ADJUDICADO</t>
        </is>
      </c>
      <c r="X20" s="29" t="inlineStr">
        <is>
          <t>PROYECTADO</t>
        </is>
      </c>
    </row>
    <row r="21" ht="28.2" customFormat="1" customHeight="1" s="29">
      <c r="A21" s="86" t="n">
        <v>23</v>
      </c>
      <c r="B21" s="68" t="inlineStr">
        <is>
          <t>CDMX</t>
        </is>
      </c>
      <c r="C21" s="72" t="inlineStr">
        <is>
          <t>Sistema de cirugía vitreorretiniana, marca Alcon, modelo Constellation</t>
        </is>
      </c>
      <c r="D21" s="73" t="inlineStr">
        <is>
          <t>2201508001X</t>
        </is>
      </c>
      <c r="E21" s="72" t="inlineStr">
        <is>
          <t>H.M.E.O. Constituyentes</t>
        </is>
      </c>
      <c r="F21" s="95" t="inlineStr">
        <is>
          <t>Servicio de mantenimiento integral para: Sistema de cirugía vitreorretiniana, marca Alcon, modelo Constellation, serie 2201508001X;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1" s="79" t="n">
        <v>1</v>
      </c>
      <c r="H21" s="80" t="n">
        <v>2</v>
      </c>
      <c r="I21" s="291" t="n">
        <v>120000</v>
      </c>
      <c r="J21" s="291">
        <f>I21</f>
        <v/>
      </c>
      <c r="K21" s="291">
        <f>J21</f>
        <v/>
      </c>
      <c r="L21" s="291">
        <f>SUM(I21:K21)</f>
        <v/>
      </c>
      <c r="M21" s="291">
        <f>L21*0.16</f>
        <v/>
      </c>
      <c r="N21" s="291">
        <f>SUM(L21:M21)</f>
        <v/>
      </c>
      <c r="O21" s="296" t="n">
        <v>350000</v>
      </c>
      <c r="P21" s="296">
        <f>G21*O21</f>
        <v/>
      </c>
      <c r="Q21" s="296">
        <f>H21*O21</f>
        <v/>
      </c>
      <c r="R21" s="296">
        <f>SUM(P21:Q21)</f>
        <v/>
      </c>
      <c r="S21" s="296">
        <f>R21*$S$9</f>
        <v/>
      </c>
      <c r="T21" s="296">
        <f>SUM(R21:S21)</f>
        <v/>
      </c>
      <c r="U21" s="78" t="inlineStr">
        <is>
          <t>OFTALMO</t>
        </is>
      </c>
      <c r="V21" s="82" t="inlineStr">
        <is>
          <t>ALCON</t>
        </is>
      </c>
      <c r="W21" s="83" t="inlineStr">
        <is>
          <t>ADJUDICADO</t>
        </is>
      </c>
      <c r="X21" s="29" t="inlineStr">
        <is>
          <t>PROYECTADO</t>
        </is>
      </c>
    </row>
    <row r="22" ht="28.2" customFormat="1" customHeight="1" s="29">
      <c r="A22" s="86" t="n">
        <v>24</v>
      </c>
      <c r="B22" s="68" t="inlineStr">
        <is>
          <t>CDMX</t>
        </is>
      </c>
      <c r="C22" s="72" t="inlineStr">
        <is>
          <t>Sistema de cirugía vitreorretiniana, marca Alcon, modelo Constellation</t>
        </is>
      </c>
      <c r="D22" s="73" t="inlineStr">
        <is>
          <t>2201508101X</t>
        </is>
      </c>
      <c r="E22" s="72" t="inlineStr">
        <is>
          <t>H.M.E.O. Constituyentes</t>
        </is>
      </c>
      <c r="F22" s="96" t="inlineStr">
        <is>
          <t>Servicio de mantenimiento integral para: Sistema de cirugía vitreorretiniana, marca Alcon, modelo Constellation, serie 2201508101X;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2" s="79" t="n">
        <v>1</v>
      </c>
      <c r="H22" s="80" t="n">
        <v>2</v>
      </c>
      <c r="I22" s="291" t="n">
        <v>120000</v>
      </c>
      <c r="J22" s="291">
        <f>I22</f>
        <v/>
      </c>
      <c r="K22" s="291">
        <f>J22</f>
        <v/>
      </c>
      <c r="L22" s="291">
        <f>SUM(I22:K22)</f>
        <v/>
      </c>
      <c r="M22" s="291">
        <f>L22*0.16</f>
        <v/>
      </c>
      <c r="N22" s="291">
        <f>SUM(L22:M22)</f>
        <v/>
      </c>
      <c r="O22" s="296" t="n">
        <v>350000</v>
      </c>
      <c r="P22" s="296">
        <f>G22*O22</f>
        <v/>
      </c>
      <c r="Q22" s="296">
        <f>H22*O22</f>
        <v/>
      </c>
      <c r="R22" s="296">
        <f>SUM(P22:Q22)</f>
        <v/>
      </c>
      <c r="S22" s="296">
        <f>R22*$S$9</f>
        <v/>
      </c>
      <c r="T22" s="296">
        <f>SUM(R22:S22)</f>
        <v/>
      </c>
      <c r="U22" s="78" t="inlineStr">
        <is>
          <t>OFTALMO</t>
        </is>
      </c>
      <c r="V22" s="82" t="inlineStr">
        <is>
          <t>ALCON</t>
        </is>
      </c>
      <c r="W22" s="83" t="inlineStr">
        <is>
          <t>ADJUDICADO</t>
        </is>
      </c>
      <c r="X22" s="29" t="inlineStr">
        <is>
          <t>PROYECTADO</t>
        </is>
      </c>
    </row>
    <row r="23" ht="28.2" customFormat="1" customHeight="1" s="29">
      <c r="A23" s="86" t="n">
        <v>25</v>
      </c>
      <c r="B23" s="68" t="inlineStr">
        <is>
          <t>CDMX</t>
        </is>
      </c>
      <c r="C23" s="72" t="inlineStr">
        <is>
          <t>Sistema de cirugía vitreorretiniana, marca Alcon, modelo Constellation</t>
        </is>
      </c>
      <c r="D23" s="68" t="inlineStr">
        <is>
          <t>2201541901X</t>
        </is>
      </c>
      <c r="E23" s="69" t="inlineStr">
        <is>
          <t>H.M.E.O. Constituyentes</t>
        </is>
      </c>
      <c r="F23" s="95" t="inlineStr">
        <is>
          <t>Servicio de mantenimiento integral para: Sistema de cirugía vitreorretiniana, marca Alcon, modelo Constellation, serie 2201541901X;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3" s="79" t="n">
        <v>1</v>
      </c>
      <c r="H23" s="80" t="n">
        <v>2</v>
      </c>
      <c r="I23" s="291" t="n">
        <v>120000</v>
      </c>
      <c r="J23" s="291">
        <f>I23</f>
        <v/>
      </c>
      <c r="K23" s="291">
        <f>J23</f>
        <v/>
      </c>
      <c r="L23" s="291">
        <f>SUM(I23:K23)</f>
        <v/>
      </c>
      <c r="M23" s="291">
        <f>L23*0.16</f>
        <v/>
      </c>
      <c r="N23" s="291">
        <f>SUM(L23:M23)</f>
        <v/>
      </c>
      <c r="O23" s="296" t="n">
        <v>350000</v>
      </c>
      <c r="P23" s="296">
        <f>G23*O23</f>
        <v/>
      </c>
      <c r="Q23" s="296">
        <f>H23*O23</f>
        <v/>
      </c>
      <c r="R23" s="296">
        <f>SUM(P23:Q23)</f>
        <v/>
      </c>
      <c r="S23" s="296">
        <f>R23*$S$9</f>
        <v/>
      </c>
      <c r="T23" s="296">
        <f>SUM(R23:S23)</f>
        <v/>
      </c>
      <c r="U23" s="78" t="inlineStr">
        <is>
          <t>OFTALMO</t>
        </is>
      </c>
      <c r="V23" s="82" t="inlineStr">
        <is>
          <t>ALCON</t>
        </is>
      </c>
      <c r="W23" s="83" t="inlineStr">
        <is>
          <t>ADJUDICADO</t>
        </is>
      </c>
      <c r="X23" s="29" t="inlineStr">
        <is>
          <t>PROYECTADO</t>
        </is>
      </c>
    </row>
    <row r="24" ht="28.2" customFormat="1" customHeight="1" s="29">
      <c r="A24" s="86" t="n">
        <v>26</v>
      </c>
      <c r="B24" s="68" t="inlineStr">
        <is>
          <t>CDMX</t>
        </is>
      </c>
      <c r="C24" s="72" t="inlineStr">
        <is>
          <t>Láser de diodo, marca A.R.C. Laser, modelo FOX 810</t>
        </is>
      </c>
      <c r="D24" s="68" t="inlineStr">
        <is>
          <t>615423-AAAB</t>
        </is>
      </c>
      <c r="E24" s="69" t="inlineStr">
        <is>
          <t>H.M.E.O. Constituyentes</t>
        </is>
      </c>
      <c r="F24" s="95" t="inlineStr">
        <is>
          <t>Servicio de mantenimiento integral para: Láser de diodo, marca A.R.C. Laser, modelo FOX 810, serie 615423-AAAB;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4" s="79" t="n">
        <v>1</v>
      </c>
      <c r="H24" s="80" t="n">
        <v>2</v>
      </c>
      <c r="I24" s="291" t="n">
        <v>200000</v>
      </c>
      <c r="J24" s="291">
        <f>I24</f>
        <v/>
      </c>
      <c r="K24" s="291">
        <f>J24</f>
        <v/>
      </c>
      <c r="L24" s="291">
        <f>SUM(I24:K24)</f>
        <v/>
      </c>
      <c r="M24" s="291">
        <f>L24*0.16</f>
        <v/>
      </c>
      <c r="N24" s="291">
        <f>SUM(L24:M24)</f>
        <v/>
      </c>
      <c r="O24" s="296" t="n">
        <v>500000</v>
      </c>
      <c r="P24" s="296">
        <f>G24*O24</f>
        <v/>
      </c>
      <c r="Q24" s="296">
        <f>H24*O24</f>
        <v/>
      </c>
      <c r="R24" s="296">
        <f>SUM(P24:Q24)</f>
        <v/>
      </c>
      <c r="S24" s="296">
        <f>R24*$S$9</f>
        <v/>
      </c>
      <c r="T24" s="296">
        <f>SUM(R24:S24)</f>
        <v/>
      </c>
      <c r="U24" s="78" t="inlineStr">
        <is>
          <t>OFTALMO</t>
        </is>
      </c>
      <c r="V24" s="82" t="inlineStr">
        <is>
          <t>MD</t>
        </is>
      </c>
      <c r="W24" s="83" t="inlineStr">
        <is>
          <t>ADJUDICADO</t>
        </is>
      </c>
      <c r="X24" s="29" t="inlineStr">
        <is>
          <t>PROYECTADO</t>
        </is>
      </c>
    </row>
    <row r="25" ht="28.2" customFormat="1" customHeight="1" s="29">
      <c r="A25" s="86" t="n">
        <v>27</v>
      </c>
      <c r="B25" s="68" t="inlineStr">
        <is>
          <t>CDMX</t>
        </is>
      </c>
      <c r="C25" s="72" t="inlineStr">
        <is>
          <t>Electroretinógrafo portátil, marca LKC, modelo RETeval</t>
        </is>
      </c>
      <c r="D25" s="73" t="inlineStr">
        <is>
          <t>R002034</t>
        </is>
      </c>
      <c r="E25" s="72" t="inlineStr">
        <is>
          <t>H.M.E.O. Constituyentes</t>
        </is>
      </c>
      <c r="F25" s="95" t="inlineStr">
        <is>
          <t>Servicio de mantenimiento integral para: Electroretinógrafo portátil, marca LKC, modelo RETeval, serie R002034;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5" s="79" t="n">
        <v>1</v>
      </c>
      <c r="H25" s="80" t="n">
        <v>2</v>
      </c>
      <c r="I25" s="291" t="n">
        <v>200000</v>
      </c>
      <c r="J25" s="291">
        <f>I25</f>
        <v/>
      </c>
      <c r="K25" s="291">
        <f>J25</f>
        <v/>
      </c>
      <c r="L25" s="291">
        <f>SUM(I25:K25)</f>
        <v/>
      </c>
      <c r="M25" s="291">
        <f>L25*0.16</f>
        <v/>
      </c>
      <c r="N25" s="291">
        <f>SUM(L25:M25)</f>
        <v/>
      </c>
      <c r="O25" s="296" t="n">
        <v>420000</v>
      </c>
      <c r="P25" s="296">
        <f>G25*O25</f>
        <v/>
      </c>
      <c r="Q25" s="296">
        <f>H25*O25</f>
        <v/>
      </c>
      <c r="R25" s="296">
        <f>SUM(P25:Q25)</f>
        <v/>
      </c>
      <c r="S25" s="296">
        <f>R25*$S$9</f>
        <v/>
      </c>
      <c r="T25" s="296">
        <f>SUM(R25:S25)</f>
        <v/>
      </c>
      <c r="U25" s="78" t="inlineStr">
        <is>
          <t>OFTALMO</t>
        </is>
      </c>
      <c r="V25" s="82" t="inlineStr">
        <is>
          <t>ARFAMEX</t>
        </is>
      </c>
      <c r="W25" s="83" t="inlineStr">
        <is>
          <t>ADJUDICADO</t>
        </is>
      </c>
      <c r="X25" s="29" t="inlineStr">
        <is>
          <t>PROYECTADO</t>
        </is>
      </c>
    </row>
    <row r="26" ht="28.2" customFormat="1" customHeight="1" s="29">
      <c r="A26" s="86" t="n">
        <v>28</v>
      </c>
      <c r="B26" s="68" t="inlineStr">
        <is>
          <t>CDMX</t>
        </is>
      </c>
      <c r="C26" s="72" t="inlineStr">
        <is>
          <t>Electroretinógrafo portátil, marca LKC, modelo RETeval</t>
        </is>
      </c>
      <c r="D26" s="68" t="inlineStr">
        <is>
          <t>R002556</t>
        </is>
      </c>
      <c r="E26" s="69" t="inlineStr">
        <is>
          <t>H.M.E.O. Constituyentes</t>
        </is>
      </c>
      <c r="F26" s="95" t="inlineStr">
        <is>
          <t>Servicio de mantenimiento integral para: Electroretinógrafo portátil, marca LKC, modelo RETeval, serie R002556;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6" s="79" t="n">
        <v>1</v>
      </c>
      <c r="H26" s="80" t="n">
        <v>2</v>
      </c>
      <c r="I26" s="291" t="n">
        <v>200000</v>
      </c>
      <c r="J26" s="291">
        <f>I26</f>
        <v/>
      </c>
      <c r="K26" s="291">
        <f>J26</f>
        <v/>
      </c>
      <c r="L26" s="291">
        <f>SUM(I26:K26)</f>
        <v/>
      </c>
      <c r="M26" s="291">
        <f>L26*0.16</f>
        <v/>
      </c>
      <c r="N26" s="291">
        <f>SUM(L26:M26)</f>
        <v/>
      </c>
      <c r="O26" s="296" t="n">
        <v>420000</v>
      </c>
      <c r="P26" s="296">
        <f>G26*O26</f>
        <v/>
      </c>
      <c r="Q26" s="296">
        <f>H26*O26</f>
        <v/>
      </c>
      <c r="R26" s="296">
        <f>SUM(P26:Q26)</f>
        <v/>
      </c>
      <c r="S26" s="296">
        <f>R26*$S$9</f>
        <v/>
      </c>
      <c r="T26" s="296">
        <f>SUM(R26:S26)</f>
        <v/>
      </c>
      <c r="U26" s="78" t="inlineStr">
        <is>
          <t>OFTALMO</t>
        </is>
      </c>
      <c r="V26" s="82" t="inlineStr">
        <is>
          <t>ARFAMEX</t>
        </is>
      </c>
      <c r="W26" s="83" t="inlineStr">
        <is>
          <t>ADJUDICADO</t>
        </is>
      </c>
      <c r="X26" s="29" t="inlineStr">
        <is>
          <t>PROYECTADO</t>
        </is>
      </c>
    </row>
    <row r="27" ht="28.2" customFormat="1" customHeight="1" s="29">
      <c r="A27" s="86" t="n">
        <v>29</v>
      </c>
      <c r="B27" s="68" t="inlineStr">
        <is>
          <t>CDMX</t>
        </is>
      </c>
      <c r="C27" s="72" t="inlineStr">
        <is>
          <t>Microscopio confocal, marca Heidelberg Engineering, modelo HRT3 RCM</t>
        </is>
      </c>
      <c r="D27" s="68" t="inlineStr">
        <is>
          <t>HRT3-08313</t>
        </is>
      </c>
      <c r="E27" s="69" t="inlineStr">
        <is>
          <t>H.M.E.O. Constituyentes</t>
        </is>
      </c>
      <c r="F27" s="95" t="inlineStr">
        <is>
          <t>Servicio de mantenimiento integral para: Microscopio confocal, marca Heidelberg Engineering, modelo HRT3 RCM, serie HRT3-08313;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7" s="79" t="n">
        <v>1</v>
      </c>
      <c r="H27" s="80" t="n">
        <v>2</v>
      </c>
      <c r="I27" s="291" t="n">
        <v>75000</v>
      </c>
      <c r="J27" s="291">
        <f>I27</f>
        <v/>
      </c>
      <c r="K27" s="291">
        <f>J27</f>
        <v/>
      </c>
      <c r="L27" s="291">
        <f>SUM(I27:K27)</f>
        <v/>
      </c>
      <c r="M27" s="291">
        <f>L27*0.16</f>
        <v/>
      </c>
      <c r="N27" s="291">
        <f>SUM(L27:M27)</f>
        <v/>
      </c>
      <c r="O27" s="296" t="n">
        <v>150000</v>
      </c>
      <c r="P27" s="296">
        <f>G27*O27</f>
        <v/>
      </c>
      <c r="Q27" s="296">
        <f>H27*O27</f>
        <v/>
      </c>
      <c r="R27" s="296">
        <f>SUM(P27:Q27)</f>
        <v/>
      </c>
      <c r="S27" s="296">
        <f>R27*$S$9</f>
        <v/>
      </c>
      <c r="T27" s="296">
        <f>SUM(R27:S27)</f>
        <v/>
      </c>
      <c r="U27" s="78" t="inlineStr">
        <is>
          <t>OFTALMO</t>
        </is>
      </c>
      <c r="V27" s="82" t="inlineStr">
        <is>
          <t>ARFAMEX</t>
        </is>
      </c>
      <c r="W27" s="83" t="inlineStr">
        <is>
          <t>ADJUDICADO</t>
        </is>
      </c>
      <c r="X27" s="29" t="inlineStr">
        <is>
          <t>PROYECTADO</t>
        </is>
      </c>
    </row>
    <row r="28" ht="28.2" customFormat="1" customHeight="1" s="29">
      <c r="A28" s="86" t="n">
        <v>30</v>
      </c>
      <c r="B28" s="68" t="inlineStr">
        <is>
          <t>CDMX</t>
        </is>
      </c>
      <c r="C28" s="72" t="inlineStr">
        <is>
          <t>Topógrafo corneal con cámara Scheimpflug, marca Oculus, modelo Pentacam</t>
        </is>
      </c>
      <c r="D28" s="73" t="inlineStr">
        <is>
          <t>7010054522270</t>
        </is>
      </c>
      <c r="E28" s="72" t="inlineStr">
        <is>
          <t>H.M.E.O. Constituyentes</t>
        </is>
      </c>
      <c r="F28" s="95" t="inlineStr">
        <is>
          <t>Servicio de mantenimiento integral para: Topógrafo corneal con cámara Scheimpflug, marca Oculus, modelo Pentacam, serie 7010054522270;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8" s="79" t="n">
        <v>1</v>
      </c>
      <c r="H28" s="79" t="n">
        <v>2</v>
      </c>
      <c r="I28" s="291" t="n">
        <v>50000</v>
      </c>
      <c r="J28" s="291">
        <f>I28</f>
        <v/>
      </c>
      <c r="K28" s="291">
        <f>J28</f>
        <v/>
      </c>
      <c r="L28" s="291">
        <f>SUM(I28:K28)</f>
        <v/>
      </c>
      <c r="M28" s="291">
        <f>L28*0.16</f>
        <v/>
      </c>
      <c r="N28" s="291">
        <f>SUM(L28:M28)</f>
        <v/>
      </c>
      <c r="O28" s="296" t="n">
        <v>150000</v>
      </c>
      <c r="P28" s="296">
        <f>G28*O28</f>
        <v/>
      </c>
      <c r="Q28" s="296">
        <f>H28*O28</f>
        <v/>
      </c>
      <c r="R28" s="296">
        <f>SUM(P28:Q28)</f>
        <v/>
      </c>
      <c r="S28" s="296">
        <f>R28*$S$9</f>
        <v/>
      </c>
      <c r="T28" s="296">
        <f>SUM(R28:S28)</f>
        <v/>
      </c>
      <c r="U28" s="78" t="inlineStr">
        <is>
          <t>OFTALMO</t>
        </is>
      </c>
      <c r="V28" s="82" t="inlineStr">
        <is>
          <t>CYAN</t>
        </is>
      </c>
      <c r="W28" s="83" t="inlineStr">
        <is>
          <t>ADJUDICADO</t>
        </is>
      </c>
      <c r="X28" s="29" t="inlineStr">
        <is>
          <t>PROYECTADO</t>
        </is>
      </c>
    </row>
    <row r="29" ht="28.2" customFormat="1" customHeight="1" s="29">
      <c r="A29" s="92" t="n">
        <v>31</v>
      </c>
      <c r="B29" s="68" t="inlineStr">
        <is>
          <t>CDMX</t>
        </is>
      </c>
      <c r="C29" s="72" t="inlineStr">
        <is>
          <t>Ultrasonido, marca Quantel Medical, modelo Absolu</t>
        </is>
      </c>
      <c r="D29" s="68" t="inlineStr">
        <is>
          <t>1131</t>
        </is>
      </c>
      <c r="E29" s="69" t="inlineStr">
        <is>
          <t>H.M.E.O. Constituyentes</t>
        </is>
      </c>
      <c r="F29" s="95" t="inlineStr">
        <is>
          <t>Servicio de mantenimiento integral para: Ultrasonido, marca Quantel Medical, modelo Absolu, serie 1131;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9" s="79" t="n">
        <v>1</v>
      </c>
      <c r="H29" s="79" t="n">
        <v>2</v>
      </c>
      <c r="I29" s="291" t="n">
        <v>60000</v>
      </c>
      <c r="J29" s="291">
        <f>I29</f>
        <v/>
      </c>
      <c r="K29" s="291">
        <f>J29</f>
        <v/>
      </c>
      <c r="L29" s="291">
        <f>SUM(I29:K29)</f>
        <v/>
      </c>
      <c r="M29" s="291">
        <f>L29*0.16</f>
        <v/>
      </c>
      <c r="N29" s="291">
        <f>SUM(L29:M29)</f>
        <v/>
      </c>
      <c r="O29" s="296" t="n">
        <v>200000</v>
      </c>
      <c r="P29" s="296">
        <f>G29*O29</f>
        <v/>
      </c>
      <c r="Q29" s="296">
        <f>H29*O29</f>
        <v/>
      </c>
      <c r="R29" s="296">
        <f>SUM(P29:Q29)</f>
        <v/>
      </c>
      <c r="S29" s="296">
        <f>R29*$S$9</f>
        <v/>
      </c>
      <c r="T29" s="296">
        <f>SUM(R29:S29)</f>
        <v/>
      </c>
      <c r="U29" s="78" t="inlineStr">
        <is>
          <t>OFTALMO</t>
        </is>
      </c>
      <c r="V29" s="82" t="inlineStr">
        <is>
          <t>ARFAMEX</t>
        </is>
      </c>
      <c r="W29" s="91" t="inlineStr">
        <is>
          <t>NO ADJUDICADO</t>
        </is>
      </c>
      <c r="X29" s="29" t="inlineStr">
        <is>
          <t>PROYECTADO</t>
        </is>
      </c>
    </row>
    <row r="30" ht="28.2" customFormat="1" customHeight="1" s="29">
      <c r="A30" s="86" t="n">
        <v>32</v>
      </c>
      <c r="B30" s="68" t="inlineStr">
        <is>
          <t>CDMX</t>
        </is>
      </c>
      <c r="C30" s="72" t="inlineStr">
        <is>
          <t>Sistema de fotocoagulación láser con estación de trabajo, marca OD-OS, modelo Navilas</t>
        </is>
      </c>
      <c r="D30" s="73" t="inlineStr">
        <is>
          <t>158000-3215</t>
        </is>
      </c>
      <c r="E30" s="72" t="inlineStr">
        <is>
          <t>H.M.E.O. Constituyentes</t>
        </is>
      </c>
      <c r="F30" s="95" t="inlineStr">
        <is>
          <t>Servicio de mantenimiento integral para: Sistema de fotocoagulación láser con estación de trabajo, marca OD-OS, modelo Navilas, serie 158000-3215;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0" s="79" t="n">
        <v>1</v>
      </c>
      <c r="H30" s="79" t="n">
        <v>2</v>
      </c>
      <c r="I30" s="291" t="n">
        <v>176000</v>
      </c>
      <c r="J30" s="291">
        <f>I30</f>
        <v/>
      </c>
      <c r="K30" s="291">
        <f>J30</f>
        <v/>
      </c>
      <c r="L30" s="291">
        <f>SUM(I30:K30)</f>
        <v/>
      </c>
      <c r="M30" s="291">
        <f>L30*0.16</f>
        <v/>
      </c>
      <c r="N30" s="291">
        <f>SUM(L30:M30)</f>
        <v/>
      </c>
      <c r="O30" s="296" t="n">
        <v>330000</v>
      </c>
      <c r="P30" s="296">
        <f>G30*O30</f>
        <v/>
      </c>
      <c r="Q30" s="296">
        <f>H30*O30</f>
        <v/>
      </c>
      <c r="R30" s="296">
        <f>SUM(P30:Q30)</f>
        <v/>
      </c>
      <c r="S30" s="296">
        <f>R30*$S$9</f>
        <v/>
      </c>
      <c r="T30" s="296">
        <f>SUM(R30:S30)</f>
        <v/>
      </c>
      <c r="U30" s="78" t="inlineStr">
        <is>
          <t>OFTALMO</t>
        </is>
      </c>
      <c r="V30" s="82" t="inlineStr">
        <is>
          <t>FARBAC</t>
        </is>
      </c>
      <c r="W30" s="83" t="inlineStr">
        <is>
          <t>ADJUDICADO</t>
        </is>
      </c>
      <c r="X30" s="29" t="inlineStr">
        <is>
          <t>PROYECTADO</t>
        </is>
      </c>
    </row>
    <row r="31" ht="28.2" customFormat="1" customHeight="1" s="29">
      <c r="A31" s="86" t="n">
        <v>33</v>
      </c>
      <c r="B31" s="68" t="inlineStr">
        <is>
          <t>CDMX</t>
        </is>
      </c>
      <c r="C31" s="72" t="inlineStr">
        <is>
          <t>Cámara de campo ultra amplio, marca Natus, modelo RetCam Envision</t>
        </is>
      </c>
      <c r="D31" s="73" t="inlineStr">
        <is>
          <t>RE-0276</t>
        </is>
      </c>
      <c r="E31" s="72" t="inlineStr">
        <is>
          <t>H.M.E.O. Constituyentes</t>
        </is>
      </c>
      <c r="F31" s="95" t="inlineStr">
        <is>
          <t>Servicio de mantenimiento integral para: Cámara de campo ultra amplio, marca Natus, modelo RetCam Envision, serie RE-0276;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1" s="79" t="n">
        <v>1</v>
      </c>
      <c r="H31" s="79" t="n">
        <v>2</v>
      </c>
      <c r="I31" s="291" t="n">
        <v>75000</v>
      </c>
      <c r="J31" s="291">
        <f>I31</f>
        <v/>
      </c>
      <c r="K31" s="291">
        <f>J31</f>
        <v/>
      </c>
      <c r="L31" s="291">
        <f>SUM(I31:K31)</f>
        <v/>
      </c>
      <c r="M31" s="291">
        <f>L31*0.16</f>
        <v/>
      </c>
      <c r="N31" s="291">
        <f>SUM(L31:M31)</f>
        <v/>
      </c>
      <c r="O31" s="296" t="n">
        <v>145000</v>
      </c>
      <c r="P31" s="296">
        <f>G31*O31</f>
        <v/>
      </c>
      <c r="Q31" s="296">
        <f>H31*O31</f>
        <v/>
      </c>
      <c r="R31" s="296">
        <f>SUM(P31:Q31)</f>
        <v/>
      </c>
      <c r="S31" s="296">
        <f>R31*$S$9</f>
        <v/>
      </c>
      <c r="T31" s="296">
        <f>SUM(R31:S31)</f>
        <v/>
      </c>
      <c r="U31" s="78" t="inlineStr">
        <is>
          <t>OFTALMO</t>
        </is>
      </c>
      <c r="V31" s="82" t="inlineStr">
        <is>
          <t>ARFAMEX</t>
        </is>
      </c>
      <c r="W31" s="83" t="inlineStr">
        <is>
          <t>ADJUDICADO</t>
        </is>
      </c>
      <c r="X31" s="29" t="inlineStr">
        <is>
          <t>PROYECTADO</t>
        </is>
      </c>
    </row>
    <row r="32" ht="28.2" customFormat="1" customHeight="1" s="29">
      <c r="A32" s="86" t="n">
        <v>34</v>
      </c>
      <c r="B32" s="68" t="inlineStr">
        <is>
          <t>CDMX</t>
        </is>
      </c>
      <c r="C32" s="72" t="inlineStr">
        <is>
          <t>Láser, marca Quantel Medical, modelo Vitra 810</t>
        </is>
      </c>
      <c r="D32" s="73" t="inlineStr">
        <is>
          <t>574</t>
        </is>
      </c>
      <c r="E32" s="72" t="inlineStr">
        <is>
          <t>H.M.E.O. Constituyentes</t>
        </is>
      </c>
      <c r="F32" s="95" t="inlineStr">
        <is>
          <t>Servicio de mantenimiento integral para: Láser, marca Quantel Medical, modelo Vitra 810, serie 574;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2" s="79" t="n">
        <v>1</v>
      </c>
      <c r="H32" s="79" t="n">
        <v>2</v>
      </c>
      <c r="I32" s="291" t="n">
        <v>60000</v>
      </c>
      <c r="J32" s="291">
        <f>I32</f>
        <v/>
      </c>
      <c r="K32" s="291">
        <f>J32</f>
        <v/>
      </c>
      <c r="L32" s="291">
        <f>SUM(I32:K32)</f>
        <v/>
      </c>
      <c r="M32" s="291">
        <f>L32*0.16</f>
        <v/>
      </c>
      <c r="N32" s="291">
        <f>SUM(L32:M32)</f>
        <v/>
      </c>
      <c r="O32" s="296" t="n">
        <v>175000</v>
      </c>
      <c r="P32" s="296">
        <f>G32*O32</f>
        <v/>
      </c>
      <c r="Q32" s="296">
        <f>H32*O32</f>
        <v/>
      </c>
      <c r="R32" s="296">
        <f>SUM(P32:Q32)</f>
        <v/>
      </c>
      <c r="S32" s="296">
        <f>R32*$S$9</f>
        <v/>
      </c>
      <c r="T32" s="296">
        <f>SUM(R32:S32)</f>
        <v/>
      </c>
      <c r="U32" s="78" t="inlineStr">
        <is>
          <t>OFTALMO</t>
        </is>
      </c>
      <c r="V32" s="82" t="inlineStr">
        <is>
          <t>ARFAMEX</t>
        </is>
      </c>
      <c r="W32" s="83" t="inlineStr">
        <is>
          <t>ADJUDICADO</t>
        </is>
      </c>
      <c r="X32" s="29" t="inlineStr">
        <is>
          <t>PROYECTADO</t>
        </is>
      </c>
    </row>
    <row r="33" ht="28.2" customFormat="1" customHeight="1" s="29">
      <c r="A33" s="86" t="n">
        <v>35</v>
      </c>
      <c r="B33" s="68" t="inlineStr">
        <is>
          <t>CDMX</t>
        </is>
      </c>
      <c r="C33" s="72" t="inlineStr">
        <is>
          <t>Láser, marca Quantel Medical, modelo Vitra 811</t>
        </is>
      </c>
      <c r="D33" s="73" t="inlineStr">
        <is>
          <t>575</t>
        </is>
      </c>
      <c r="E33" s="72" t="inlineStr">
        <is>
          <t>H.M.E.O. Constituyentes</t>
        </is>
      </c>
      <c r="F33" s="95" t="inlineStr">
        <is>
          <t>Servicio de mantenimiento integral para: Láser, marca Quantel Medical, modelo Vitra 811, serie 575;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3" s="79" t="n">
        <v>1</v>
      </c>
      <c r="H33" s="79" t="n">
        <v>2</v>
      </c>
      <c r="I33" s="291" t="n">
        <v>60000</v>
      </c>
      <c r="J33" s="291">
        <f>I33</f>
        <v/>
      </c>
      <c r="K33" s="291">
        <f>J33</f>
        <v/>
      </c>
      <c r="L33" s="291">
        <f>SUM(I33:K33)</f>
        <v/>
      </c>
      <c r="M33" s="291">
        <f>L33*0.16</f>
        <v/>
      </c>
      <c r="N33" s="291">
        <f>SUM(L33:M33)</f>
        <v/>
      </c>
      <c r="O33" s="296" t="n">
        <v>175000</v>
      </c>
      <c r="P33" s="296">
        <f>G33*O33</f>
        <v/>
      </c>
      <c r="Q33" s="296">
        <f>H33*O33</f>
        <v/>
      </c>
      <c r="R33" s="296">
        <f>SUM(P33:Q33)</f>
        <v/>
      </c>
      <c r="S33" s="296">
        <f>R33*$S$9</f>
        <v/>
      </c>
      <c r="T33" s="296">
        <f>SUM(R33:S33)</f>
        <v/>
      </c>
      <c r="U33" s="78" t="inlineStr">
        <is>
          <t>OFTALMO</t>
        </is>
      </c>
      <c r="V33" s="82" t="inlineStr">
        <is>
          <t>ARFAMEX</t>
        </is>
      </c>
      <c r="W33" s="83" t="inlineStr">
        <is>
          <t>ADJUDICADO</t>
        </is>
      </c>
      <c r="X33" s="29" t="inlineStr">
        <is>
          <t>PROYECTADO</t>
        </is>
      </c>
    </row>
    <row r="34" ht="28.2" customFormat="1" customHeight="1" s="29">
      <c r="A34" s="92" t="n">
        <v>36</v>
      </c>
      <c r="B34" s="68" t="inlineStr">
        <is>
          <t>CDMX</t>
        </is>
      </c>
      <c r="C34" s="72" t="inlineStr">
        <is>
          <t>Ultrasonido terapéutico, marca Eye Tech Care, modelo UCP Flex</t>
        </is>
      </c>
      <c r="D34" s="73" t="inlineStr">
        <is>
          <t>19/015</t>
        </is>
      </c>
      <c r="E34" s="72" t="inlineStr">
        <is>
          <t>H.M.E.O. Constituyentes</t>
        </is>
      </c>
      <c r="F34" s="95" t="inlineStr">
        <is>
          <t>Servicio de mantenimiento integral para: Ultrasonido terapéutico, marca Eye Tech Care, modelo UCP Flex, serie 19/015;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4" s="79" t="n">
        <v>1</v>
      </c>
      <c r="H34" s="79" t="n">
        <v>2</v>
      </c>
      <c r="I34" s="291" t="n">
        <v>12000</v>
      </c>
      <c r="J34" s="291">
        <f>I34</f>
        <v/>
      </c>
      <c r="K34" s="291">
        <f>J34</f>
        <v/>
      </c>
      <c r="L34" s="291">
        <f>SUM(I34:K34)</f>
        <v/>
      </c>
      <c r="M34" s="291">
        <f>L34*0.16</f>
        <v/>
      </c>
      <c r="N34" s="291">
        <f>SUM(L34:M34)</f>
        <v/>
      </c>
      <c r="O34" s="296" t="n">
        <v>220000</v>
      </c>
      <c r="P34" s="296">
        <f>G34*O34</f>
        <v/>
      </c>
      <c r="Q34" s="296">
        <f>H34*O34</f>
        <v/>
      </c>
      <c r="R34" s="296">
        <f>SUM(P34:Q34)</f>
        <v/>
      </c>
      <c r="S34" s="296">
        <f>R34*$S$9</f>
        <v/>
      </c>
      <c r="T34" s="296">
        <f>SUM(R34:S34)</f>
        <v/>
      </c>
      <c r="U34" s="78" t="inlineStr">
        <is>
          <t>OFTALMO</t>
        </is>
      </c>
      <c r="V34" s="82" t="inlineStr">
        <is>
          <t>EYCCO</t>
        </is>
      </c>
      <c r="W34" s="91" t="inlineStr">
        <is>
          <t>NO ADJUDICADO</t>
        </is>
      </c>
      <c r="X34" s="29" t="inlineStr">
        <is>
          <t>PROYECTADO</t>
        </is>
      </c>
    </row>
    <row r="35" ht="28.2" customFormat="1" customHeight="1" s="29">
      <c r="A35" s="92" t="n">
        <v>37</v>
      </c>
      <c r="B35" s="68" t="inlineStr">
        <is>
          <t>CDMX</t>
        </is>
      </c>
      <c r="C35" s="72" t="inlineStr">
        <is>
          <t>Ultrasonido terapéutico, marca Eye Tech Care, modelo UCP Flex</t>
        </is>
      </c>
      <c r="D35" s="68" t="inlineStr">
        <is>
          <t>20/016</t>
        </is>
      </c>
      <c r="E35" s="69" t="inlineStr">
        <is>
          <t>H.M.E.O. Constituyentes</t>
        </is>
      </c>
      <c r="F35" s="95" t="inlineStr">
        <is>
          <t>Servicio de mantenimiento integral para: Ultrasonido terapéutico, marca Eye Tech Care, modelo UCP Flex, serie 20/016;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5" s="79" t="n">
        <v>1</v>
      </c>
      <c r="H35" s="79" t="n">
        <v>2</v>
      </c>
      <c r="I35" s="291" t="n">
        <v>12000</v>
      </c>
      <c r="J35" s="291">
        <f>I35</f>
        <v/>
      </c>
      <c r="K35" s="291">
        <f>J35</f>
        <v/>
      </c>
      <c r="L35" s="291">
        <f>SUM(I35:K35)</f>
        <v/>
      </c>
      <c r="M35" s="291">
        <f>L35*0.16</f>
        <v/>
      </c>
      <c r="N35" s="291">
        <f>SUM(L35:M35)</f>
        <v/>
      </c>
      <c r="O35" s="296" t="n">
        <v>220000</v>
      </c>
      <c r="P35" s="296">
        <f>G35*O35</f>
        <v/>
      </c>
      <c r="Q35" s="296">
        <f>H35*O35</f>
        <v/>
      </c>
      <c r="R35" s="296">
        <f>SUM(P35:Q35)</f>
        <v/>
      </c>
      <c r="S35" s="296">
        <f>R35*$S$9</f>
        <v/>
      </c>
      <c r="T35" s="296">
        <f>SUM(R35:S35)</f>
        <v/>
      </c>
      <c r="U35" s="78" t="inlineStr">
        <is>
          <t>OFTALMO</t>
        </is>
      </c>
      <c r="V35" s="82" t="inlineStr">
        <is>
          <t>EYCCO</t>
        </is>
      </c>
      <c r="W35" s="91" t="inlineStr">
        <is>
          <t>NO ADJUDICADO</t>
        </is>
      </c>
      <c r="X35" s="29" t="inlineStr">
        <is>
          <t>PROYECTADO</t>
        </is>
      </c>
    </row>
    <row r="36" ht="28.2" customFormat="1" customHeight="1" s="29">
      <c r="A36" s="86" t="n">
        <v>38</v>
      </c>
      <c r="B36" s="68" t="inlineStr">
        <is>
          <t>CDMX</t>
        </is>
      </c>
      <c r="C36" s="72" t="inlineStr">
        <is>
          <t>Retinógrafo portátil de campo amplio para neonatos, marca Visunex Medical Systems, modelo PanoCam</t>
        </is>
      </c>
      <c r="D36" s="68" t="inlineStr">
        <is>
          <t>A237402</t>
        </is>
      </c>
      <c r="E36" s="69" t="inlineStr">
        <is>
          <t>H.M.E.O. Constituyentes</t>
        </is>
      </c>
      <c r="F36" s="95" t="inlineStr">
        <is>
          <t>Servicio de mantenimiento integral para: Retinógrafo portátil de campo amplio para neonatos, marca Visunex Medical Systems, modelo PanoCam, serie A237402;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6" s="79" t="n">
        <v>1</v>
      </c>
      <c r="H36" s="80" t="n">
        <v>2</v>
      </c>
      <c r="I36" s="291" t="n">
        <v>75000</v>
      </c>
      <c r="J36" s="291">
        <f>I36</f>
        <v/>
      </c>
      <c r="K36" s="291">
        <f>J36</f>
        <v/>
      </c>
      <c r="L36" s="291">
        <f>SUM(I36:K36)</f>
        <v/>
      </c>
      <c r="M36" s="291">
        <f>L36*0.16</f>
        <v/>
      </c>
      <c r="N36" s="291">
        <f>SUM(L36:M36)</f>
        <v/>
      </c>
      <c r="O36" s="296" t="n">
        <v>140000</v>
      </c>
      <c r="P36" s="296">
        <f>G36*O36</f>
        <v/>
      </c>
      <c r="Q36" s="296">
        <f>H36*O36</f>
        <v/>
      </c>
      <c r="R36" s="296">
        <f>SUM(P36:Q36)</f>
        <v/>
      </c>
      <c r="S36" s="296">
        <f>R36*$S$9</f>
        <v/>
      </c>
      <c r="T36" s="296">
        <f>SUM(R36:S36)</f>
        <v/>
      </c>
      <c r="U36" s="78" t="inlineStr">
        <is>
          <t>OFTALMO</t>
        </is>
      </c>
      <c r="V36" s="82" t="inlineStr">
        <is>
          <t>MD</t>
        </is>
      </c>
      <c r="W36" s="83" t="inlineStr">
        <is>
          <t>ADJUDICADO</t>
        </is>
      </c>
      <c r="X36" s="29" t="inlineStr">
        <is>
          <t>PROYECTADO</t>
        </is>
      </c>
    </row>
    <row r="37" ht="28.2" customFormat="1" customHeight="1" s="29">
      <c r="A37" s="86" t="n">
        <v>39</v>
      </c>
      <c r="B37" s="68" t="inlineStr">
        <is>
          <t>CDMX</t>
        </is>
      </c>
      <c r="C37" s="72" t="inlineStr">
        <is>
          <t>Retinógrafo portátil de campo amplio para neonatos, marca Visunex Medical Systems, modelo PanoCam</t>
        </is>
      </c>
      <c r="D37" s="73" t="inlineStr">
        <is>
          <t>A237403</t>
        </is>
      </c>
      <c r="E37" s="72" t="inlineStr">
        <is>
          <t>H.M.E.O. Constituyentes</t>
        </is>
      </c>
      <c r="F37" s="95" t="inlineStr">
        <is>
          <t>Servicio de mantenimiento integral para: Retinógrafo portátil de campo amplio para neonatos, marca Visunex Medical Systems, modelo PanoCam, serie A237403;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7" s="79" t="n">
        <v>1</v>
      </c>
      <c r="H37" s="80" t="n">
        <v>2</v>
      </c>
      <c r="I37" s="291" t="n">
        <v>75000</v>
      </c>
      <c r="J37" s="291">
        <f>I37</f>
        <v/>
      </c>
      <c r="K37" s="291">
        <f>J37</f>
        <v/>
      </c>
      <c r="L37" s="291">
        <f>SUM(I37:K37)</f>
        <v/>
      </c>
      <c r="M37" s="291">
        <f>L37*0.16</f>
        <v/>
      </c>
      <c r="N37" s="291">
        <f>SUM(L37:M37)</f>
        <v/>
      </c>
      <c r="O37" s="296" t="n">
        <v>140000</v>
      </c>
      <c r="P37" s="296">
        <f>G37*O37</f>
        <v/>
      </c>
      <c r="Q37" s="296">
        <f>H37*O37</f>
        <v/>
      </c>
      <c r="R37" s="296">
        <f>SUM(P37:Q37)</f>
        <v/>
      </c>
      <c r="S37" s="296">
        <f>R37*$S$9</f>
        <v/>
      </c>
      <c r="T37" s="296">
        <f>SUM(R37:S37)</f>
        <v/>
      </c>
      <c r="U37" s="78" t="inlineStr">
        <is>
          <t>OFTALMO</t>
        </is>
      </c>
      <c r="V37" s="82" t="inlineStr">
        <is>
          <t>MD</t>
        </is>
      </c>
      <c r="W37" s="83" t="inlineStr">
        <is>
          <t>ADJUDICADO</t>
        </is>
      </c>
      <c r="X37" s="29" t="inlineStr">
        <is>
          <t>PROYECTADO</t>
        </is>
      </c>
    </row>
    <row r="38" ht="28.2" customFormat="1" customHeight="1" s="29">
      <c r="A38" s="86" t="n">
        <v>40</v>
      </c>
      <c r="B38" s="68" t="inlineStr">
        <is>
          <t>CDMX</t>
        </is>
      </c>
      <c r="C38" s="72" t="inlineStr">
        <is>
          <t>Retinógrafo portátil de campo amplio para neonatos, marca Visunex Medical Systems, modelo PanoCam</t>
        </is>
      </c>
      <c r="D38" s="73" t="inlineStr">
        <is>
          <t>A237401</t>
        </is>
      </c>
      <c r="E38" s="72" t="inlineStr">
        <is>
          <t>H.M.E.O. Constituyentes</t>
        </is>
      </c>
      <c r="F38" s="95" t="inlineStr">
        <is>
          <t>Servicio de mantenimiento integral para: Retinógrafo portátil de campo amplio para neonatos, marca Visunex Medical Systems, modelo PanoCam, serie A237401;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8" s="79" t="n">
        <v>1</v>
      </c>
      <c r="H38" s="80" t="n">
        <v>2</v>
      </c>
      <c r="I38" s="291" t="n">
        <v>75000</v>
      </c>
      <c r="J38" s="291">
        <f>I38</f>
        <v/>
      </c>
      <c r="K38" s="291">
        <f>J38</f>
        <v/>
      </c>
      <c r="L38" s="291">
        <f>SUM(I38:K38)</f>
        <v/>
      </c>
      <c r="M38" s="291">
        <f>L38*0.16</f>
        <v/>
      </c>
      <c r="N38" s="291">
        <f>SUM(L38:M38)</f>
        <v/>
      </c>
      <c r="O38" s="296" t="n">
        <v>140000</v>
      </c>
      <c r="P38" s="296">
        <f>G38*O38</f>
        <v/>
      </c>
      <c r="Q38" s="296">
        <f>H38*O38</f>
        <v/>
      </c>
      <c r="R38" s="296">
        <f>SUM(P38:Q38)</f>
        <v/>
      </c>
      <c r="S38" s="296">
        <f>R38*$S$9</f>
        <v/>
      </c>
      <c r="T38" s="296">
        <f>SUM(R38:S38)</f>
        <v/>
      </c>
      <c r="U38" s="78" t="inlineStr">
        <is>
          <t>OFTALMO</t>
        </is>
      </c>
      <c r="V38" s="82" t="inlineStr">
        <is>
          <t>MD</t>
        </is>
      </c>
      <c r="W38" s="83" t="inlineStr">
        <is>
          <t>ADJUDICADO</t>
        </is>
      </c>
      <c r="X38" s="29" t="inlineStr">
        <is>
          <t>PROYECTADO</t>
        </is>
      </c>
    </row>
    <row r="39" ht="28.2" customFormat="1" customHeight="1" s="29">
      <c r="A39" s="86" t="n">
        <v>41</v>
      </c>
      <c r="B39" s="68" t="inlineStr">
        <is>
          <t>CDMX</t>
        </is>
      </c>
      <c r="C39" s="72" t="inlineStr">
        <is>
          <t>Microscopio especular, marca TOMEY, modelo EM-4000</t>
        </is>
      </c>
      <c r="D39" s="73" t="inlineStr">
        <is>
          <t>354304</t>
        </is>
      </c>
      <c r="E39" s="72" t="inlineStr">
        <is>
          <t>H.M.E.O. Constituyentes</t>
        </is>
      </c>
      <c r="F39" s="95" t="inlineStr">
        <is>
          <t>Servicio de mantenimiento integral para: Microscopio especular, marca TOMEY, modelo EM-4000, serie 354304;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9" s="79" t="n">
        <v>1</v>
      </c>
      <c r="H39" s="80" t="n">
        <v>2</v>
      </c>
      <c r="I39" s="291" t="n">
        <v>55000</v>
      </c>
      <c r="J39" s="291">
        <f>I39</f>
        <v/>
      </c>
      <c r="K39" s="291">
        <f>J39</f>
        <v/>
      </c>
      <c r="L39" s="291">
        <f>SUM(I39:K39)</f>
        <v/>
      </c>
      <c r="M39" s="291">
        <f>L39*0.16</f>
        <v/>
      </c>
      <c r="N39" s="291">
        <f>SUM(L39:M39)</f>
        <v/>
      </c>
      <c r="O39" s="296" t="n">
        <v>125000</v>
      </c>
      <c r="P39" s="296">
        <f>G39*O39</f>
        <v/>
      </c>
      <c r="Q39" s="296">
        <f>H39*O39</f>
        <v/>
      </c>
      <c r="R39" s="296">
        <f>SUM(P39:Q39)</f>
        <v/>
      </c>
      <c r="S39" s="296">
        <f>R39*$S$9</f>
        <v/>
      </c>
      <c r="T39" s="296">
        <f>SUM(R39:S39)</f>
        <v/>
      </c>
      <c r="U39" s="78" t="inlineStr">
        <is>
          <t>OFTALMO</t>
        </is>
      </c>
      <c r="V39" s="82" t="inlineStr">
        <is>
          <t xml:space="preserve">ALDAI </t>
        </is>
      </c>
      <c r="W39" s="83" t="inlineStr">
        <is>
          <t>ADJUDICADO</t>
        </is>
      </c>
      <c r="X39" s="29" t="inlineStr">
        <is>
          <t>PROYECTADO</t>
        </is>
      </c>
    </row>
    <row r="40" ht="28.2" customFormat="1" customHeight="1" s="29">
      <c r="A40" s="86" t="n">
        <v>42</v>
      </c>
      <c r="B40" s="68" t="inlineStr">
        <is>
          <t>CDMX</t>
        </is>
      </c>
      <c r="C40" s="72" t="inlineStr">
        <is>
          <t>Microscopio especular, marca TOMEY, modelo EM-4001</t>
        </is>
      </c>
      <c r="D40" s="73" t="inlineStr">
        <is>
          <t>349103</t>
        </is>
      </c>
      <c r="E40" s="72" t="inlineStr">
        <is>
          <t>H.M.E.O. Constituyentes</t>
        </is>
      </c>
      <c r="F40" s="95" t="inlineStr">
        <is>
          <t>Servicio de mantenimiento integral para: Microscopio especular, marca TOMEY, modelo EM-4001, serie 349103;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0" s="79" t="n">
        <v>1</v>
      </c>
      <c r="H40" s="80" t="n">
        <v>2</v>
      </c>
      <c r="I40" s="291" t="n">
        <v>55000</v>
      </c>
      <c r="J40" s="291">
        <f>I40</f>
        <v/>
      </c>
      <c r="K40" s="291">
        <f>J40</f>
        <v/>
      </c>
      <c r="L40" s="291">
        <f>SUM(I40:K40)</f>
        <v/>
      </c>
      <c r="M40" s="291">
        <f>L40*0.16</f>
        <v/>
      </c>
      <c r="N40" s="291">
        <f>SUM(L40:M40)</f>
        <v/>
      </c>
      <c r="O40" s="296" t="n">
        <v>125000</v>
      </c>
      <c r="P40" s="296">
        <f>G40*O40</f>
        <v/>
      </c>
      <c r="Q40" s="296">
        <f>H40*O40</f>
        <v/>
      </c>
      <c r="R40" s="296">
        <f>SUM(P40:Q40)</f>
        <v/>
      </c>
      <c r="S40" s="296">
        <f>R40*$S$9</f>
        <v/>
      </c>
      <c r="T40" s="296">
        <f>SUM(R40:S40)</f>
        <v/>
      </c>
      <c r="U40" s="78" t="inlineStr">
        <is>
          <t>OFTALMO</t>
        </is>
      </c>
      <c r="V40" s="82" t="inlineStr">
        <is>
          <t xml:space="preserve">ALDAI </t>
        </is>
      </c>
      <c r="W40" s="83" t="inlineStr">
        <is>
          <t>ADJUDICADO</t>
        </is>
      </c>
      <c r="X40" s="29" t="inlineStr">
        <is>
          <t>PROYECTADO</t>
        </is>
      </c>
    </row>
    <row r="41" ht="28.2" customFormat="1" customHeight="1" s="29">
      <c r="A41" s="86" t="n">
        <v>43</v>
      </c>
      <c r="B41" s="68" t="inlineStr">
        <is>
          <t>CDMX</t>
        </is>
      </c>
      <c r="C41" s="72" t="inlineStr">
        <is>
          <t>Ultrasonido modo A-B, marca TOMEY, modelo UD-800</t>
        </is>
      </c>
      <c r="D41" s="68" t="inlineStr">
        <is>
          <t>366702</t>
        </is>
      </c>
      <c r="E41" s="69" t="inlineStr">
        <is>
          <t>H.M.E.O. Constituyentes</t>
        </is>
      </c>
      <c r="F41" s="95" t="inlineStr">
        <is>
          <t>Servicio de mantenimiento integral para: Ultrasonido modo A-B, marca TOMEY, modelo UD-800, serie 366702;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1" s="79" t="n">
        <v>1</v>
      </c>
      <c r="H41" s="79" t="n">
        <v>2</v>
      </c>
      <c r="I41" s="291" t="n">
        <v>47500</v>
      </c>
      <c r="J41" s="291">
        <f>I41</f>
        <v/>
      </c>
      <c r="K41" s="291">
        <f>J41</f>
        <v/>
      </c>
      <c r="L41" s="291">
        <f>SUM(I41:K41)</f>
        <v/>
      </c>
      <c r="M41" s="291">
        <f>L41*0.16</f>
        <v/>
      </c>
      <c r="N41" s="291">
        <f>SUM(L41:M41)</f>
        <v/>
      </c>
      <c r="O41" s="296" t="n">
        <v>150000</v>
      </c>
      <c r="P41" s="296">
        <f>G41*O41</f>
        <v/>
      </c>
      <c r="Q41" s="296">
        <f>H41*O41</f>
        <v/>
      </c>
      <c r="R41" s="296">
        <f>SUM(P41:Q41)</f>
        <v/>
      </c>
      <c r="S41" s="296">
        <f>R41*$S$9</f>
        <v/>
      </c>
      <c r="T41" s="296">
        <f>SUM(R41:S41)</f>
        <v/>
      </c>
      <c r="U41" s="78" t="inlineStr">
        <is>
          <t>OFTALMO</t>
        </is>
      </c>
      <c r="V41" s="82" t="inlineStr">
        <is>
          <t xml:space="preserve">ALDAI </t>
        </is>
      </c>
      <c r="W41" s="83" t="inlineStr">
        <is>
          <t>ADJUDICADO</t>
        </is>
      </c>
      <c r="X41" s="29" t="inlineStr">
        <is>
          <t>PROYECTADO</t>
        </is>
      </c>
    </row>
    <row r="42" ht="28.2" customFormat="1" customHeight="1" s="29">
      <c r="A42" s="86" t="n">
        <v>44</v>
      </c>
      <c r="B42" s="68" t="inlineStr">
        <is>
          <t>CDMX</t>
        </is>
      </c>
      <c r="C42" s="72" t="inlineStr">
        <is>
          <t>Ultrasonido modo A-B, marca TOMEY, modelo UD-801</t>
        </is>
      </c>
      <c r="D42" s="73" t="inlineStr">
        <is>
          <t>372404</t>
        </is>
      </c>
      <c r="E42" s="72" t="inlineStr">
        <is>
          <t>H.M.E.O. Constituyentes</t>
        </is>
      </c>
      <c r="F42" s="95" t="inlineStr">
        <is>
          <t>Servicio de mantenimiento integral para: Ultrasonido modo A-B, marca TOMEY, modelo UD-801, serie 372404;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2" s="79" t="n">
        <v>1</v>
      </c>
      <c r="H42" s="79" t="n">
        <v>2</v>
      </c>
      <c r="I42" s="291" t="n">
        <v>47500</v>
      </c>
      <c r="J42" s="291">
        <f>I42</f>
        <v/>
      </c>
      <c r="K42" s="291">
        <f>J42</f>
        <v/>
      </c>
      <c r="L42" s="291">
        <f>SUM(I42:K42)</f>
        <v/>
      </c>
      <c r="M42" s="291">
        <f>L42*0.16</f>
        <v/>
      </c>
      <c r="N42" s="291">
        <f>SUM(L42:M42)</f>
        <v/>
      </c>
      <c r="O42" s="296" t="n">
        <v>150000</v>
      </c>
      <c r="P42" s="296">
        <f>G42*O42</f>
        <v/>
      </c>
      <c r="Q42" s="296">
        <f>H42*O42</f>
        <v/>
      </c>
      <c r="R42" s="296">
        <f>SUM(P42:Q42)</f>
        <v/>
      </c>
      <c r="S42" s="296">
        <f>R42*$S$9</f>
        <v/>
      </c>
      <c r="T42" s="296">
        <f>SUM(R42:S42)</f>
        <v/>
      </c>
      <c r="U42" s="78" t="inlineStr">
        <is>
          <t>OFTALMO</t>
        </is>
      </c>
      <c r="V42" s="82" t="inlineStr">
        <is>
          <t xml:space="preserve">ALDAI </t>
        </is>
      </c>
      <c r="W42" s="83" t="inlineStr">
        <is>
          <t>ADJUDICADO</t>
        </is>
      </c>
      <c r="X42" s="29" t="inlineStr">
        <is>
          <t>PROYECTADO</t>
        </is>
      </c>
    </row>
    <row r="43" ht="28.2" customFormat="1" customHeight="1" s="29">
      <c r="A43" s="86" t="n">
        <v>45</v>
      </c>
      <c r="B43" s="68" t="inlineStr">
        <is>
          <t>CDMX</t>
        </is>
      </c>
      <c r="C43" s="72" t="inlineStr">
        <is>
          <t>Autorrefractómetro, marca SUOER, modelo Ocular Screening SW-800</t>
        </is>
      </c>
      <c r="D43" s="68" t="inlineStr">
        <is>
          <t>BC0013GY1C</t>
        </is>
      </c>
      <c r="E43" s="69" t="inlineStr">
        <is>
          <t>H.M.E.O. Constituyentes</t>
        </is>
      </c>
      <c r="F43" s="95" t="inlineStr">
        <is>
          <t>Servicio de mantenimiento integral para: Autorrefractómetro, marca SUOER, modelo Ocular Screening SW-800, serie BC0013GY1C;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3" s="79" t="n">
        <v>1</v>
      </c>
      <c r="H43" s="80" t="n">
        <v>2</v>
      </c>
      <c r="I43" s="291" t="n">
        <v>50000</v>
      </c>
      <c r="J43" s="291">
        <f>I43</f>
        <v/>
      </c>
      <c r="K43" s="291">
        <f>J43</f>
        <v/>
      </c>
      <c r="L43" s="291">
        <f>SUM(I43:K43)</f>
        <v/>
      </c>
      <c r="M43" s="291">
        <f>L43*0.16</f>
        <v/>
      </c>
      <c r="N43" s="291">
        <f>SUM(L43:M43)</f>
        <v/>
      </c>
      <c r="O43" s="296" t="n">
        <v>150000</v>
      </c>
      <c r="P43" s="296">
        <f>G43*O43</f>
        <v/>
      </c>
      <c r="Q43" s="296">
        <f>H43*O43</f>
        <v/>
      </c>
      <c r="R43" s="296">
        <f>SUM(P43:Q43)</f>
        <v/>
      </c>
      <c r="S43" s="296">
        <f>R43*$S$9</f>
        <v/>
      </c>
      <c r="T43" s="296">
        <f>SUM(R43:S43)</f>
        <v/>
      </c>
      <c r="U43" s="78" t="inlineStr">
        <is>
          <t>OFTALMO</t>
        </is>
      </c>
      <c r="V43" s="82" t="inlineStr">
        <is>
          <t>MD</t>
        </is>
      </c>
      <c r="W43" s="83" t="inlineStr">
        <is>
          <t>ADJUDICADO</t>
        </is>
      </c>
      <c r="X43" s="29" t="inlineStr">
        <is>
          <t>PROYECTADO</t>
        </is>
      </c>
    </row>
    <row r="44" ht="28.2" customFormat="1" customHeight="1" s="29">
      <c r="A44" s="86" t="n">
        <v>46</v>
      </c>
      <c r="B44" s="68" t="inlineStr">
        <is>
          <t>CDMX</t>
        </is>
      </c>
      <c r="C44" s="72" t="inlineStr">
        <is>
          <t>Autorrefractómetro, marca SUOER, modelo Ocular Screening SW-800</t>
        </is>
      </c>
      <c r="D44" s="73" t="inlineStr">
        <is>
          <t>BC0007GY1C</t>
        </is>
      </c>
      <c r="E44" s="72" t="inlineStr">
        <is>
          <t>H.M.E.O. Constituyentes</t>
        </is>
      </c>
      <c r="F44" s="95" t="inlineStr">
        <is>
          <t>Servicio de mantenimiento integral para: Autorrefractómetro, marca SUOER, modelo Ocular Screening SW-800, serie BC0007GY1C;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4" s="79" t="n">
        <v>1</v>
      </c>
      <c r="H44" s="80" t="n">
        <v>2</v>
      </c>
      <c r="I44" s="291" t="n">
        <v>50000</v>
      </c>
      <c r="J44" s="291">
        <f>I44</f>
        <v/>
      </c>
      <c r="K44" s="291">
        <f>J44</f>
        <v/>
      </c>
      <c r="L44" s="291">
        <f>SUM(I44:K44)</f>
        <v/>
      </c>
      <c r="M44" s="291">
        <f>L44*0.16</f>
        <v/>
      </c>
      <c r="N44" s="291">
        <f>SUM(L44:M44)</f>
        <v/>
      </c>
      <c r="O44" s="296" t="n">
        <v>150000</v>
      </c>
      <c r="P44" s="296">
        <f>G44*O44</f>
        <v/>
      </c>
      <c r="Q44" s="296">
        <f>H44*O44</f>
        <v/>
      </c>
      <c r="R44" s="296">
        <f>SUM(P44:Q44)</f>
        <v/>
      </c>
      <c r="S44" s="296">
        <f>R44*$S$9</f>
        <v/>
      </c>
      <c r="T44" s="296">
        <f>SUM(R44:S44)</f>
        <v/>
      </c>
      <c r="U44" s="78" t="inlineStr">
        <is>
          <t>OFTALMO</t>
        </is>
      </c>
      <c r="V44" s="82" t="inlineStr">
        <is>
          <t>MD</t>
        </is>
      </c>
      <c r="W44" s="83" t="inlineStr">
        <is>
          <t>ADJUDICADO</t>
        </is>
      </c>
      <c r="X44" s="29" t="inlineStr">
        <is>
          <t>PROYECTADO</t>
        </is>
      </c>
    </row>
    <row r="45" ht="28.2" customFormat="1" customHeight="1" s="29">
      <c r="A45" s="86" t="n">
        <v>47</v>
      </c>
      <c r="B45" s="68" t="inlineStr">
        <is>
          <t>CDMX</t>
        </is>
      </c>
      <c r="C45" s="72" t="inlineStr">
        <is>
          <t>Autorrefractómetro, marca SUOER, modelo Ocular Screening SW-800</t>
        </is>
      </c>
      <c r="D45" s="68" t="inlineStr">
        <is>
          <t>BB0042GY1C</t>
        </is>
      </c>
      <c r="E45" s="69" t="inlineStr">
        <is>
          <t>H.M.E.O. Constituyentes</t>
        </is>
      </c>
      <c r="F45" s="95" t="inlineStr">
        <is>
          <t>Servicio de mantenimiento integral para: Autorrefractómetro, marca SUOER, modelo Ocular Screening SW-800, serie BB0042GY1C;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5" s="79" t="n">
        <v>1</v>
      </c>
      <c r="H45" s="80" t="n">
        <v>2</v>
      </c>
      <c r="I45" s="291" t="n">
        <v>50000</v>
      </c>
      <c r="J45" s="291">
        <f>I45</f>
        <v/>
      </c>
      <c r="K45" s="291">
        <f>J45</f>
        <v/>
      </c>
      <c r="L45" s="291">
        <f>SUM(I45:K45)</f>
        <v/>
      </c>
      <c r="M45" s="291">
        <f>L45*0.16</f>
        <v/>
      </c>
      <c r="N45" s="291">
        <f>SUM(L45:M45)</f>
        <v/>
      </c>
      <c r="O45" s="296" t="n">
        <v>150000</v>
      </c>
      <c r="P45" s="296">
        <f>G45*O45</f>
        <v/>
      </c>
      <c r="Q45" s="296">
        <f>H45*O45</f>
        <v/>
      </c>
      <c r="R45" s="296">
        <f>SUM(P45:Q45)</f>
        <v/>
      </c>
      <c r="S45" s="296">
        <f>R45*$S$9</f>
        <v/>
      </c>
      <c r="T45" s="296">
        <f>SUM(R45:S45)</f>
        <v/>
      </c>
      <c r="U45" s="78" t="inlineStr">
        <is>
          <t>OFTALMO</t>
        </is>
      </c>
      <c r="V45" s="82" t="inlineStr">
        <is>
          <t>MD</t>
        </is>
      </c>
      <c r="W45" s="83" t="inlineStr">
        <is>
          <t>ADJUDICADO</t>
        </is>
      </c>
      <c r="X45" s="29" t="inlineStr">
        <is>
          <t>PROYECTADO</t>
        </is>
      </c>
    </row>
    <row r="46" ht="28.2" customFormat="1" customHeight="1" s="29">
      <c r="A46" s="86" t="n">
        <v>48</v>
      </c>
      <c r="B46" s="68" t="inlineStr">
        <is>
          <t>CDMX</t>
        </is>
      </c>
      <c r="C46" s="72" t="inlineStr">
        <is>
          <t>Autorrefractómetro, marca SUOER, modelo Ocular Screening SW-800</t>
        </is>
      </c>
      <c r="D46" s="73" t="inlineStr">
        <is>
          <t>BB0043GY1C</t>
        </is>
      </c>
      <c r="E46" s="72" t="inlineStr">
        <is>
          <t>H.M.E.O. Constituyentes</t>
        </is>
      </c>
      <c r="F46" s="95" t="inlineStr">
        <is>
          <t>Servicio de mantenimiento integral para: Autorrefractómetro, marca SUOER, modelo Ocular Screening SW-800, serie BB0043GY1C;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6" s="79" t="n">
        <v>1</v>
      </c>
      <c r="H46" s="80" t="n">
        <v>2</v>
      </c>
      <c r="I46" s="291" t="n">
        <v>50000</v>
      </c>
      <c r="J46" s="291">
        <f>I46</f>
        <v/>
      </c>
      <c r="K46" s="291">
        <f>J46</f>
        <v/>
      </c>
      <c r="L46" s="291">
        <f>SUM(I46:K46)</f>
        <v/>
      </c>
      <c r="M46" s="291">
        <f>L46*0.16</f>
        <v/>
      </c>
      <c r="N46" s="291">
        <f>SUM(L46:M46)</f>
        <v/>
      </c>
      <c r="O46" s="296" t="n">
        <v>150000</v>
      </c>
      <c r="P46" s="296">
        <f>G46*O46</f>
        <v/>
      </c>
      <c r="Q46" s="296">
        <f>H46*O46</f>
        <v/>
      </c>
      <c r="R46" s="296">
        <f>SUM(P46:Q46)</f>
        <v/>
      </c>
      <c r="S46" s="296">
        <f>R46*$S$9</f>
        <v/>
      </c>
      <c r="T46" s="296">
        <f>SUM(R46:S46)</f>
        <v/>
      </c>
      <c r="U46" s="78" t="inlineStr">
        <is>
          <t>OFTALMO</t>
        </is>
      </c>
      <c r="V46" s="82" t="inlineStr">
        <is>
          <t>MD</t>
        </is>
      </c>
      <c r="W46" s="83" t="inlineStr">
        <is>
          <t>ADJUDICADO</t>
        </is>
      </c>
      <c r="X46" s="29" t="inlineStr">
        <is>
          <t>PROYECTADO</t>
        </is>
      </c>
    </row>
    <row r="47" ht="28.2" customFormat="1" customHeight="1" s="29">
      <c r="A47" s="86" t="n">
        <v>49</v>
      </c>
      <c r="B47" s="68" t="inlineStr">
        <is>
          <t>CDMX</t>
        </is>
      </c>
      <c r="C47" s="72" t="inlineStr">
        <is>
          <t>Autoqueratorrefractor, marca Nidek, modelo ARK-F</t>
        </is>
      </c>
      <c r="D47" s="73" t="inlineStr">
        <is>
          <t>270021</t>
        </is>
      </c>
      <c r="E47" s="72" t="inlineStr">
        <is>
          <t>H.M.E.O. Constituyentes</t>
        </is>
      </c>
      <c r="F47" s="95" t="inlineStr">
        <is>
          <t>Servicio de mantenimiento integral para: Autoqueratorrefractor, marca Nidek, modelo ARK-F, serie 270021;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7" s="79" t="n">
        <v>1</v>
      </c>
      <c r="H47" s="80" t="n">
        <v>2</v>
      </c>
      <c r="I47" s="291" t="n">
        <v>15000</v>
      </c>
      <c r="J47" s="291">
        <f>I47</f>
        <v/>
      </c>
      <c r="K47" s="291">
        <f>J47</f>
        <v/>
      </c>
      <c r="L47" s="291">
        <f>SUM(I47:K47)</f>
        <v/>
      </c>
      <c r="M47" s="291">
        <f>L47*0.16</f>
        <v/>
      </c>
      <c r="N47" s="291">
        <f>SUM(L47:M47)</f>
        <v/>
      </c>
      <c r="O47" s="296" t="n">
        <v>120000</v>
      </c>
      <c r="P47" s="296">
        <f>G47*O47</f>
        <v/>
      </c>
      <c r="Q47" s="296">
        <f>H47*O47</f>
        <v/>
      </c>
      <c r="R47" s="296">
        <f>SUM(P47:Q47)</f>
        <v/>
      </c>
      <c r="S47" s="296">
        <f>R47*$S$9</f>
        <v/>
      </c>
      <c r="T47" s="296">
        <f>SUM(R47:S47)</f>
        <v/>
      </c>
      <c r="U47" s="78" t="inlineStr">
        <is>
          <t>OFTALMO</t>
        </is>
      </c>
      <c r="V47" s="82" t="inlineStr">
        <is>
          <t>S4</t>
        </is>
      </c>
      <c r="W47" s="83" t="inlineStr">
        <is>
          <t>ADJUDICADO</t>
        </is>
      </c>
      <c r="X47" s="29" t="inlineStr">
        <is>
          <t>PROYECTADO</t>
        </is>
      </c>
    </row>
    <row r="48" ht="28.2" customFormat="1" customHeight="1" s="29">
      <c r="A48" s="86" t="n">
        <v>50</v>
      </c>
      <c r="B48" s="68" t="inlineStr">
        <is>
          <t>CDMX</t>
        </is>
      </c>
      <c r="C48" s="72" t="inlineStr">
        <is>
          <t>Autoqueratorrefractor, marca Nidek, modelo ARK-F</t>
        </is>
      </c>
      <c r="D48" s="68" t="inlineStr">
        <is>
          <t>270029</t>
        </is>
      </c>
      <c r="E48" s="69" t="inlineStr">
        <is>
          <t>H.M.E.O. Constituyentes</t>
        </is>
      </c>
      <c r="F48" s="95" t="inlineStr">
        <is>
          <t>Servicio de mantenimiento integral para: Autoqueratorrefractor, marca Nidek, modelo ARK-F, serie 270029;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8" s="79" t="n">
        <v>1</v>
      </c>
      <c r="H48" s="80" t="n">
        <v>2</v>
      </c>
      <c r="I48" s="291" t="n">
        <v>15000</v>
      </c>
      <c r="J48" s="291">
        <f>I48</f>
        <v/>
      </c>
      <c r="K48" s="291">
        <f>J48</f>
        <v/>
      </c>
      <c r="L48" s="291">
        <f>SUM(I48:K48)</f>
        <v/>
      </c>
      <c r="M48" s="291">
        <f>L48*0.16</f>
        <v/>
      </c>
      <c r="N48" s="291">
        <f>SUM(L48:M48)</f>
        <v/>
      </c>
      <c r="O48" s="296" t="n">
        <v>120000</v>
      </c>
      <c r="P48" s="296">
        <f>G48*O48</f>
        <v/>
      </c>
      <c r="Q48" s="296">
        <f>H48*O48</f>
        <v/>
      </c>
      <c r="R48" s="296">
        <f>SUM(P48:Q48)</f>
        <v/>
      </c>
      <c r="S48" s="296">
        <f>R48*$S$9</f>
        <v/>
      </c>
      <c r="T48" s="296">
        <f>SUM(R48:S48)</f>
        <v/>
      </c>
      <c r="U48" s="78" t="inlineStr">
        <is>
          <t>OFTALMO</t>
        </is>
      </c>
      <c r="V48" s="82" t="inlineStr">
        <is>
          <t>S4</t>
        </is>
      </c>
      <c r="W48" s="83" t="inlineStr">
        <is>
          <t>ADJUDICADO</t>
        </is>
      </c>
      <c r="X48" s="29" t="inlineStr">
        <is>
          <t>PROYECTADO</t>
        </is>
      </c>
    </row>
    <row r="49" ht="28.2" customFormat="1" customHeight="1" s="29">
      <c r="A49" s="86" t="n">
        <v>51</v>
      </c>
      <c r="B49" s="68" t="inlineStr">
        <is>
          <t>CDMX</t>
        </is>
      </c>
      <c r="C49" s="72" t="inlineStr">
        <is>
          <t>Autoqueratorrefractor, marca Nidek, modelo ARK-F</t>
        </is>
      </c>
      <c r="D49" s="73" t="inlineStr">
        <is>
          <t>270031</t>
        </is>
      </c>
      <c r="E49" s="72" t="inlineStr">
        <is>
          <t>H.M.E.O. Constituyentes</t>
        </is>
      </c>
      <c r="F49" s="95" t="inlineStr">
        <is>
          <t>Servicio de mantenimiento integral para: Autoqueratorrefractor, marca Nidek, modelo ARK-F, serie 270031;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9" s="79" t="n">
        <v>1</v>
      </c>
      <c r="H49" s="80" t="n">
        <v>2</v>
      </c>
      <c r="I49" s="291" t="n">
        <v>15000</v>
      </c>
      <c r="J49" s="291">
        <f>I49</f>
        <v/>
      </c>
      <c r="K49" s="291">
        <f>J49</f>
        <v/>
      </c>
      <c r="L49" s="291">
        <f>SUM(I49:K49)</f>
        <v/>
      </c>
      <c r="M49" s="291">
        <f>L49*0.16</f>
        <v/>
      </c>
      <c r="N49" s="291">
        <f>SUM(L49:M49)</f>
        <v/>
      </c>
      <c r="O49" s="296" t="n">
        <v>120000</v>
      </c>
      <c r="P49" s="296">
        <f>G49*O49</f>
        <v/>
      </c>
      <c r="Q49" s="296">
        <f>H49*O49</f>
        <v/>
      </c>
      <c r="R49" s="296">
        <f>SUM(P49:Q49)</f>
        <v/>
      </c>
      <c r="S49" s="296">
        <f>R49*$S$9</f>
        <v/>
      </c>
      <c r="T49" s="296">
        <f>SUM(R49:S49)</f>
        <v/>
      </c>
      <c r="U49" s="78" t="inlineStr">
        <is>
          <t>OFTALMO</t>
        </is>
      </c>
      <c r="V49" s="82" t="inlineStr">
        <is>
          <t>S4</t>
        </is>
      </c>
      <c r="W49" s="83" t="inlineStr">
        <is>
          <t>ADJUDICADO</t>
        </is>
      </c>
      <c r="X49" s="29" t="inlineStr">
        <is>
          <t>PROYECTADO</t>
        </is>
      </c>
    </row>
    <row r="50" ht="28.2" customFormat="1" customHeight="1" s="29">
      <c r="A50" s="86" t="n">
        <v>52</v>
      </c>
      <c r="B50" s="68" t="inlineStr">
        <is>
          <t>CDMX</t>
        </is>
      </c>
      <c r="C50" s="72" t="inlineStr">
        <is>
          <t>Autoqueratorrefractor, marca Nidek, modelo ARK-F</t>
        </is>
      </c>
      <c r="D50" s="73" t="inlineStr">
        <is>
          <t>270032</t>
        </is>
      </c>
      <c r="E50" s="72" t="inlineStr">
        <is>
          <t>H.M.E.O. Constituyentes</t>
        </is>
      </c>
      <c r="F50" s="95" t="inlineStr">
        <is>
          <t>Servicio de mantenimiento integral para: Autoqueratorrefractor, marca Nidek, modelo ARK-F, serie 270032;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0" s="79" t="n">
        <v>1</v>
      </c>
      <c r="H50" s="80" t="n">
        <v>2</v>
      </c>
      <c r="I50" s="291" t="n">
        <v>15000</v>
      </c>
      <c r="J50" s="291">
        <f>I50</f>
        <v/>
      </c>
      <c r="K50" s="291">
        <f>J50</f>
        <v/>
      </c>
      <c r="L50" s="291">
        <f>SUM(I50:K50)</f>
        <v/>
      </c>
      <c r="M50" s="291">
        <f>L50*0.16</f>
        <v/>
      </c>
      <c r="N50" s="291">
        <f>SUM(L50:M50)</f>
        <v/>
      </c>
      <c r="O50" s="296" t="n">
        <v>120000</v>
      </c>
      <c r="P50" s="296">
        <f>G50*O50</f>
        <v/>
      </c>
      <c r="Q50" s="296">
        <f>H50*O50</f>
        <v/>
      </c>
      <c r="R50" s="296">
        <f>SUM(P50:Q50)</f>
        <v/>
      </c>
      <c r="S50" s="296">
        <f>R50*$S$9</f>
        <v/>
      </c>
      <c r="T50" s="296">
        <f>SUM(R50:S50)</f>
        <v/>
      </c>
      <c r="U50" s="78" t="inlineStr">
        <is>
          <t>OFTALMO</t>
        </is>
      </c>
      <c r="V50" s="82" t="inlineStr">
        <is>
          <t>S4</t>
        </is>
      </c>
      <c r="W50" s="83" t="inlineStr">
        <is>
          <t>ADJUDICADO</t>
        </is>
      </c>
      <c r="X50" s="29" t="inlineStr">
        <is>
          <t>PROYECTADO</t>
        </is>
      </c>
    </row>
    <row r="51" ht="28.2" customFormat="1" customHeight="1" s="29">
      <c r="A51" s="86" t="n">
        <v>53</v>
      </c>
      <c r="B51" s="68" t="inlineStr">
        <is>
          <t>CDMX</t>
        </is>
      </c>
      <c r="C51" s="72" t="inlineStr">
        <is>
          <t>Autoqueratorrefractor, marca Nidek, modelo ARK-F</t>
        </is>
      </c>
      <c r="D51" s="68" t="inlineStr">
        <is>
          <t>270023</t>
        </is>
      </c>
      <c r="E51" s="69" t="inlineStr">
        <is>
          <t>H.M.E.O. Constituyentes</t>
        </is>
      </c>
      <c r="F51" s="95" t="inlineStr">
        <is>
          <t>Servicio de mantenimiento integral para: Autoqueratorrefractor, marca Nidek, modelo ARK-F, serie 270023;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1" s="79" t="n">
        <v>1</v>
      </c>
      <c r="H51" s="80" t="n">
        <v>2</v>
      </c>
      <c r="I51" s="291" t="n">
        <v>15000</v>
      </c>
      <c r="J51" s="291">
        <f>I51</f>
        <v/>
      </c>
      <c r="K51" s="291">
        <f>J51</f>
        <v/>
      </c>
      <c r="L51" s="291">
        <f>SUM(I51:K51)</f>
        <v/>
      </c>
      <c r="M51" s="291">
        <f>L51*0.16</f>
        <v/>
      </c>
      <c r="N51" s="291">
        <f>SUM(L51:M51)</f>
        <v/>
      </c>
      <c r="O51" s="296" t="n">
        <v>120000</v>
      </c>
      <c r="P51" s="296">
        <f>G51*O51</f>
        <v/>
      </c>
      <c r="Q51" s="296">
        <f>H51*O51</f>
        <v/>
      </c>
      <c r="R51" s="296">
        <f>SUM(P51:Q51)</f>
        <v/>
      </c>
      <c r="S51" s="296">
        <f>R51*$S$9</f>
        <v/>
      </c>
      <c r="T51" s="296">
        <f>SUM(R51:S51)</f>
        <v/>
      </c>
      <c r="U51" s="78" t="inlineStr">
        <is>
          <t>OFTALMO</t>
        </is>
      </c>
      <c r="V51" s="82" t="inlineStr">
        <is>
          <t>S4</t>
        </is>
      </c>
      <c r="W51" s="83" t="inlineStr">
        <is>
          <t>ADJUDICADO</t>
        </is>
      </c>
      <c r="X51" s="29" t="inlineStr">
        <is>
          <t>PROYECTADO</t>
        </is>
      </c>
    </row>
    <row r="52" ht="28.2" customFormat="1" customHeight="1" s="29">
      <c r="A52" s="86" t="n">
        <v>54</v>
      </c>
      <c r="B52" s="68" t="inlineStr">
        <is>
          <t>CDMX</t>
        </is>
      </c>
      <c r="C52" s="72" t="inlineStr">
        <is>
          <t>Autoqueratorrefractor, marca Nidek, modelo ARK-F</t>
        </is>
      </c>
      <c r="D52" s="68" t="inlineStr">
        <is>
          <t>270034</t>
        </is>
      </c>
      <c r="E52" s="69" t="inlineStr">
        <is>
          <t>H.M.E.O. Constituyentes</t>
        </is>
      </c>
      <c r="F52" s="95" t="inlineStr">
        <is>
          <t>Servicio de mantenimiento integral para: Autoqueratorrefractor, marca Nidek, modelo ARK-F, serie 270034;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2" s="79" t="n">
        <v>1</v>
      </c>
      <c r="H52" s="80" t="n">
        <v>2</v>
      </c>
      <c r="I52" s="291" t="n">
        <v>15000</v>
      </c>
      <c r="J52" s="291">
        <f>I52</f>
        <v/>
      </c>
      <c r="K52" s="291">
        <f>J52</f>
        <v/>
      </c>
      <c r="L52" s="291">
        <f>SUM(I52:K52)</f>
        <v/>
      </c>
      <c r="M52" s="291">
        <f>L52*0.16</f>
        <v/>
      </c>
      <c r="N52" s="291">
        <f>SUM(L52:M52)</f>
        <v/>
      </c>
      <c r="O52" s="296" t="n">
        <v>120000</v>
      </c>
      <c r="P52" s="296">
        <f>G52*O52</f>
        <v/>
      </c>
      <c r="Q52" s="296">
        <f>H52*O52</f>
        <v/>
      </c>
      <c r="R52" s="296">
        <f>SUM(P52:Q52)</f>
        <v/>
      </c>
      <c r="S52" s="296">
        <f>R52*$S$9</f>
        <v/>
      </c>
      <c r="T52" s="296">
        <f>SUM(R52:S52)</f>
        <v/>
      </c>
      <c r="U52" s="78" t="inlineStr">
        <is>
          <t>OFTALMO</t>
        </is>
      </c>
      <c r="V52" s="82" t="inlineStr">
        <is>
          <t>S4</t>
        </is>
      </c>
      <c r="W52" s="83" t="inlineStr">
        <is>
          <t>ADJUDICADO</t>
        </is>
      </c>
      <c r="X52" s="29" t="inlineStr">
        <is>
          <t>PROYECTADO</t>
        </is>
      </c>
    </row>
    <row r="53" ht="28.2" customFormat="1" customHeight="1" s="29">
      <c r="A53" s="86" t="n">
        <v>55</v>
      </c>
      <c r="B53" s="68" t="inlineStr">
        <is>
          <t>CDMX</t>
        </is>
      </c>
      <c r="C53" s="72" t="inlineStr">
        <is>
          <t>Autoqueratorrefractor, marca Nidek, modelo ARK-F</t>
        </is>
      </c>
      <c r="D53" s="73" t="inlineStr">
        <is>
          <t>270035</t>
        </is>
      </c>
      <c r="E53" s="72" t="inlineStr">
        <is>
          <t>H.M.E.O. Constituyentes</t>
        </is>
      </c>
      <c r="F53" s="95" t="inlineStr">
        <is>
          <t>Servicio de mantenimiento integral para: Autoqueratorrefractor, marca Nidek, modelo ARK-F, serie 270035;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3" s="79" t="n">
        <v>1</v>
      </c>
      <c r="H53" s="80" t="n">
        <v>2</v>
      </c>
      <c r="I53" s="291" t="n">
        <v>15000</v>
      </c>
      <c r="J53" s="291">
        <f>I53</f>
        <v/>
      </c>
      <c r="K53" s="291">
        <f>J53</f>
        <v/>
      </c>
      <c r="L53" s="291">
        <f>SUM(I53:K53)</f>
        <v/>
      </c>
      <c r="M53" s="291">
        <f>L53*0.16</f>
        <v/>
      </c>
      <c r="N53" s="291">
        <f>SUM(L53:M53)</f>
        <v/>
      </c>
      <c r="O53" s="296" t="n">
        <v>120000</v>
      </c>
      <c r="P53" s="296">
        <f>G53*O53</f>
        <v/>
      </c>
      <c r="Q53" s="296">
        <f>H53*O53</f>
        <v/>
      </c>
      <c r="R53" s="296">
        <f>SUM(P53:Q53)</f>
        <v/>
      </c>
      <c r="S53" s="296">
        <f>R53*$S$9</f>
        <v/>
      </c>
      <c r="T53" s="296">
        <f>SUM(R53:S53)</f>
        <v/>
      </c>
      <c r="U53" s="78" t="inlineStr">
        <is>
          <t>OFTALMO</t>
        </is>
      </c>
      <c r="V53" s="82" t="inlineStr">
        <is>
          <t>S4</t>
        </is>
      </c>
      <c r="W53" s="83" t="inlineStr">
        <is>
          <t>ADJUDICADO</t>
        </is>
      </c>
      <c r="X53" s="29" t="inlineStr">
        <is>
          <t>PROYECTADO</t>
        </is>
      </c>
    </row>
    <row r="54" ht="28.2" customFormat="1" customHeight="1" s="29">
      <c r="A54" s="86" t="n">
        <v>56</v>
      </c>
      <c r="B54" s="68" t="inlineStr">
        <is>
          <t>CDMX</t>
        </is>
      </c>
      <c r="C54" s="72" t="inlineStr">
        <is>
          <t>Autoqueratorrefractor, marca Nidek, modelo ARK-F</t>
        </is>
      </c>
      <c r="D54" s="68" t="inlineStr">
        <is>
          <t>270036</t>
        </is>
      </c>
      <c r="E54" s="69" t="inlineStr">
        <is>
          <t>H.M.E.O. Constituyentes</t>
        </is>
      </c>
      <c r="F54" s="95" t="inlineStr">
        <is>
          <t>Servicio de mantenimiento integral para: Autoqueratorrefractor, marca Nidek, modelo ARK-F, serie 270036;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4" s="79" t="n">
        <v>1</v>
      </c>
      <c r="H54" s="80" t="n">
        <v>2</v>
      </c>
      <c r="I54" s="291" t="n">
        <v>15000</v>
      </c>
      <c r="J54" s="291">
        <f>I54</f>
        <v/>
      </c>
      <c r="K54" s="291">
        <f>J54</f>
        <v/>
      </c>
      <c r="L54" s="291">
        <f>SUM(I54:K54)</f>
        <v/>
      </c>
      <c r="M54" s="291">
        <f>L54*0.16</f>
        <v/>
      </c>
      <c r="N54" s="291">
        <f>SUM(L54:M54)</f>
        <v/>
      </c>
      <c r="O54" s="296" t="n">
        <v>120000</v>
      </c>
      <c r="P54" s="296">
        <f>G54*O54</f>
        <v/>
      </c>
      <c r="Q54" s="296">
        <f>H54*O54</f>
        <v/>
      </c>
      <c r="R54" s="296">
        <f>SUM(P54:Q54)</f>
        <v/>
      </c>
      <c r="S54" s="296">
        <f>R54*$S$9</f>
        <v/>
      </c>
      <c r="T54" s="296">
        <f>SUM(R54:S54)</f>
        <v/>
      </c>
      <c r="U54" s="78" t="inlineStr">
        <is>
          <t>OFTALMO</t>
        </is>
      </c>
      <c r="V54" s="82" t="inlineStr">
        <is>
          <t>S4</t>
        </is>
      </c>
      <c r="W54" s="83" t="inlineStr">
        <is>
          <t>ADJUDICADO</t>
        </is>
      </c>
      <c r="X54" s="29" t="inlineStr">
        <is>
          <t>PROYECTADO</t>
        </is>
      </c>
    </row>
    <row r="55" ht="28.2" customFormat="1" customHeight="1" s="29">
      <c r="A55" s="86" t="n">
        <v>57</v>
      </c>
      <c r="B55" s="68" t="inlineStr">
        <is>
          <t>CDMX</t>
        </is>
      </c>
      <c r="C55" s="72" t="inlineStr">
        <is>
          <t>Autoqueratorrefractor, marca Nidek, modelo ARK-F</t>
        </is>
      </c>
      <c r="D55" s="73" t="inlineStr">
        <is>
          <t>270037</t>
        </is>
      </c>
      <c r="E55" s="72" t="inlineStr">
        <is>
          <t>H.M.E.O. Constituyentes</t>
        </is>
      </c>
      <c r="F55" s="95" t="inlineStr">
        <is>
          <t>Servicio de mantenimiento integral para: Autoqueratorrefractor, marca Nidek, modelo ARK-F, serie 270037;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5" s="79" t="n">
        <v>1</v>
      </c>
      <c r="H55" s="80" t="n">
        <v>2</v>
      </c>
      <c r="I55" s="291" t="n">
        <v>15000</v>
      </c>
      <c r="J55" s="291">
        <f>I55</f>
        <v/>
      </c>
      <c r="K55" s="291">
        <f>J55</f>
        <v/>
      </c>
      <c r="L55" s="291">
        <f>SUM(I55:K55)</f>
        <v/>
      </c>
      <c r="M55" s="291">
        <f>L55*0.16</f>
        <v/>
      </c>
      <c r="N55" s="291">
        <f>SUM(L55:M55)</f>
        <v/>
      </c>
      <c r="O55" s="296" t="n">
        <v>120000</v>
      </c>
      <c r="P55" s="296">
        <f>G55*O55</f>
        <v/>
      </c>
      <c r="Q55" s="296">
        <f>H55*O55</f>
        <v/>
      </c>
      <c r="R55" s="296">
        <f>SUM(P55:Q55)</f>
        <v/>
      </c>
      <c r="S55" s="296">
        <f>R55*$S$9</f>
        <v/>
      </c>
      <c r="T55" s="296">
        <f>SUM(R55:S55)</f>
        <v/>
      </c>
      <c r="U55" s="78" t="inlineStr">
        <is>
          <t>OFTALMO</t>
        </is>
      </c>
      <c r="V55" s="82" t="inlineStr">
        <is>
          <t>S4</t>
        </is>
      </c>
      <c r="W55" s="83" t="inlineStr">
        <is>
          <t>ADJUDICADO</t>
        </is>
      </c>
      <c r="X55" s="29" t="inlineStr">
        <is>
          <t>PROYECTADO</t>
        </is>
      </c>
    </row>
    <row r="56" ht="28.2" customFormat="1" customHeight="1" s="30">
      <c r="A56" s="86" t="n">
        <v>58</v>
      </c>
      <c r="B56" s="68" t="inlineStr">
        <is>
          <t>CDMX</t>
        </is>
      </c>
      <c r="C56" s="72" t="inlineStr">
        <is>
          <t>Autoqueratorrefractor, marca Nidek, modelo ARK-F</t>
        </is>
      </c>
      <c r="D56" s="68" t="inlineStr">
        <is>
          <t>270038</t>
        </is>
      </c>
      <c r="E56" s="69" t="inlineStr">
        <is>
          <t>H.M.E.O. Constituyentes</t>
        </is>
      </c>
      <c r="F56" s="95" t="inlineStr">
        <is>
          <t>Servicio de mantenimiento integral para: Autoqueratorrefractor, marca Nidek, modelo ARK-F, serie 270038;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6" s="79" t="n">
        <v>1</v>
      </c>
      <c r="H56" s="80" t="n">
        <v>2</v>
      </c>
      <c r="I56" s="291" t="n">
        <v>15000</v>
      </c>
      <c r="J56" s="291">
        <f>I56</f>
        <v/>
      </c>
      <c r="K56" s="291">
        <f>J56</f>
        <v/>
      </c>
      <c r="L56" s="291">
        <f>SUM(I56:K56)</f>
        <v/>
      </c>
      <c r="M56" s="291">
        <f>L56*0.16</f>
        <v/>
      </c>
      <c r="N56" s="291">
        <f>SUM(L56:M56)</f>
        <v/>
      </c>
      <c r="O56" s="296" t="n">
        <v>120000</v>
      </c>
      <c r="P56" s="296">
        <f>G56*O56</f>
        <v/>
      </c>
      <c r="Q56" s="296">
        <f>H56*O56</f>
        <v/>
      </c>
      <c r="R56" s="296">
        <f>SUM(P56:Q56)</f>
        <v/>
      </c>
      <c r="S56" s="296">
        <f>R56*$S$9</f>
        <v/>
      </c>
      <c r="T56" s="296">
        <f>SUM(R56:S56)</f>
        <v/>
      </c>
      <c r="U56" s="78" t="inlineStr">
        <is>
          <t>OFTALMO</t>
        </is>
      </c>
      <c r="V56" s="84" t="inlineStr">
        <is>
          <t>S4</t>
        </is>
      </c>
      <c r="W56" s="83" t="inlineStr">
        <is>
          <t>ADJUDICADO</t>
        </is>
      </c>
      <c r="X56" s="1" t="inlineStr">
        <is>
          <t>PROYECTADO</t>
        </is>
      </c>
    </row>
    <row r="57" ht="28.2" customHeight="1" s="227">
      <c r="A57" s="86" t="n">
        <v>59</v>
      </c>
      <c r="B57" s="74" t="inlineStr">
        <is>
          <t>CDMX</t>
        </is>
      </c>
      <c r="C57" s="75" t="inlineStr">
        <is>
          <t>Autoqueratorrefractor, marca Nidek, modelo ARK-F</t>
        </is>
      </c>
      <c r="D57" s="74" t="inlineStr">
        <is>
          <t>270033</t>
        </is>
      </c>
      <c r="E57" s="75" t="inlineStr">
        <is>
          <t>H.M.E.O. Constituyentes</t>
        </is>
      </c>
      <c r="F57" s="95" t="inlineStr">
        <is>
          <t>Servicio de mantenimiento integral para: Autoqueratorrefractor, marca Nidek, modelo ARK-F, serie 270033;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7" s="79" t="n">
        <v>1</v>
      </c>
      <c r="H57" s="80" t="n">
        <v>2</v>
      </c>
      <c r="I57" s="291" t="n">
        <v>15000</v>
      </c>
      <c r="J57" s="291">
        <f>I57</f>
        <v/>
      </c>
      <c r="K57" s="291">
        <f>J57</f>
        <v/>
      </c>
      <c r="L57" s="291">
        <f>SUM(I57:K57)</f>
        <v/>
      </c>
      <c r="M57" s="291">
        <f>L57*0.16</f>
        <v/>
      </c>
      <c r="N57" s="291">
        <f>SUM(L57:M57)</f>
        <v/>
      </c>
      <c r="O57" s="296" t="n">
        <v>120000</v>
      </c>
      <c r="P57" s="296">
        <f>G57*O57</f>
        <v/>
      </c>
      <c r="Q57" s="296">
        <f>H57*O57</f>
        <v/>
      </c>
      <c r="R57" s="296">
        <f>SUM(P57:Q57)</f>
        <v/>
      </c>
      <c r="S57" s="296">
        <f>R57*$S$9</f>
        <v/>
      </c>
      <c r="T57" s="296">
        <f>SUM(R57:S57)</f>
        <v/>
      </c>
      <c r="U57" s="78" t="inlineStr">
        <is>
          <t>OFTALMO</t>
        </is>
      </c>
      <c r="V57" s="81" t="inlineStr">
        <is>
          <t>S4</t>
        </is>
      </c>
      <c r="W57" s="83" t="inlineStr">
        <is>
          <t>ADJUDICADO</t>
        </is>
      </c>
      <c r="X57" s="5" t="inlineStr">
        <is>
          <t>PROYECTADO</t>
        </is>
      </c>
    </row>
    <row r="58" ht="28.2" customHeight="1" s="227">
      <c r="A58" s="86" t="n">
        <v>60</v>
      </c>
      <c r="B58" s="68" t="inlineStr">
        <is>
          <t>CDMX</t>
        </is>
      </c>
      <c r="C58" s="69" t="inlineStr">
        <is>
          <t>Autoqueratorrefractor, marca Nidek, modelo ARK-F</t>
        </is>
      </c>
      <c r="D58" s="68" t="inlineStr">
        <is>
          <t>270025</t>
        </is>
      </c>
      <c r="E58" s="69" t="inlineStr">
        <is>
          <t>H.M.E.O. Constituyentes</t>
        </is>
      </c>
      <c r="F58" s="95" t="inlineStr">
        <is>
          <t>Servicio de mantenimiento integral para: Autoqueratorrefractor, marca Nidek, modelo ARK-F, serie 270025;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8" s="79" t="n">
        <v>1</v>
      </c>
      <c r="H58" s="80" t="n">
        <v>2</v>
      </c>
      <c r="I58" s="291" t="n">
        <v>15000</v>
      </c>
      <c r="J58" s="291">
        <f>I58</f>
        <v/>
      </c>
      <c r="K58" s="291">
        <f>J58</f>
        <v/>
      </c>
      <c r="L58" s="291">
        <f>SUM(I58:K58)</f>
        <v/>
      </c>
      <c r="M58" s="291">
        <f>L58*0.16</f>
        <v/>
      </c>
      <c r="N58" s="291">
        <f>SUM(L58:M58)</f>
        <v/>
      </c>
      <c r="O58" s="296" t="n">
        <v>120000</v>
      </c>
      <c r="P58" s="296">
        <f>G58*O58</f>
        <v/>
      </c>
      <c r="Q58" s="296">
        <f>H58*O58</f>
        <v/>
      </c>
      <c r="R58" s="296">
        <f>SUM(P58:Q58)</f>
        <v/>
      </c>
      <c r="S58" s="296">
        <f>R58*$S$9</f>
        <v/>
      </c>
      <c r="T58" s="296">
        <f>SUM(R58:S58)</f>
        <v/>
      </c>
      <c r="U58" s="78" t="inlineStr">
        <is>
          <t>OFTALMO</t>
        </is>
      </c>
      <c r="V58" s="81" t="inlineStr">
        <is>
          <t>S4</t>
        </is>
      </c>
      <c r="W58" s="83" t="inlineStr">
        <is>
          <t>ADJUDICADO</t>
        </is>
      </c>
      <c r="X58" s="5" t="inlineStr">
        <is>
          <t>PROYECTADO</t>
        </is>
      </c>
    </row>
    <row r="59" ht="28.2" customHeight="1" s="227">
      <c r="A59" s="86" t="n">
        <v>61</v>
      </c>
      <c r="B59" s="68" t="inlineStr">
        <is>
          <t>CDMX</t>
        </is>
      </c>
      <c r="C59" s="69" t="inlineStr">
        <is>
          <t>Sistema de diagnóstico oftálmico avanzado, marca Nidek, modelo TONOREF III</t>
        </is>
      </c>
      <c r="D59" s="68" t="inlineStr">
        <is>
          <t>170692</t>
        </is>
      </c>
      <c r="E59" s="69" t="inlineStr">
        <is>
          <t>H.M.E.O. Constituyentes</t>
        </is>
      </c>
      <c r="F59" s="95" t="inlineStr">
        <is>
          <t>Servicio de mantenimiento integral para: Sistema de diagnóstico oftálmico avanzado, marca Nidek, modelo TONOREF III, serie 170692;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9" s="79" t="n">
        <v>1</v>
      </c>
      <c r="H59" s="80" t="n">
        <v>2</v>
      </c>
      <c r="I59" s="291" t="n">
        <v>20000</v>
      </c>
      <c r="J59" s="291">
        <f>I59</f>
        <v/>
      </c>
      <c r="K59" s="291">
        <f>J59</f>
        <v/>
      </c>
      <c r="L59" s="291">
        <f>SUM(I59:K59)</f>
        <v/>
      </c>
      <c r="M59" s="291">
        <f>L59*0.16</f>
        <v/>
      </c>
      <c r="N59" s="291">
        <f>SUM(L59:M59)</f>
        <v/>
      </c>
      <c r="O59" s="296" t="n">
        <v>150000</v>
      </c>
      <c r="P59" s="296">
        <f>G59*O59</f>
        <v/>
      </c>
      <c r="Q59" s="296">
        <f>H59*O59</f>
        <v/>
      </c>
      <c r="R59" s="296">
        <f>SUM(P59:Q59)</f>
        <v/>
      </c>
      <c r="S59" s="296">
        <f>R59*$S$9</f>
        <v/>
      </c>
      <c r="T59" s="296">
        <f>SUM(R59:S59)</f>
        <v/>
      </c>
      <c r="U59" s="78" t="inlineStr">
        <is>
          <t>OFTALMO</t>
        </is>
      </c>
      <c r="V59" s="81" t="inlineStr">
        <is>
          <t>S4</t>
        </is>
      </c>
      <c r="W59" s="83" t="inlineStr">
        <is>
          <t>ADJUDICADO</t>
        </is>
      </c>
      <c r="X59" s="5" t="inlineStr">
        <is>
          <t>PROYECTADO</t>
        </is>
      </c>
    </row>
    <row r="60" ht="28.2" customHeight="1" s="227">
      <c r="A60" s="86" t="n">
        <v>62</v>
      </c>
      <c r="B60" s="68" t="inlineStr">
        <is>
          <t>CDMX</t>
        </is>
      </c>
      <c r="C60" s="69" t="inlineStr">
        <is>
          <t>Sistema de diagnóstico oftálmico avanzado, marca Nidek, modelo TONOREF III</t>
        </is>
      </c>
      <c r="D60" s="68" t="inlineStr">
        <is>
          <t>170696</t>
        </is>
      </c>
      <c r="E60" s="69" t="inlineStr">
        <is>
          <t>H.M.E.O. Constituyentes</t>
        </is>
      </c>
      <c r="F60" s="95" t="inlineStr">
        <is>
          <t>Servicio de mantenimiento integral para: Sistema de diagnóstico oftálmico avanzado, marca Nidek, modelo TONOREF III, serie 170696;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0" s="79" t="n">
        <v>1</v>
      </c>
      <c r="H60" s="80" t="n">
        <v>2</v>
      </c>
      <c r="I60" s="291" t="n">
        <v>20000</v>
      </c>
      <c r="J60" s="291">
        <f>I60</f>
        <v/>
      </c>
      <c r="K60" s="291">
        <f>J60</f>
        <v/>
      </c>
      <c r="L60" s="291">
        <f>SUM(I60:K60)</f>
        <v/>
      </c>
      <c r="M60" s="291">
        <f>L60*0.16</f>
        <v/>
      </c>
      <c r="N60" s="291">
        <f>SUM(L60:M60)</f>
        <v/>
      </c>
      <c r="O60" s="296" t="n">
        <v>150000</v>
      </c>
      <c r="P60" s="296">
        <f>G60*O60</f>
        <v/>
      </c>
      <c r="Q60" s="296">
        <f>H60*O60</f>
        <v/>
      </c>
      <c r="R60" s="296">
        <f>SUM(P60:Q60)</f>
        <v/>
      </c>
      <c r="S60" s="296">
        <f>R60*$S$9</f>
        <v/>
      </c>
      <c r="T60" s="296">
        <f>SUM(R60:S60)</f>
        <v/>
      </c>
      <c r="U60" s="78" t="inlineStr">
        <is>
          <t>OFTALMO</t>
        </is>
      </c>
      <c r="V60" s="81" t="inlineStr">
        <is>
          <t>S4</t>
        </is>
      </c>
      <c r="W60" s="83" t="inlineStr">
        <is>
          <t>ADJUDICADO</t>
        </is>
      </c>
      <c r="X60" s="5" t="inlineStr">
        <is>
          <t>PROYECTADO</t>
        </is>
      </c>
    </row>
    <row r="61" ht="28.2" customHeight="1" s="227">
      <c r="A61" s="86" t="n">
        <v>63</v>
      </c>
      <c r="B61" s="68" t="inlineStr">
        <is>
          <t>CDMX</t>
        </is>
      </c>
      <c r="C61" s="69" t="inlineStr">
        <is>
          <t>Sistema de diagnóstico oftálmico avanzado, marca Nidek, modelo TONOREF III</t>
        </is>
      </c>
      <c r="D61" s="68" t="inlineStr">
        <is>
          <t>170711</t>
        </is>
      </c>
      <c r="E61" s="69" t="inlineStr">
        <is>
          <t>H.M.E.O. Constituyentes</t>
        </is>
      </c>
      <c r="F61" s="95" t="inlineStr">
        <is>
          <t>Servicio de mantenimiento integral para: Sistema de diagnóstico oftálmico avanzado, marca Nidek, modelo TONOREF III, serie 170711;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1" s="79" t="n">
        <v>1</v>
      </c>
      <c r="H61" s="80" t="n">
        <v>2</v>
      </c>
      <c r="I61" s="291" t="n">
        <v>20000</v>
      </c>
      <c r="J61" s="291">
        <f>I61</f>
        <v/>
      </c>
      <c r="K61" s="291">
        <f>J61</f>
        <v/>
      </c>
      <c r="L61" s="291">
        <f>SUM(I61:K61)</f>
        <v/>
      </c>
      <c r="M61" s="291">
        <f>L61*0.16</f>
        <v/>
      </c>
      <c r="N61" s="291">
        <f>SUM(L61:M61)</f>
        <v/>
      </c>
      <c r="O61" s="296" t="n">
        <v>150000</v>
      </c>
      <c r="P61" s="296">
        <f>G61*O61</f>
        <v/>
      </c>
      <c r="Q61" s="296">
        <f>H61*O61</f>
        <v/>
      </c>
      <c r="R61" s="296">
        <f>SUM(P61:Q61)</f>
        <v/>
      </c>
      <c r="S61" s="296">
        <f>R61*$S$9</f>
        <v/>
      </c>
      <c r="T61" s="296">
        <f>SUM(R61:S61)</f>
        <v/>
      </c>
      <c r="U61" s="78" t="inlineStr">
        <is>
          <t>OFTALMO</t>
        </is>
      </c>
      <c r="V61" s="81" t="inlineStr">
        <is>
          <t>S4</t>
        </is>
      </c>
      <c r="W61" s="83" t="inlineStr">
        <is>
          <t>ADJUDICADO</t>
        </is>
      </c>
      <c r="X61" s="5" t="inlineStr">
        <is>
          <t>PROYECTADO</t>
        </is>
      </c>
    </row>
    <row r="62" ht="28.2" customHeight="1" s="227">
      <c r="A62" s="86" t="n">
        <v>64</v>
      </c>
      <c r="B62" s="68" t="inlineStr">
        <is>
          <t>CDMX</t>
        </is>
      </c>
      <c r="C62" s="69" t="inlineStr">
        <is>
          <t>Sistema de diagnóstico oftálmico avanzado, marca Nidek, modelo TONOREF III</t>
        </is>
      </c>
      <c r="D62" s="68" t="inlineStr">
        <is>
          <t>170712</t>
        </is>
      </c>
      <c r="E62" s="69" t="inlineStr">
        <is>
          <t>H.M.E.O. Constituyentes</t>
        </is>
      </c>
      <c r="F62" s="95" t="inlineStr">
        <is>
          <t>Servicio de mantenimiento integral para: Sistema de diagnóstico oftálmico avanzado, marca Nidek, modelo TONOREF III, serie 170712;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2" s="79" t="n">
        <v>1</v>
      </c>
      <c r="H62" s="80" t="n">
        <v>2</v>
      </c>
      <c r="I62" s="291" t="n">
        <v>20000</v>
      </c>
      <c r="J62" s="291">
        <f>I62</f>
        <v/>
      </c>
      <c r="K62" s="291">
        <f>J62</f>
        <v/>
      </c>
      <c r="L62" s="291">
        <f>SUM(I62:K62)</f>
        <v/>
      </c>
      <c r="M62" s="291">
        <f>L62*0.16</f>
        <v/>
      </c>
      <c r="N62" s="291">
        <f>SUM(L62:M62)</f>
        <v/>
      </c>
      <c r="O62" s="296" t="n">
        <v>150000</v>
      </c>
      <c r="P62" s="296">
        <f>G62*O62</f>
        <v/>
      </c>
      <c r="Q62" s="296">
        <f>H62*O62</f>
        <v/>
      </c>
      <c r="R62" s="296">
        <f>SUM(P62:Q62)</f>
        <v/>
      </c>
      <c r="S62" s="296">
        <f>R62*$S$9</f>
        <v/>
      </c>
      <c r="T62" s="296">
        <f>SUM(R62:S62)</f>
        <v/>
      </c>
      <c r="U62" s="78" t="inlineStr">
        <is>
          <t>OFTALMO</t>
        </is>
      </c>
      <c r="V62" s="81" t="inlineStr">
        <is>
          <t>S4</t>
        </is>
      </c>
      <c r="W62" s="83" t="inlineStr">
        <is>
          <t>ADJUDICADO</t>
        </is>
      </c>
      <c r="X62" s="5" t="inlineStr">
        <is>
          <t>PROYECTADO</t>
        </is>
      </c>
    </row>
    <row r="63" ht="28.2" customHeight="1" s="227">
      <c r="A63" s="86" t="n">
        <v>65</v>
      </c>
      <c r="B63" s="68" t="inlineStr">
        <is>
          <t>CDMX</t>
        </is>
      </c>
      <c r="C63" s="69" t="inlineStr">
        <is>
          <t>Sistema de diagnóstico oftálmico avanzado, marca Nidek, modelo TONOREF III</t>
        </is>
      </c>
      <c r="D63" s="68" t="inlineStr">
        <is>
          <t>170715</t>
        </is>
      </c>
      <c r="E63" s="69" t="inlineStr">
        <is>
          <t>H.M.E.O. Constituyentes</t>
        </is>
      </c>
      <c r="F63" s="95" t="inlineStr">
        <is>
          <t>Servicio de mantenimiento integral para: Sistema de diagnóstico oftálmico avanzado, marca Nidek, modelo TONOREF III, serie 170715;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3" s="79" t="n">
        <v>1</v>
      </c>
      <c r="H63" s="80" t="n">
        <v>2</v>
      </c>
      <c r="I63" s="291" t="n">
        <v>20000</v>
      </c>
      <c r="J63" s="291">
        <f>I63</f>
        <v/>
      </c>
      <c r="K63" s="291">
        <f>J63</f>
        <v/>
      </c>
      <c r="L63" s="291">
        <f>SUM(I63:K63)</f>
        <v/>
      </c>
      <c r="M63" s="291">
        <f>L63*0.16</f>
        <v/>
      </c>
      <c r="N63" s="291">
        <f>SUM(L63:M63)</f>
        <v/>
      </c>
      <c r="O63" s="296" t="n">
        <v>150000</v>
      </c>
      <c r="P63" s="296">
        <f>G63*O63</f>
        <v/>
      </c>
      <c r="Q63" s="296">
        <f>H63*O63</f>
        <v/>
      </c>
      <c r="R63" s="296">
        <f>SUM(P63:Q63)</f>
        <v/>
      </c>
      <c r="S63" s="296">
        <f>R63*$S$9</f>
        <v/>
      </c>
      <c r="T63" s="296">
        <f>SUM(R63:S63)</f>
        <v/>
      </c>
      <c r="U63" s="78" t="inlineStr">
        <is>
          <t>OFTALMO</t>
        </is>
      </c>
      <c r="V63" s="81" t="inlineStr">
        <is>
          <t>S4</t>
        </is>
      </c>
      <c r="W63" s="83" t="inlineStr">
        <is>
          <t>ADJUDICADO</t>
        </is>
      </c>
      <c r="X63" s="5" t="inlineStr">
        <is>
          <t>PROYECTADO</t>
        </is>
      </c>
    </row>
    <row r="64" ht="28.2" customHeight="1" s="227">
      <c r="A64" s="86" t="n">
        <v>68</v>
      </c>
      <c r="B64" s="68" t="inlineStr">
        <is>
          <t>CDMX</t>
        </is>
      </c>
      <c r="C64" s="69" t="inlineStr">
        <is>
          <t>Sistema de diagnóstico oftálmico avanzado, marca Nidek, modelo OPD-Scan III</t>
        </is>
      </c>
      <c r="D64" s="68" t="inlineStr">
        <is>
          <t>470112</t>
        </is>
      </c>
      <c r="E64" s="69" t="inlineStr">
        <is>
          <t>H.M.E.O. Constituyentes</t>
        </is>
      </c>
      <c r="F64" s="95" t="inlineStr">
        <is>
          <t>Servicio de mantenimiento integral para: Sistema de diagnóstico oftálmico avanzado, marca Nidek, modelo OPD-Scan III, serie 470112;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4" s="79" t="n">
        <v>1</v>
      </c>
      <c r="H64" s="79" t="n">
        <v>2</v>
      </c>
      <c r="I64" s="291" t="n">
        <v>40000</v>
      </c>
      <c r="J64" s="291">
        <f>I64</f>
        <v/>
      </c>
      <c r="K64" s="291">
        <f>J64</f>
        <v/>
      </c>
      <c r="L64" s="291">
        <f>SUM(I64:K64)</f>
        <v/>
      </c>
      <c r="M64" s="291">
        <f>L64*0.16</f>
        <v/>
      </c>
      <c r="N64" s="291">
        <f>SUM(L64:M64)</f>
        <v/>
      </c>
      <c r="O64" s="296" t="n">
        <v>150000</v>
      </c>
      <c r="P64" s="296">
        <f>G64*O64</f>
        <v/>
      </c>
      <c r="Q64" s="296">
        <f>H64*O64</f>
        <v/>
      </c>
      <c r="R64" s="296">
        <f>SUM(P64:Q64)</f>
        <v/>
      </c>
      <c r="S64" s="296">
        <f>R64*$S$9</f>
        <v/>
      </c>
      <c r="T64" s="296">
        <f>SUM(R64:S64)</f>
        <v/>
      </c>
      <c r="U64" s="78" t="inlineStr">
        <is>
          <t>OFTALMO</t>
        </is>
      </c>
      <c r="V64" s="81" t="inlineStr">
        <is>
          <t>S4</t>
        </is>
      </c>
      <c r="W64" s="83" t="inlineStr">
        <is>
          <t>ADJUDICADO</t>
        </is>
      </c>
      <c r="X64" s="5" t="inlineStr">
        <is>
          <t>PROYECTADO</t>
        </is>
      </c>
    </row>
    <row r="65" ht="28.2" customHeight="1" s="227">
      <c r="A65" s="86" t="n">
        <v>69</v>
      </c>
      <c r="B65" s="68" t="inlineStr">
        <is>
          <t>CDMX</t>
        </is>
      </c>
      <c r="C65" s="69" t="inlineStr">
        <is>
          <t>Sistema de diagnóstico oftálmico avanzado, marca Nidek, modelo OPD-Scan III</t>
        </is>
      </c>
      <c r="D65" s="68" t="inlineStr">
        <is>
          <t>470113</t>
        </is>
      </c>
      <c r="E65" s="69" t="inlineStr">
        <is>
          <t>H.M.E.O. Constituyentes</t>
        </is>
      </c>
      <c r="F65" s="95" t="inlineStr">
        <is>
          <t>Servicio de mantenimiento integral para: Sistema de diagnóstico oftálmico avanzado, marca Nidek, modelo OPD-Scan III, serie 470113;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5" s="79" t="n">
        <v>1</v>
      </c>
      <c r="H65" s="79" t="n">
        <v>2</v>
      </c>
      <c r="I65" s="291" t="n">
        <v>40000</v>
      </c>
      <c r="J65" s="291">
        <f>I65</f>
        <v/>
      </c>
      <c r="K65" s="291">
        <f>J65</f>
        <v/>
      </c>
      <c r="L65" s="291">
        <f>SUM(I65:K65)</f>
        <v/>
      </c>
      <c r="M65" s="291">
        <f>L65*0.16</f>
        <v/>
      </c>
      <c r="N65" s="291">
        <f>SUM(L65:M65)</f>
        <v/>
      </c>
      <c r="O65" s="296" t="n">
        <v>150000</v>
      </c>
      <c r="P65" s="296">
        <f>G65*O65</f>
        <v/>
      </c>
      <c r="Q65" s="296">
        <f>H65*O65</f>
        <v/>
      </c>
      <c r="R65" s="296">
        <f>SUM(P65:Q65)</f>
        <v/>
      </c>
      <c r="S65" s="296">
        <f>R65*$S$9</f>
        <v/>
      </c>
      <c r="T65" s="296">
        <f>SUM(R65:S65)</f>
        <v/>
      </c>
      <c r="U65" s="78" t="inlineStr">
        <is>
          <t>OFTALMO</t>
        </is>
      </c>
      <c r="V65" s="81" t="inlineStr">
        <is>
          <t>S4</t>
        </is>
      </c>
      <c r="W65" s="83" t="inlineStr">
        <is>
          <t>ADJUDICADO</t>
        </is>
      </c>
      <c r="X65" s="5" t="inlineStr">
        <is>
          <t>PROYECTADO</t>
        </is>
      </c>
    </row>
    <row r="66" ht="28.2" customHeight="1" s="227">
      <c r="A66" s="86" t="n">
        <v>70</v>
      </c>
      <c r="B66" s="68" t="inlineStr">
        <is>
          <t>CDMX</t>
        </is>
      </c>
      <c r="C66" s="69" t="inlineStr">
        <is>
          <t>Plataforma láser oftálmica combinada YAG/SLT, marca Quantel Medical, modelo Optimis Fusion</t>
        </is>
      </c>
      <c r="D66" s="68" t="inlineStr">
        <is>
          <t>62-10-135</t>
        </is>
      </c>
      <c r="E66" s="69" t="inlineStr">
        <is>
          <t>H.M.E.O. Constituyentes</t>
        </is>
      </c>
      <c r="F66" s="95" t="inlineStr">
        <is>
          <t>Servicio de mantenimiento integral para: Plataforma láser oftálmica combinada YAG/SLT, marca Quantel Medical, modelo Optimis Fusion, serie 62-10-135;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6" s="79" t="n">
        <v>1</v>
      </c>
      <c r="H66" s="79" t="n">
        <v>2</v>
      </c>
      <c r="I66" s="291" t="n">
        <v>72500</v>
      </c>
      <c r="J66" s="291">
        <f>I66</f>
        <v/>
      </c>
      <c r="K66" s="291">
        <f>J66</f>
        <v/>
      </c>
      <c r="L66" s="291">
        <f>SUM(I66:K66)</f>
        <v/>
      </c>
      <c r="M66" s="291">
        <f>L66*0.16</f>
        <v/>
      </c>
      <c r="N66" s="291">
        <f>SUM(L66:M66)</f>
        <v/>
      </c>
      <c r="O66" s="296" t="n">
        <v>290000</v>
      </c>
      <c r="P66" s="296">
        <f>G66*O66</f>
        <v/>
      </c>
      <c r="Q66" s="296">
        <f>H66*O66</f>
        <v/>
      </c>
      <c r="R66" s="296">
        <f>SUM(P66:Q66)</f>
        <v/>
      </c>
      <c r="S66" s="296">
        <f>R66*$S$9</f>
        <v/>
      </c>
      <c r="T66" s="296">
        <f>SUM(R66:S66)</f>
        <v/>
      </c>
      <c r="U66" s="78" t="inlineStr">
        <is>
          <t>OFTALMO</t>
        </is>
      </c>
      <c r="V66" s="81" t="inlineStr">
        <is>
          <t>ARFAMEX</t>
        </is>
      </c>
      <c r="W66" s="83" t="inlineStr">
        <is>
          <t>ADJUDICADO</t>
        </is>
      </c>
      <c r="X66" s="5" t="inlineStr">
        <is>
          <t>PROYECTADO</t>
        </is>
      </c>
    </row>
    <row r="67" ht="28.2" customHeight="1" s="227">
      <c r="A67" s="86" t="n">
        <v>71</v>
      </c>
      <c r="B67" s="68" t="inlineStr">
        <is>
          <t>CDMX</t>
        </is>
      </c>
      <c r="C67" s="69" t="inlineStr">
        <is>
          <t>Láser excimer, marca Alcon, modelo Wavelight</t>
        </is>
      </c>
      <c r="D67" s="68" t="inlineStr">
        <is>
          <t>1016-4-3384</t>
        </is>
      </c>
      <c r="E67" s="69" t="inlineStr">
        <is>
          <t>H.M.E.O. Constituyentes</t>
        </is>
      </c>
      <c r="F67" s="95" t="inlineStr">
        <is>
          <t>Servicio de mantenimiento integral para: Láser excimer, marca Alcon, modelo Wavelight, serie 1016-4-3384;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7" s="79" t="n">
        <v>1</v>
      </c>
      <c r="H67" s="79" t="n">
        <v>2</v>
      </c>
      <c r="I67" s="291" t="n">
        <v>350000</v>
      </c>
      <c r="J67" s="291">
        <f>I67</f>
        <v/>
      </c>
      <c r="K67" s="291">
        <f>J67</f>
        <v/>
      </c>
      <c r="L67" s="291">
        <f>SUM(I67:K67)</f>
        <v/>
      </c>
      <c r="M67" s="291">
        <f>L67*0.16</f>
        <v/>
      </c>
      <c r="N67" s="291">
        <f>SUM(L67:M67)</f>
        <v/>
      </c>
      <c r="O67" s="296" t="n">
        <v>450000</v>
      </c>
      <c r="P67" s="296">
        <f>G67*O67</f>
        <v/>
      </c>
      <c r="Q67" s="296">
        <f>H67*O67</f>
        <v/>
      </c>
      <c r="R67" s="296">
        <f>SUM(P67:Q67)</f>
        <v/>
      </c>
      <c r="S67" s="296">
        <f>R67*$S$9</f>
        <v/>
      </c>
      <c r="T67" s="296">
        <f>SUM(R67:S67)</f>
        <v/>
      </c>
      <c r="U67" s="78" t="inlineStr">
        <is>
          <t>OFTALMO</t>
        </is>
      </c>
      <c r="V67" s="81" t="inlineStr">
        <is>
          <t>ALCON</t>
        </is>
      </c>
      <c r="W67" s="83" t="inlineStr">
        <is>
          <t>ADJUDICADO</t>
        </is>
      </c>
      <c r="X67" s="5" t="inlineStr">
        <is>
          <t>PROYECTADO</t>
        </is>
      </c>
    </row>
    <row r="68" ht="28.2" customFormat="1" customHeight="1" s="267">
      <c r="A68" s="86" t="n">
        <v>72</v>
      </c>
      <c r="B68" s="68" t="inlineStr">
        <is>
          <t>CDMX</t>
        </is>
      </c>
      <c r="C68" s="69" t="inlineStr">
        <is>
          <t>Láser oftálmico, marca Quantel Medical, modelo Easyret</t>
        </is>
      </c>
      <c r="D68" s="68" t="inlineStr">
        <is>
          <t>2209031</t>
        </is>
      </c>
      <c r="E68" s="69" t="inlineStr">
        <is>
          <t>H.M.E.O. Constituyentes</t>
        </is>
      </c>
      <c r="F68" s="95" t="inlineStr">
        <is>
          <t>Servicio de mantenimiento integral para: Láser oftálmico, marca Quantel Medical, modelo Easyret, serie 2209031;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8" s="79" t="n">
        <v>1</v>
      </c>
      <c r="H68" s="79" t="n">
        <v>2</v>
      </c>
      <c r="I68" s="291" t="n">
        <v>80000</v>
      </c>
      <c r="J68" s="291">
        <f>I68</f>
        <v/>
      </c>
      <c r="K68" s="291">
        <f>J68</f>
        <v/>
      </c>
      <c r="L68" s="291">
        <f>SUM(I68:K68)</f>
        <v/>
      </c>
      <c r="M68" s="291">
        <f>L68*0.16</f>
        <v/>
      </c>
      <c r="N68" s="291">
        <f>SUM(L68:M68)</f>
        <v/>
      </c>
      <c r="O68" s="296" t="n">
        <v>250000</v>
      </c>
      <c r="P68" s="296">
        <f>G68*O68</f>
        <v/>
      </c>
      <c r="Q68" s="296">
        <f>H68*O68</f>
        <v/>
      </c>
      <c r="R68" s="296">
        <f>SUM(P68:Q68)</f>
        <v/>
      </c>
      <c r="S68" s="296">
        <f>R68*$S$9</f>
        <v/>
      </c>
      <c r="T68" s="296">
        <f>SUM(R68:S68)</f>
        <v/>
      </c>
      <c r="U68" s="78" t="inlineStr">
        <is>
          <t>OFTALMO</t>
        </is>
      </c>
      <c r="V68" s="81" t="inlineStr">
        <is>
          <t>ARFAMEX</t>
        </is>
      </c>
      <c r="W68" s="83" t="inlineStr">
        <is>
          <t>ADJUDICADO</t>
        </is>
      </c>
      <c r="X68" s="267" t="inlineStr">
        <is>
          <t>PROYECTADO</t>
        </is>
      </c>
    </row>
    <row r="69" ht="28.2" customFormat="1" customHeight="1" s="267">
      <c r="A69" s="86" t="n">
        <v>73</v>
      </c>
      <c r="B69" s="68" t="inlineStr">
        <is>
          <t>CDMX</t>
        </is>
      </c>
      <c r="C69" s="69" t="inlineStr">
        <is>
          <t>Láser oftálmico, marca Quantel Medical, modelo Easyret</t>
        </is>
      </c>
      <c r="D69" s="68" t="inlineStr">
        <is>
          <t>2209032</t>
        </is>
      </c>
      <c r="E69" s="69" t="inlineStr">
        <is>
          <t>H.M.E.O. Constituyentes</t>
        </is>
      </c>
      <c r="F69" s="95" t="inlineStr">
        <is>
          <t>Servicio de mantenimiento integral para: Láser oftálmico, marca Quantel Medical, modelo Easyret, serie 2209032;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9" s="79" t="n">
        <v>1</v>
      </c>
      <c r="H69" s="79" t="n">
        <v>2</v>
      </c>
      <c r="I69" s="291" t="n">
        <v>80000</v>
      </c>
      <c r="J69" s="291">
        <f>I69</f>
        <v/>
      </c>
      <c r="K69" s="291">
        <f>J69</f>
        <v/>
      </c>
      <c r="L69" s="291">
        <f>SUM(I69:K69)</f>
        <v/>
      </c>
      <c r="M69" s="291">
        <f>L69*0.16</f>
        <v/>
      </c>
      <c r="N69" s="291">
        <f>SUM(L69:M69)</f>
        <v/>
      </c>
      <c r="O69" s="296" t="n">
        <v>250000</v>
      </c>
      <c r="P69" s="296">
        <f>G69*O69</f>
        <v/>
      </c>
      <c r="Q69" s="296">
        <f>H69*O69</f>
        <v/>
      </c>
      <c r="R69" s="296">
        <f>SUM(P69:Q69)</f>
        <v/>
      </c>
      <c r="S69" s="296">
        <f>R69*$S$9</f>
        <v/>
      </c>
      <c r="T69" s="296">
        <f>SUM(R69:S69)</f>
        <v/>
      </c>
      <c r="U69" s="78" t="inlineStr">
        <is>
          <t>OFTALMO</t>
        </is>
      </c>
      <c r="V69" s="81" t="inlineStr">
        <is>
          <t>ARFAMEX</t>
        </is>
      </c>
      <c r="W69" s="83" t="inlineStr">
        <is>
          <t>ADJUDICADO</t>
        </is>
      </c>
      <c r="X69" s="267" t="inlineStr">
        <is>
          <t>PROYECTADO</t>
        </is>
      </c>
    </row>
    <row r="70" ht="28.2" customFormat="1" customHeight="1" s="267">
      <c r="A70" s="86" t="n">
        <v>74</v>
      </c>
      <c r="B70" s="68" t="inlineStr">
        <is>
          <t>CDMX</t>
        </is>
      </c>
      <c r="C70" s="69" t="inlineStr">
        <is>
          <t>Equipo para crosslinking ocular, marca KXL, modelo Avedro</t>
        </is>
      </c>
      <c r="D70" s="68" t="inlineStr">
        <is>
          <t>KXL221005</t>
        </is>
      </c>
      <c r="E70" s="69" t="inlineStr">
        <is>
          <t>H.M.E.O. Constituyentes</t>
        </is>
      </c>
      <c r="F70" s="95" t="inlineStr">
        <is>
          <t>Servicio de mantenimiento integral para: Equipo para crosslinking ocular, marca KXL, modelo Avedro, serie KXL221005;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0" s="79" t="n">
        <v>1</v>
      </c>
      <c r="H70" s="79" t="n">
        <v>2</v>
      </c>
      <c r="I70" s="291" t="n">
        <v>65000</v>
      </c>
      <c r="J70" s="291">
        <f>I70</f>
        <v/>
      </c>
      <c r="K70" s="291">
        <f>J70</f>
        <v/>
      </c>
      <c r="L70" s="291">
        <f>SUM(I70:K70)</f>
        <v/>
      </c>
      <c r="M70" s="291">
        <f>L70*0.16</f>
        <v/>
      </c>
      <c r="N70" s="291">
        <f>SUM(L70:M70)</f>
        <v/>
      </c>
      <c r="O70" s="296" t="n">
        <v>250000</v>
      </c>
      <c r="P70" s="296">
        <f>G70*O70</f>
        <v/>
      </c>
      <c r="Q70" s="296">
        <f>H70*O70</f>
        <v/>
      </c>
      <c r="R70" s="296">
        <f>SUM(P70:Q70)</f>
        <v/>
      </c>
      <c r="S70" s="296">
        <f>R70*$S$9</f>
        <v/>
      </c>
      <c r="T70" s="296">
        <f>SUM(R70:S70)</f>
        <v/>
      </c>
      <c r="U70" s="78" t="inlineStr">
        <is>
          <t>OFTALMO</t>
        </is>
      </c>
      <c r="V70" s="81" t="inlineStr">
        <is>
          <t>ARFAMEX</t>
        </is>
      </c>
      <c r="W70" s="83" t="inlineStr">
        <is>
          <t>ADJUDICADO</t>
        </is>
      </c>
      <c r="X70" s="267" t="inlineStr">
        <is>
          <t>PROYECTADO</t>
        </is>
      </c>
    </row>
    <row r="71" ht="28.2" customFormat="1" customHeight="1" s="267">
      <c r="A71" s="86" t="n">
        <v>75</v>
      </c>
      <c r="B71" s="68" t="inlineStr">
        <is>
          <t>CDMX</t>
        </is>
      </c>
      <c r="C71" s="69" t="inlineStr">
        <is>
          <t>OCT con retinógrafo integrado, marca Nidek, modelo Retina Scan DUO-2 (RS-300)</t>
        </is>
      </c>
      <c r="D71" s="68" t="inlineStr">
        <is>
          <t>742223</t>
        </is>
      </c>
      <c r="E71" s="69" t="inlineStr">
        <is>
          <t>H.M.E.O. Constituyentes</t>
        </is>
      </c>
      <c r="F71" s="95" t="inlineStr">
        <is>
          <t>Servicio de mantenimiento integral para: OCT con retinógrafo integrado, marca Nidek, modelo Retina Scan DUO-2 (RS-300), serie 742223;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1" s="79" t="n">
        <v>2</v>
      </c>
      <c r="H71" s="79" t="n">
        <v>4</v>
      </c>
      <c r="I71" s="291" t="n">
        <v>90000</v>
      </c>
      <c r="J71" s="291">
        <f>I71</f>
        <v/>
      </c>
      <c r="K71" s="291">
        <f>J71</f>
        <v/>
      </c>
      <c r="L71" s="291">
        <f>SUM(I71:K71)</f>
        <v/>
      </c>
      <c r="M71" s="291">
        <f>L71*0.16</f>
        <v/>
      </c>
      <c r="N71" s="291">
        <f>SUM(L71:M71)</f>
        <v/>
      </c>
      <c r="O71" s="296" t="n">
        <v>220000</v>
      </c>
      <c r="P71" s="296">
        <f>G71*O71</f>
        <v/>
      </c>
      <c r="Q71" s="296">
        <f>H71*O71</f>
        <v/>
      </c>
      <c r="R71" s="296">
        <f>SUM(P71:Q71)</f>
        <v/>
      </c>
      <c r="S71" s="296">
        <f>R71*$S$9</f>
        <v/>
      </c>
      <c r="T71" s="296">
        <f>SUM(R71:S71)</f>
        <v/>
      </c>
      <c r="U71" s="78" t="inlineStr">
        <is>
          <t>OFTALMO</t>
        </is>
      </c>
      <c r="V71" s="81" t="inlineStr">
        <is>
          <t>S4</t>
        </is>
      </c>
      <c r="W71" s="83" t="inlineStr">
        <is>
          <t>ADJUDICADO</t>
        </is>
      </c>
      <c r="X71" s="267" t="inlineStr">
        <is>
          <t>PROYECTADO</t>
        </is>
      </c>
    </row>
    <row r="72" ht="28.2" customHeight="1" s="227">
      <c r="A72" s="86" t="n">
        <v>76</v>
      </c>
      <c r="B72" s="68" t="inlineStr">
        <is>
          <t>CDMX</t>
        </is>
      </c>
      <c r="C72" s="69" t="inlineStr">
        <is>
          <t>OCT con retinógrafo integrado, marca Nidek, modelo Retina Scan DUO-2 (RS-300)</t>
        </is>
      </c>
      <c r="D72" s="68" t="inlineStr">
        <is>
          <t>741879</t>
        </is>
      </c>
      <c r="E72" s="69" t="inlineStr">
        <is>
          <t>H.M.E.O. Constituyentes</t>
        </is>
      </c>
      <c r="F72" s="95" t="inlineStr">
        <is>
          <t>Servicio de mantenimiento integral para: OCT con retinógrafo integrado, marca Nidek, modelo Retina Scan DUO-2 (RS-300), serie 741879;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2" s="79" t="n">
        <v>1</v>
      </c>
      <c r="H72" s="79" t="n">
        <v>2</v>
      </c>
      <c r="I72" s="291" t="n">
        <v>90000</v>
      </c>
      <c r="J72" s="291">
        <f>I72</f>
        <v/>
      </c>
      <c r="K72" s="291">
        <f>J72</f>
        <v/>
      </c>
      <c r="L72" s="291">
        <f>SUM(I72:K72)</f>
        <v/>
      </c>
      <c r="M72" s="291">
        <f>L72*0.16</f>
        <v/>
      </c>
      <c r="N72" s="291">
        <f>SUM(L72:M72)</f>
        <v/>
      </c>
      <c r="O72" s="296" t="n">
        <v>220000</v>
      </c>
      <c r="P72" s="296">
        <f>G72*O72</f>
        <v/>
      </c>
      <c r="Q72" s="296">
        <f>H72*O72</f>
        <v/>
      </c>
      <c r="R72" s="296">
        <f>SUM(P72:Q72)</f>
        <v/>
      </c>
      <c r="S72" s="296">
        <f>R72*$S$9</f>
        <v/>
      </c>
      <c r="T72" s="296">
        <f>SUM(R72:S72)</f>
        <v/>
      </c>
      <c r="U72" s="78" t="inlineStr">
        <is>
          <t>OFTALMO</t>
        </is>
      </c>
      <c r="V72" s="81" t="inlineStr">
        <is>
          <t>S4</t>
        </is>
      </c>
      <c r="W72" s="83" t="inlineStr">
        <is>
          <t>ADJUDICADO</t>
        </is>
      </c>
      <c r="X72" s="5" t="inlineStr">
        <is>
          <t>PROYECTADO</t>
        </is>
      </c>
    </row>
    <row r="73" ht="28.2" customFormat="1" customHeight="1" s="267">
      <c r="A73" s="86" t="n">
        <v>77</v>
      </c>
      <c r="B73" s="68" t="inlineStr">
        <is>
          <t>CDMX</t>
        </is>
      </c>
      <c r="C73" s="69" t="inlineStr">
        <is>
          <t>OCT con retinógrafo integrado, marca Nidek, modelo Retina Scan DUO-2 (RS-300)</t>
        </is>
      </c>
      <c r="D73" s="68" t="inlineStr">
        <is>
          <t>742356</t>
        </is>
      </c>
      <c r="E73" s="69" t="inlineStr">
        <is>
          <t>H.M.E.O. Constituyentes</t>
        </is>
      </c>
      <c r="F73" s="95" t="inlineStr">
        <is>
          <t>Servicio de mantenimiento integral para: OCT con retinógrafo integrado, marca Nidek, modelo Retina Scan DUO-2 (RS-300), serie 742356;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3" s="79" t="n">
        <v>1</v>
      </c>
      <c r="H73" s="79" t="n">
        <v>2</v>
      </c>
      <c r="I73" s="291" t="n">
        <v>90000</v>
      </c>
      <c r="J73" s="291">
        <f>I73</f>
        <v/>
      </c>
      <c r="K73" s="291">
        <f>J73</f>
        <v/>
      </c>
      <c r="L73" s="291">
        <f>SUM(I73:K73)</f>
        <v/>
      </c>
      <c r="M73" s="291">
        <f>L73*0.16</f>
        <v/>
      </c>
      <c r="N73" s="291">
        <f>SUM(L73:M73)</f>
        <v/>
      </c>
      <c r="O73" s="296" t="n">
        <v>220000</v>
      </c>
      <c r="P73" s="296">
        <f>G73*O73</f>
        <v/>
      </c>
      <c r="Q73" s="296">
        <f>H73*O73</f>
        <v/>
      </c>
      <c r="R73" s="296">
        <f>SUM(P73:Q73)</f>
        <v/>
      </c>
      <c r="S73" s="296">
        <f>R73*$S$9</f>
        <v/>
      </c>
      <c r="T73" s="296">
        <f>SUM(R73:S73)</f>
        <v/>
      </c>
      <c r="U73" s="78" t="inlineStr">
        <is>
          <t>OFTALMO</t>
        </is>
      </c>
      <c r="V73" s="81" t="inlineStr">
        <is>
          <t>S4</t>
        </is>
      </c>
      <c r="W73" s="83" t="inlineStr">
        <is>
          <t>ADJUDICADO</t>
        </is>
      </c>
      <c r="X73" s="267" t="inlineStr">
        <is>
          <t>PROYECTADO</t>
        </is>
      </c>
    </row>
    <row r="74" ht="28.2" customHeight="1" s="227">
      <c r="A74" s="86" t="n">
        <v>78</v>
      </c>
      <c r="B74" s="68" t="inlineStr">
        <is>
          <t>CDMX</t>
        </is>
      </c>
      <c r="C74" s="69" t="inlineStr">
        <is>
          <t>OCT con retinógrafo integrado, marca Nidek, modelo Retina Scan DUO-2 (RS-300)</t>
        </is>
      </c>
      <c r="D74" s="68" t="inlineStr">
        <is>
          <t>741940</t>
        </is>
      </c>
      <c r="E74" s="69" t="inlineStr">
        <is>
          <t>H.M.E.O. Constituyentes</t>
        </is>
      </c>
      <c r="F74" s="95" t="inlineStr">
        <is>
          <t>Servicio de mantenimiento integral para: OCT con retinógrafo integrado, marca Nidek, modelo Retina Scan DUO-2 (RS-300), serie 741940;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4" s="79" t="n">
        <v>2</v>
      </c>
      <c r="H74" s="79" t="n">
        <v>4</v>
      </c>
      <c r="I74" s="291" t="n">
        <v>90000</v>
      </c>
      <c r="J74" s="291">
        <f>I74</f>
        <v/>
      </c>
      <c r="K74" s="291">
        <f>J74</f>
        <v/>
      </c>
      <c r="L74" s="291">
        <f>SUM(I74:K74)</f>
        <v/>
      </c>
      <c r="M74" s="291">
        <f>L74*0.16</f>
        <v/>
      </c>
      <c r="N74" s="291">
        <f>SUM(L74:M74)</f>
        <v/>
      </c>
      <c r="O74" s="296" t="n">
        <v>220000</v>
      </c>
      <c r="P74" s="296">
        <f>G74*O74</f>
        <v/>
      </c>
      <c r="Q74" s="296">
        <f>H74*O74</f>
        <v/>
      </c>
      <c r="R74" s="296">
        <f>SUM(P74:Q74)</f>
        <v/>
      </c>
      <c r="S74" s="296">
        <f>R74*$S$9</f>
        <v/>
      </c>
      <c r="T74" s="296">
        <f>SUM(R74:S74)</f>
        <v/>
      </c>
      <c r="U74" s="78" t="inlineStr">
        <is>
          <t>OFTALMO</t>
        </is>
      </c>
      <c r="V74" s="81" t="inlineStr">
        <is>
          <t>S4</t>
        </is>
      </c>
      <c r="W74" s="83" t="inlineStr">
        <is>
          <t>ADJUDICADO</t>
        </is>
      </c>
      <c r="X74" s="5" t="inlineStr">
        <is>
          <t>PROYECTADO</t>
        </is>
      </c>
    </row>
    <row r="75" ht="28.2" customHeight="1" s="227">
      <c r="A75" s="86" t="n">
        <v>79</v>
      </c>
      <c r="B75" s="68" t="inlineStr">
        <is>
          <t>CDMX</t>
        </is>
      </c>
      <c r="C75" s="69" t="inlineStr">
        <is>
          <t>Sistema de diagnóstico oftálmico avanzado, marca Heidelberg Engineering, modelo Spectralis</t>
        </is>
      </c>
      <c r="D75" s="68" t="inlineStr">
        <is>
          <t>SPEC-CAM-21931-53610</t>
        </is>
      </c>
      <c r="E75" s="69" t="inlineStr">
        <is>
          <t>H.M.E.O. Constituyentes</t>
        </is>
      </c>
      <c r="F75" s="95" t="inlineStr">
        <is>
          <t>Servicio de mantenimiento integral para: Sistema de diagnóstico oftálmico avanzado, marca Heidelberg Engineering, modelo Spectralis, serie SPEC-CAM-21931-53610;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5" s="79" t="n">
        <v>2</v>
      </c>
      <c r="H75" s="79" t="n">
        <v>4</v>
      </c>
      <c r="I75" s="291" t="n">
        <v>122850</v>
      </c>
      <c r="J75" s="291">
        <f>I75</f>
        <v/>
      </c>
      <c r="K75" s="291">
        <f>J75</f>
        <v/>
      </c>
      <c r="L75" s="291">
        <f>SUM(I75:K75)</f>
        <v/>
      </c>
      <c r="M75" s="291">
        <f>L75*0.16</f>
        <v/>
      </c>
      <c r="N75" s="291">
        <f>SUM(L75:M75)</f>
        <v/>
      </c>
      <c r="O75" s="296" t="n">
        <v>300000</v>
      </c>
      <c r="P75" s="296">
        <f>G75*O75</f>
        <v/>
      </c>
      <c r="Q75" s="296">
        <f>H75*O75</f>
        <v/>
      </c>
      <c r="R75" s="296">
        <f>SUM(P75:Q75)</f>
        <v/>
      </c>
      <c r="S75" s="296">
        <f>R75*$S$9</f>
        <v/>
      </c>
      <c r="T75" s="296">
        <f>SUM(R75:S75)</f>
        <v/>
      </c>
      <c r="U75" s="78" t="inlineStr">
        <is>
          <t>OFTALMO</t>
        </is>
      </c>
      <c r="V75" s="81" t="inlineStr">
        <is>
          <t>ARFAMEX</t>
        </is>
      </c>
      <c r="W75" s="83" t="inlineStr">
        <is>
          <t>ADJUDICADO</t>
        </is>
      </c>
      <c r="X75" s="5" t="inlineStr">
        <is>
          <t>PROYECTADO</t>
        </is>
      </c>
    </row>
    <row r="76" ht="28.2" customHeight="1" s="227">
      <c r="A76" s="86" t="n">
        <v>80</v>
      </c>
      <c r="B76" s="68" t="inlineStr">
        <is>
          <t>CDMX</t>
        </is>
      </c>
      <c r="C76" s="69" t="inlineStr">
        <is>
          <t>Sistema de diagnóstico oftálmico avanzado, marca Heidelberg Engineering, modelo Spectralis</t>
        </is>
      </c>
      <c r="D76" s="68" t="inlineStr">
        <is>
          <t>SPEC-CAM-21920-53610</t>
        </is>
      </c>
      <c r="E76" s="69" t="inlineStr">
        <is>
          <t>H.M.E.O. Constituyentes</t>
        </is>
      </c>
      <c r="F76" s="95" t="inlineStr">
        <is>
          <t>Servicio de mantenimiento integral para: Sistema de diagnóstico oftálmico avanzado, marca Heidelberg Engineering, modelo Spectralis, serie SPEC-CAM-21920-53610;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6" s="79" t="n">
        <v>2</v>
      </c>
      <c r="H76" s="79" t="n">
        <v>4</v>
      </c>
      <c r="I76" s="291" t="n">
        <v>122850</v>
      </c>
      <c r="J76" s="291">
        <f>I76</f>
        <v/>
      </c>
      <c r="K76" s="291">
        <f>J76</f>
        <v/>
      </c>
      <c r="L76" s="291">
        <f>SUM(I76:K76)</f>
        <v/>
      </c>
      <c r="M76" s="291">
        <f>L76*0.16</f>
        <v/>
      </c>
      <c r="N76" s="291">
        <f>SUM(L76:M76)</f>
        <v/>
      </c>
      <c r="O76" s="296" t="n">
        <v>300000</v>
      </c>
      <c r="P76" s="296">
        <f>G76*O76</f>
        <v/>
      </c>
      <c r="Q76" s="296">
        <f>H76*O76</f>
        <v/>
      </c>
      <c r="R76" s="296">
        <f>SUM(P76:Q76)</f>
        <v/>
      </c>
      <c r="S76" s="296">
        <f>R76*$S$9</f>
        <v/>
      </c>
      <c r="T76" s="296">
        <f>SUM(R76:S76)</f>
        <v/>
      </c>
      <c r="U76" s="78" t="inlineStr">
        <is>
          <t>OFTALMO</t>
        </is>
      </c>
      <c r="V76" s="81" t="inlineStr">
        <is>
          <t>ARFAMEX</t>
        </is>
      </c>
      <c r="W76" s="83" t="inlineStr">
        <is>
          <t>ADJUDICADO</t>
        </is>
      </c>
      <c r="X76" s="5" t="inlineStr">
        <is>
          <t>PROYECTADO</t>
        </is>
      </c>
    </row>
    <row r="77" ht="28.2" customHeight="1" s="227">
      <c r="A77" s="86" t="n">
        <v>81</v>
      </c>
      <c r="B77" s="68" t="inlineStr">
        <is>
          <t>CDMX</t>
        </is>
      </c>
      <c r="C77" s="69" t="inlineStr">
        <is>
          <t>Sistema de diagnóstico oftálmico avanzado, marca Heidelberg Engineering, modelo Spectralis</t>
        </is>
      </c>
      <c r="D77" s="68" t="inlineStr">
        <is>
          <t>SPEC-CAM-21928-53610</t>
        </is>
      </c>
      <c r="E77" s="69" t="inlineStr">
        <is>
          <t>H.M.E.O. Constituyentes</t>
        </is>
      </c>
      <c r="F77" s="95" t="inlineStr">
        <is>
          <t>Servicio de mantenimiento integral para: Sistema de diagnóstico oftálmico avanzado, marca Heidelberg Engineering, modelo Spectralis, serie SPEC-CAM-21928-53610;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7" s="79" t="n">
        <v>2</v>
      </c>
      <c r="H77" s="79" t="n">
        <v>4</v>
      </c>
      <c r="I77" s="291" t="n">
        <v>122850</v>
      </c>
      <c r="J77" s="291">
        <f>I77</f>
        <v/>
      </c>
      <c r="K77" s="291">
        <f>J77</f>
        <v/>
      </c>
      <c r="L77" s="291">
        <f>SUM(I77:K77)</f>
        <v/>
      </c>
      <c r="M77" s="291">
        <f>L77*0.16</f>
        <v/>
      </c>
      <c r="N77" s="291">
        <f>SUM(L77:M77)</f>
        <v/>
      </c>
      <c r="O77" s="296" t="n">
        <v>300000</v>
      </c>
      <c r="P77" s="296">
        <f>G77*O77</f>
        <v/>
      </c>
      <c r="Q77" s="296">
        <f>H77*O77</f>
        <v/>
      </c>
      <c r="R77" s="296">
        <f>SUM(P77:Q77)</f>
        <v/>
      </c>
      <c r="S77" s="296">
        <f>R77*$S$9</f>
        <v/>
      </c>
      <c r="T77" s="296">
        <f>SUM(R77:S77)</f>
        <v/>
      </c>
      <c r="U77" s="78" t="inlineStr">
        <is>
          <t>OFTALMO</t>
        </is>
      </c>
      <c r="V77" s="81" t="inlineStr">
        <is>
          <t>ARFAMEX</t>
        </is>
      </c>
      <c r="W77" s="83" t="inlineStr">
        <is>
          <t>ADJUDICADO</t>
        </is>
      </c>
      <c r="X77" s="5" t="inlineStr">
        <is>
          <t>PROYECTADO</t>
        </is>
      </c>
    </row>
    <row r="78" ht="28.2" customHeight="1" s="227">
      <c r="A78" s="86" t="n">
        <v>82</v>
      </c>
      <c r="B78" s="68" t="inlineStr">
        <is>
          <t>CDMX</t>
        </is>
      </c>
      <c r="C78" s="69" t="inlineStr">
        <is>
          <t>Retinógrafo de campo ultra amplio, marca Optos, modelo California</t>
        </is>
      </c>
      <c r="D78" s="68" t="inlineStr">
        <is>
          <t>41652</t>
        </is>
      </c>
      <c r="E78" s="69" t="inlineStr">
        <is>
          <t>H.M.E.O. Constituyentes</t>
        </is>
      </c>
      <c r="F78" s="95" t="inlineStr">
        <is>
          <t>Servicio de mantenimiento integral para: Retinógrafo de campo ultra amplio, marca Optos, modelo California, serie 41652;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8" s="79" t="n">
        <v>1</v>
      </c>
      <c r="H78" s="79" t="n">
        <v>2</v>
      </c>
      <c r="I78" s="291" t="n">
        <v>100000</v>
      </c>
      <c r="J78" s="291">
        <f>I78</f>
        <v/>
      </c>
      <c r="K78" s="291">
        <f>J78</f>
        <v/>
      </c>
      <c r="L78" s="291">
        <f>SUM(I78:K78)</f>
        <v/>
      </c>
      <c r="M78" s="291">
        <f>L78*0.16</f>
        <v/>
      </c>
      <c r="N78" s="291">
        <f>SUM(L78:M78)</f>
        <v/>
      </c>
      <c r="O78" s="296" t="n">
        <v>220000</v>
      </c>
      <c r="P78" s="296">
        <f>G78*O78</f>
        <v/>
      </c>
      <c r="Q78" s="296">
        <f>H78*O78</f>
        <v/>
      </c>
      <c r="R78" s="296">
        <f>SUM(P78:Q78)</f>
        <v/>
      </c>
      <c r="S78" s="296">
        <f>R78*$S$9</f>
        <v/>
      </c>
      <c r="T78" s="296">
        <f>SUM(R78:S78)</f>
        <v/>
      </c>
      <c r="U78" s="78" t="inlineStr">
        <is>
          <t>OFTALMO</t>
        </is>
      </c>
      <c r="V78" s="81" t="inlineStr">
        <is>
          <t>DEWIMED</t>
        </is>
      </c>
      <c r="W78" s="83" t="inlineStr">
        <is>
          <t>ADJUDICADO</t>
        </is>
      </c>
      <c r="X78" s="5" t="inlineStr">
        <is>
          <t>PROYECTADO</t>
        </is>
      </c>
    </row>
    <row r="79" ht="28.2" customHeight="1" s="227">
      <c r="A79" s="86" t="n">
        <v>83</v>
      </c>
      <c r="B79" s="68" t="inlineStr">
        <is>
          <t>CDMX</t>
        </is>
      </c>
      <c r="C79" s="69" t="inlineStr">
        <is>
          <t>Retinógrafo de campo ultra amplio, marca Optos, modelo California</t>
        </is>
      </c>
      <c r="D79" s="68" t="inlineStr">
        <is>
          <t>41656</t>
        </is>
      </c>
      <c r="E79" s="69" t="inlineStr">
        <is>
          <t>H.M.E.O. Constituyentes</t>
        </is>
      </c>
      <c r="F79" s="95" t="inlineStr">
        <is>
          <t>Servicio de mantenimiento integral para: Retinógrafo de campo ultra amplio, marca Optos, modelo California, serie 41656;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9" s="79" t="n">
        <v>1</v>
      </c>
      <c r="H79" s="79" t="n">
        <v>2</v>
      </c>
      <c r="I79" s="291" t="n">
        <v>100000</v>
      </c>
      <c r="J79" s="291">
        <f>I79</f>
        <v/>
      </c>
      <c r="K79" s="291">
        <f>J79</f>
        <v/>
      </c>
      <c r="L79" s="291">
        <f>SUM(I79:K79)</f>
        <v/>
      </c>
      <c r="M79" s="291">
        <f>L79*0.16</f>
        <v/>
      </c>
      <c r="N79" s="291">
        <f>SUM(L79:M79)</f>
        <v/>
      </c>
      <c r="O79" s="296" t="n">
        <v>220000</v>
      </c>
      <c r="P79" s="296">
        <f>G79*O79</f>
        <v/>
      </c>
      <c r="Q79" s="296">
        <f>H79*O79</f>
        <v/>
      </c>
      <c r="R79" s="296">
        <f>SUM(P79:Q79)</f>
        <v/>
      </c>
      <c r="S79" s="296">
        <f>R79*$S$9</f>
        <v/>
      </c>
      <c r="T79" s="296">
        <f>SUM(R79:S79)</f>
        <v/>
      </c>
      <c r="U79" s="78" t="inlineStr">
        <is>
          <t>OFTALMO</t>
        </is>
      </c>
      <c r="V79" s="81" t="inlineStr">
        <is>
          <t>DEWIMED</t>
        </is>
      </c>
      <c r="W79" s="83" t="inlineStr">
        <is>
          <t>ADJUDICADO</t>
        </is>
      </c>
      <c r="X79" s="5" t="inlineStr">
        <is>
          <t>PROYECTADO</t>
        </is>
      </c>
    </row>
    <row r="80" ht="28.2" customHeight="1" s="227">
      <c r="A80" s="86" t="n">
        <v>87</v>
      </c>
      <c r="B80" s="68" t="inlineStr">
        <is>
          <t>EDO DE MEX</t>
        </is>
      </c>
      <c r="C80" s="69" t="inlineStr">
        <is>
          <t>Autoqueratorrefractor, marca Nidek, modelo ARK-F</t>
        </is>
      </c>
      <c r="D80" s="68" t="inlineStr">
        <is>
          <t>270010</t>
        </is>
      </c>
      <c r="E80" s="69" t="inlineStr">
        <is>
          <t>H.M.R. Santa Lucía</t>
        </is>
      </c>
      <c r="F80" s="95" t="inlineStr">
        <is>
          <t>Servicio de mantenimiento integral para: Autoqueratorrefractor, marca Nidek, modelo ARK-F, serie 270010;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80" s="79" t="n">
        <v>1</v>
      </c>
      <c r="H80" s="79" t="n">
        <v>2</v>
      </c>
      <c r="I80" s="291" t="n">
        <v>15000</v>
      </c>
      <c r="J80" s="291">
        <f>I80</f>
        <v/>
      </c>
      <c r="K80" s="291">
        <f>J80</f>
        <v/>
      </c>
      <c r="L80" s="291">
        <f>SUM(I80:K80)</f>
        <v/>
      </c>
      <c r="M80" s="291">
        <f>L80*0.16</f>
        <v/>
      </c>
      <c r="N80" s="291">
        <f>SUM(L80:M80)</f>
        <v/>
      </c>
      <c r="O80" s="296" t="n">
        <v>120000</v>
      </c>
      <c r="P80" s="296">
        <f>G80*O80</f>
        <v/>
      </c>
      <c r="Q80" s="296">
        <f>H80*O80</f>
        <v/>
      </c>
      <c r="R80" s="296">
        <f>SUM(P80:Q80)</f>
        <v/>
      </c>
      <c r="S80" s="296">
        <f>R80*$S$9</f>
        <v/>
      </c>
      <c r="T80" s="296">
        <f>SUM(R80:S80)</f>
        <v/>
      </c>
      <c r="U80" s="78" t="inlineStr">
        <is>
          <t>OFTALMO</t>
        </is>
      </c>
      <c r="V80" s="81" t="inlineStr">
        <is>
          <t>S4</t>
        </is>
      </c>
      <c r="W80" s="83" t="inlineStr">
        <is>
          <t>ADJUDICADO</t>
        </is>
      </c>
      <c r="X80" s="5" t="inlineStr">
        <is>
          <t>PROYECTADO</t>
        </is>
      </c>
    </row>
    <row r="81" ht="28.2" customHeight="1" s="227">
      <c r="A81" s="86" t="n">
        <v>88</v>
      </c>
      <c r="B81" s="68" t="inlineStr">
        <is>
          <t>EDO DE MEX</t>
        </is>
      </c>
      <c r="C81" s="69" t="inlineStr">
        <is>
          <t>Tomógrafo-topógrafo corneal, marca CSO, modelo Sirius</t>
        </is>
      </c>
      <c r="D81" s="68" t="inlineStr">
        <is>
          <t>21091186</t>
        </is>
      </c>
      <c r="E81" s="69" t="inlineStr">
        <is>
          <t>H.M.R. Santa Lucía</t>
        </is>
      </c>
      <c r="F81" s="95" t="inlineStr">
        <is>
          <t>Servicio de mantenimiento integral para: Tomógrafo-topógrafo corneal, marca CSO, modelo Sirius, serie 21091186;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81" s="79" t="n">
        <v>1</v>
      </c>
      <c r="H81" s="79" t="n">
        <v>2</v>
      </c>
      <c r="I81" s="291" t="n">
        <v>100000</v>
      </c>
      <c r="J81" s="291">
        <f>I81</f>
        <v/>
      </c>
      <c r="K81" s="291">
        <f>J81</f>
        <v/>
      </c>
      <c r="L81" s="291">
        <f>SUM(I81:K81)</f>
        <v/>
      </c>
      <c r="M81" s="291">
        <f>L81*0.16</f>
        <v/>
      </c>
      <c r="N81" s="291">
        <f>SUM(L81:M81)</f>
        <v/>
      </c>
      <c r="O81" s="296" t="n">
        <v>175000</v>
      </c>
      <c r="P81" s="296">
        <f>G81*O81</f>
        <v/>
      </c>
      <c r="Q81" s="296">
        <f>H81*O81</f>
        <v/>
      </c>
      <c r="R81" s="296">
        <f>SUM(P81:Q81)</f>
        <v/>
      </c>
      <c r="S81" s="296">
        <f>R81*$S$9</f>
        <v/>
      </c>
      <c r="T81" s="296">
        <f>SUM(R81:S81)</f>
        <v/>
      </c>
      <c r="U81" s="78" t="inlineStr">
        <is>
          <t>OFTALMO</t>
        </is>
      </c>
      <c r="V81" s="81" t="inlineStr">
        <is>
          <t>S4</t>
        </is>
      </c>
      <c r="W81" s="83" t="inlineStr">
        <is>
          <t>ADJUDICADO</t>
        </is>
      </c>
      <c r="X81" s="5" t="inlineStr">
        <is>
          <t>PROYECTADO</t>
        </is>
      </c>
    </row>
    <row r="82" ht="28.2" customHeight="1" s="227">
      <c r="A82" s="86" t="n">
        <v>94</v>
      </c>
      <c r="B82" s="68" t="inlineStr">
        <is>
          <t>EDO DE MEX</t>
        </is>
      </c>
      <c r="C82" s="69" t="inlineStr">
        <is>
          <t>Fotocoagulador láser, marca Topcon, modelo Pascal Synthesis</t>
        </is>
      </c>
      <c r="D82" s="68" t="inlineStr">
        <is>
          <t>79140219</t>
        </is>
      </c>
      <c r="E82" s="69" t="inlineStr">
        <is>
          <t>H.M.R. Santa Lucía</t>
        </is>
      </c>
      <c r="F82" s="95" t="inlineStr">
        <is>
          <t>Servicio de mantenimiento integral para: Fotocoagulador láser, marca Topcon, modelo Pascal Synthesis, serie 79140219;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82" s="79" t="n">
        <v>1</v>
      </c>
      <c r="H82" s="79" t="n">
        <v>2</v>
      </c>
      <c r="I82" s="291" t="n">
        <v>200000</v>
      </c>
      <c r="J82" s="291">
        <f>I82</f>
        <v/>
      </c>
      <c r="K82" s="291">
        <f>J82</f>
        <v/>
      </c>
      <c r="L82" s="291">
        <f>SUM(I82:K82)</f>
        <v/>
      </c>
      <c r="M82" s="291">
        <f>L82*0.16</f>
        <v/>
      </c>
      <c r="N82" s="291">
        <f>SUM(L82:M82)</f>
        <v/>
      </c>
      <c r="O82" s="296" t="n">
        <v>420000</v>
      </c>
      <c r="P82" s="296">
        <f>G82*O82</f>
        <v/>
      </c>
      <c r="Q82" s="296">
        <f>H82*O82</f>
        <v/>
      </c>
      <c r="R82" s="296">
        <f>SUM(P82:Q82)</f>
        <v/>
      </c>
      <c r="S82" s="296">
        <f>R82*$S$9</f>
        <v/>
      </c>
      <c r="T82" s="296">
        <f>SUM(R82:S82)</f>
        <v/>
      </c>
      <c r="U82" s="78" t="inlineStr">
        <is>
          <t>OFTALMO</t>
        </is>
      </c>
      <c r="V82" s="81" t="inlineStr">
        <is>
          <t>TOPCON</t>
        </is>
      </c>
      <c r="W82" s="83" t="inlineStr">
        <is>
          <t>ADJUDICADO</t>
        </is>
      </c>
      <c r="X82" s="5" t="inlineStr">
        <is>
          <t>PROYECTADO</t>
        </is>
      </c>
    </row>
    <row r="83" ht="28.2" customHeight="1" s="227">
      <c r="A83" s="92" t="n">
        <v>98</v>
      </c>
      <c r="B83" s="68" t="inlineStr">
        <is>
          <t>BAJA CALIFORNIA</t>
        </is>
      </c>
      <c r="C83" s="69" t="inlineStr">
        <is>
          <t>Tomógrafo-topógrafo corneal, marca Bausch &amp; Lomb, modelo Orbscan II</t>
        </is>
      </c>
      <c r="D83" s="68" t="inlineStr">
        <is>
          <t>71023432</t>
        </is>
      </c>
      <c r="E83" s="69" t="inlineStr">
        <is>
          <t>H.M.R. La Paz</t>
        </is>
      </c>
      <c r="F83" s="95" t="inlineStr">
        <is>
          <t>Servicio de mantenimiento integral para: Tomógrafo-topógrafo corneal, marca Bausch &amp; Lomb, modelo Orbscan II, serie 71023432;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83" s="79" t="n">
        <v>1</v>
      </c>
      <c r="H83" s="79" t="n">
        <v>2</v>
      </c>
      <c r="I83" s="291" t="n"/>
      <c r="J83" s="291">
        <f>I83</f>
        <v/>
      </c>
      <c r="K83" s="291">
        <f>J83</f>
        <v/>
      </c>
      <c r="L83" s="291" t="n"/>
      <c r="M83" s="291" t="n"/>
      <c r="N83" s="291" t="n"/>
      <c r="O83" s="296" t="n">
        <v>380000</v>
      </c>
      <c r="P83" s="296">
        <f>G83*O83</f>
        <v/>
      </c>
      <c r="Q83" s="296">
        <f>H83*O83</f>
        <v/>
      </c>
      <c r="R83" s="296">
        <f>SUM(P83:Q83)</f>
        <v/>
      </c>
      <c r="S83" s="296">
        <f>R83*$S$9</f>
        <v/>
      </c>
      <c r="T83" s="296">
        <f>SUM(R83:S83)</f>
        <v/>
      </c>
      <c r="U83" s="78" t="inlineStr">
        <is>
          <t>OFTALMO</t>
        </is>
      </c>
      <c r="V83" s="81" t="inlineStr">
        <is>
          <t>BAUSH</t>
        </is>
      </c>
      <c r="W83" s="91" t="inlineStr">
        <is>
          <t>NO ADJUDICADO</t>
        </is>
      </c>
      <c r="X83" s="5" t="inlineStr">
        <is>
          <t>PROYECTADO</t>
        </is>
      </c>
    </row>
    <row r="84" ht="28.2" customHeight="1" s="227">
      <c r="A84" s="92" t="n">
        <v>99</v>
      </c>
      <c r="B84" s="68" t="inlineStr">
        <is>
          <t>DURANGO</t>
        </is>
      </c>
      <c r="C84" s="69" t="inlineStr">
        <is>
          <t>Rayos X fijo, marca Del Medical, modelo EV 800</t>
        </is>
      </c>
      <c r="D84" s="68" t="inlineStr">
        <is>
          <t>02776-1019-W</t>
        </is>
      </c>
      <c r="E84" s="69" t="inlineStr">
        <is>
          <t>H.M.Z. Cinco de Mayo</t>
        </is>
      </c>
      <c r="F84" s="95" t="inlineStr">
        <is>
          <t>Servicio de mantenimiento integral para: Rayos X fijo, marca Del Medical, modelo EV 800, serie 02776-1019-W; ubicado en H.M.Z. Cinco de Mayo, Dgo.
Consistente en 1 evento de mantenimiento preventivo por semestre y todos los mantenimientos correctivos que se requieran para mantener, conservar y/o recuperar la operatividad del equipo al 100% durante el periodo de cobertura.</t>
        </is>
      </c>
      <c r="G84" s="79" t="n">
        <v>1</v>
      </c>
      <c r="H84" s="79" t="n">
        <v>2</v>
      </c>
      <c r="I84" s="291" t="n"/>
      <c r="J84" s="291">
        <f>I84</f>
        <v/>
      </c>
      <c r="K84" s="291">
        <f>J84</f>
        <v/>
      </c>
      <c r="L84" s="291" t="n"/>
      <c r="M84" s="291" t="n"/>
      <c r="N84" s="291" t="n"/>
      <c r="O84" s="296" t="n">
        <v>350000</v>
      </c>
      <c r="P84" s="296">
        <f>G84*O84</f>
        <v/>
      </c>
      <c r="Q84" s="296">
        <f>H84*O84</f>
        <v/>
      </c>
      <c r="R84" s="296">
        <f>SUM(P84:Q84)</f>
        <v/>
      </c>
      <c r="S84" s="296">
        <f>R84*$S$9</f>
        <v/>
      </c>
      <c r="T84" s="296">
        <f>SUM(R84:S84)</f>
        <v/>
      </c>
      <c r="U84" s="78" t="inlineStr">
        <is>
          <t>IMAGEN</t>
        </is>
      </c>
      <c r="V84" s="85" t="n"/>
      <c r="W84" s="103" t="inlineStr">
        <is>
          <t>ADJUDICADO</t>
        </is>
      </c>
      <c r="X84" s="5" t="inlineStr">
        <is>
          <t>NO PROYECTADO</t>
        </is>
      </c>
    </row>
    <row r="85" ht="28.2" customHeight="1" s="227">
      <c r="A85" s="92" t="n">
        <v>107</v>
      </c>
      <c r="B85" s="68" t="inlineStr">
        <is>
          <t>CDMX</t>
        </is>
      </c>
      <c r="C85" s="69" t="inlineStr">
        <is>
          <t>Rayos X móvil, marca Fujifilm, modelo DR-XD 1000</t>
        </is>
      </c>
      <c r="D85" s="68" t="inlineStr">
        <is>
          <t>77250288</t>
        </is>
      </c>
      <c r="E85" s="69" t="inlineStr">
        <is>
          <t>H.C.M. Lomas de Sotelo</t>
        </is>
      </c>
      <c r="F85" s="95" t="inlineStr">
        <is>
          <t>Servicio de mantenimiento integral para: Rayos X móvil, marca Fujifilm, modelo DR-XD 1000, serie 77250288;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5" s="79" t="n">
        <v>1</v>
      </c>
      <c r="H85" s="79" t="n">
        <v>2</v>
      </c>
      <c r="I85" s="291" t="n"/>
      <c r="J85" s="291">
        <f>I85</f>
        <v/>
      </c>
      <c r="K85" s="291">
        <f>J85</f>
        <v/>
      </c>
      <c r="L85" s="291" t="n"/>
      <c r="M85" s="291" t="n"/>
      <c r="N85" s="291" t="n"/>
      <c r="O85" s="296" t="n">
        <v>220000</v>
      </c>
      <c r="P85" s="296">
        <f>G85*O85</f>
        <v/>
      </c>
      <c r="Q85" s="296">
        <f>H85*O85</f>
        <v/>
      </c>
      <c r="R85" s="296">
        <f>SUM(P85:Q85)</f>
        <v/>
      </c>
      <c r="S85" s="296">
        <f>R85*$S$9</f>
        <v/>
      </c>
      <c r="T85" s="296">
        <f>SUM(R85:S85)</f>
        <v/>
      </c>
      <c r="U85" s="78" t="inlineStr">
        <is>
          <t>IMAGEN</t>
        </is>
      </c>
      <c r="V85" s="85" t="n"/>
      <c r="W85" s="103" t="inlineStr">
        <is>
          <t>ADJUDICADO</t>
        </is>
      </c>
      <c r="X85" s="5" t="inlineStr">
        <is>
          <t>NO PROYECTADO</t>
        </is>
      </c>
    </row>
    <row r="86" ht="28.2" customHeight="1" s="227">
      <c r="A86" s="92" t="n">
        <v>111</v>
      </c>
      <c r="B86" s="68" t="inlineStr">
        <is>
          <t>CDMX</t>
        </is>
      </c>
      <c r="C86" s="69" t="inlineStr">
        <is>
          <t>Rayos X móvil, marca Fujifilm, modelo FDR Go</t>
        </is>
      </c>
      <c r="D86" s="68" t="inlineStr">
        <is>
          <t>566-19888-11</t>
        </is>
      </c>
      <c r="E86" s="69" t="inlineStr">
        <is>
          <t>H.M.E.M. Y N. Lomas de Sotelo</t>
        </is>
      </c>
      <c r="F86" s="95" t="inlineStr">
        <is>
          <t>Servicio de mantenimiento integral para: Rayos X móvil, marca Fujifilm, modelo FDR Go, serie 566-19888-11;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6" s="79" t="n">
        <v>1</v>
      </c>
      <c r="H86" s="79" t="n">
        <v>2</v>
      </c>
      <c r="I86" s="291" t="n"/>
      <c r="J86" s="291">
        <f>I86</f>
        <v/>
      </c>
      <c r="K86" s="291">
        <f>J86</f>
        <v/>
      </c>
      <c r="L86" s="291" t="n"/>
      <c r="M86" s="291" t="n"/>
      <c r="N86" s="291" t="n"/>
      <c r="O86" s="296" t="n">
        <v>210000</v>
      </c>
      <c r="P86" s="296">
        <f>G86*O86</f>
        <v/>
      </c>
      <c r="Q86" s="296">
        <f>H86*O86</f>
        <v/>
      </c>
      <c r="R86" s="296">
        <f>SUM(P86:Q86)</f>
        <v/>
      </c>
      <c r="S86" s="296">
        <f>R86*$S$9</f>
        <v/>
      </c>
      <c r="T86" s="296">
        <f>SUM(R86:S86)</f>
        <v/>
      </c>
      <c r="U86" s="78" t="inlineStr">
        <is>
          <t>IMAGEN</t>
        </is>
      </c>
      <c r="V86" s="85" t="n"/>
      <c r="W86" s="103" t="inlineStr">
        <is>
          <t>ADJUDICADO</t>
        </is>
      </c>
      <c r="X86" s="5" t="inlineStr">
        <is>
          <t>NO PROYECTADO</t>
        </is>
      </c>
    </row>
    <row r="87" ht="28.2" customHeight="1" s="227">
      <c r="A87" s="86" t="n">
        <v>112</v>
      </c>
      <c r="B87" s="68" t="inlineStr">
        <is>
          <t>CDMX</t>
        </is>
      </c>
      <c r="C87" s="69" t="inlineStr">
        <is>
          <t>Sistema digital de imagen de campo amplio, marca Clarity Medical Systems, modelo RetCam 3</t>
        </is>
      </c>
      <c r="D87" s="68" t="inlineStr">
        <is>
          <t>RC7406</t>
        </is>
      </c>
      <c r="E87" s="69" t="inlineStr">
        <is>
          <t>H.M.E.M. Y N. Lomas de Sotelo</t>
        </is>
      </c>
      <c r="F87" s="95" t="inlineStr">
        <is>
          <t>Servicio de mantenimiento integral para: Sistema digital de imagen de campo amplio, marca Clarity Medical Systems, modelo RetCam 3, serie RC7406;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7" s="79" t="n">
        <v>1</v>
      </c>
      <c r="H87" s="79" t="n">
        <v>2</v>
      </c>
      <c r="I87" s="291" t="n">
        <v>150000</v>
      </c>
      <c r="J87" s="291">
        <f>I87</f>
        <v/>
      </c>
      <c r="K87" s="291">
        <f>J87</f>
        <v/>
      </c>
      <c r="L87" s="291">
        <f>SUM(I87:K87)</f>
        <v/>
      </c>
      <c r="M87" s="291">
        <f>L87*0.16</f>
        <v/>
      </c>
      <c r="N87" s="291">
        <f>SUM(L87:M87)</f>
        <v/>
      </c>
      <c r="O87" s="296" t="n">
        <v>320000</v>
      </c>
      <c r="P87" s="296">
        <f>G87*O87</f>
        <v/>
      </c>
      <c r="Q87" s="296">
        <f>H87*O87</f>
        <v/>
      </c>
      <c r="R87" s="296">
        <f>SUM(P87:Q87)</f>
        <v/>
      </c>
      <c r="S87" s="296">
        <f>R87*$S$9</f>
        <v/>
      </c>
      <c r="T87" s="296">
        <f>SUM(R87:S87)</f>
        <v/>
      </c>
      <c r="U87" s="78" t="inlineStr">
        <is>
          <t>OFTALMO</t>
        </is>
      </c>
      <c r="V87" s="85" t="n"/>
      <c r="W87" s="83" t="inlineStr">
        <is>
          <t>ADJUDICADO</t>
        </is>
      </c>
      <c r="X87" s="5" t="inlineStr">
        <is>
          <t>PROYECTADO</t>
        </is>
      </c>
    </row>
    <row r="88" ht="28.2" customHeight="1" s="227">
      <c r="A88" s="92" t="n">
        <v>116</v>
      </c>
      <c r="B88" s="68" t="inlineStr">
        <is>
          <t>JALISCO</t>
        </is>
      </c>
      <c r="C88" s="69" t="inlineStr">
        <is>
          <t>Rayos X móvil, marca Fujifilm, modelo FDR Go</t>
        </is>
      </c>
      <c r="D88" s="68" t="inlineStr">
        <is>
          <t>F168B78007</t>
        </is>
      </c>
      <c r="E88" s="69" t="inlineStr">
        <is>
          <t>H.M.Z. Zapopan</t>
        </is>
      </c>
      <c r="F88" s="95" t="inlineStr">
        <is>
          <t>Servicio de mantenimiento integral para: Rayos X móvil, marca Fujifilm, modelo FDR Go, serie  F168B78007;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88" s="79" t="n">
        <v>1</v>
      </c>
      <c r="H88" s="79" t="n">
        <v>2</v>
      </c>
      <c r="I88" s="291" t="n"/>
      <c r="J88" s="291">
        <f>I88</f>
        <v/>
      </c>
      <c r="K88" s="291">
        <f>J88</f>
        <v/>
      </c>
      <c r="L88" s="291" t="n"/>
      <c r="M88" s="291" t="n"/>
      <c r="N88" s="291" t="n"/>
      <c r="O88" s="296" t="n">
        <v>350000</v>
      </c>
      <c r="P88" s="296">
        <f>G88*O88</f>
        <v/>
      </c>
      <c r="Q88" s="296">
        <f>H88*O88</f>
        <v/>
      </c>
      <c r="R88" s="296">
        <f>SUM(P88:Q88)</f>
        <v/>
      </c>
      <c r="S88" s="296">
        <f>R88*$S$9</f>
        <v/>
      </c>
      <c r="T88" s="296">
        <f>SUM(R88:S88)</f>
        <v/>
      </c>
      <c r="U88" s="78" t="inlineStr">
        <is>
          <t>IMAGEN</t>
        </is>
      </c>
      <c r="V88" s="85" t="n"/>
      <c r="W88" s="91" t="inlineStr">
        <is>
          <t>NO ADJUDICADO</t>
        </is>
      </c>
      <c r="X88" s="5" t="inlineStr">
        <is>
          <t>PROYECTADO</t>
        </is>
      </c>
    </row>
    <row r="89" ht="28.2" customHeight="1" s="227">
      <c r="A89" s="92" t="n">
        <v>119</v>
      </c>
      <c r="B89" s="68" t="inlineStr">
        <is>
          <t>COAHUILA</t>
        </is>
      </c>
      <c r="C89" s="69" t="inlineStr">
        <is>
          <t>Rayos X móvil, marca Fujifilm, modelo FDR Go</t>
        </is>
      </c>
      <c r="D89" s="68" t="inlineStr">
        <is>
          <t>41DBBA14CO</t>
        </is>
      </c>
      <c r="E89" s="69" t="inlineStr">
        <is>
          <t>H.M.R. Torreón</t>
        </is>
      </c>
      <c r="F89" s="95" t="inlineStr">
        <is>
          <t>Servicio de mantenimiento integral para: Rayos X móvil, marca Fujifilm, modelo FDR Go, serie 41DBBA14CO; ubicado en H.M.R. Torreón, Coah.
Consistente en 1 evento de mantenimiento preventivo por semestre y todos los mantenimientos correctivos que se requieran para mantener, conservar y/o recuperar la operatividad del equipo al 100% durante el periodo de cobertura.</t>
        </is>
      </c>
      <c r="G89" s="79" t="n">
        <v>1</v>
      </c>
      <c r="H89" s="79" t="n">
        <v>2</v>
      </c>
      <c r="I89" s="291" t="n"/>
      <c r="J89" s="291">
        <f>I89</f>
        <v/>
      </c>
      <c r="K89" s="291">
        <f>J89</f>
        <v/>
      </c>
      <c r="L89" s="291" t="n"/>
      <c r="M89" s="291" t="n"/>
      <c r="N89" s="291" t="n"/>
      <c r="O89" s="296" t="n">
        <v>350000</v>
      </c>
      <c r="P89" s="296">
        <f>G89*O89</f>
        <v/>
      </c>
      <c r="Q89" s="296">
        <f>H89*O89</f>
        <v/>
      </c>
      <c r="R89" s="296">
        <f>SUM(P89:Q89)</f>
        <v/>
      </c>
      <c r="S89" s="296">
        <f>R89*$S$9</f>
        <v/>
      </c>
      <c r="T89" s="296">
        <f>SUM(R89:S89)</f>
        <v/>
      </c>
      <c r="U89" s="78" t="inlineStr">
        <is>
          <t>IMAGEN</t>
        </is>
      </c>
      <c r="V89" s="85" t="n"/>
      <c r="W89" s="91" t="inlineStr">
        <is>
          <t>NO ADJUDICADO</t>
        </is>
      </c>
      <c r="X89" s="5" t="inlineStr">
        <is>
          <t>PROYECTADO</t>
        </is>
      </c>
    </row>
    <row r="90" ht="28.2" customHeight="1" s="227">
      <c r="A90" s="92" t="n">
        <v>134</v>
      </c>
      <c r="B90" s="68" t="inlineStr">
        <is>
          <t>VERACRUZ</t>
        </is>
      </c>
      <c r="C90" s="69" t="inlineStr">
        <is>
          <t>Rayos X móvil, marca Fujifilm, modelo FDR Go</t>
        </is>
      </c>
      <c r="D90" s="68" t="inlineStr">
        <is>
          <t>41DBBA14A019</t>
        </is>
      </c>
      <c r="E90" s="69" t="inlineStr">
        <is>
          <t>H.M.R. Tuxpan</t>
        </is>
      </c>
      <c r="F90" s="95" t="inlineStr">
        <is>
          <t>Servicio de mantenimiento integral para: Rayos X móvil, marca Fujifilm, modelo FDR Go, serie 41DBBA14A019; ubicado en H.M.R. Tuxpan, Ver.
Consistente en 1 evento de mantenimiento preventivo por semestre y todos los mantenimientos correctivos que se requieran para mantener, conservar y/o recuperar la operatividad del equipo al 100% durante el periodo de cobertura.</t>
        </is>
      </c>
      <c r="G90" s="79" t="n">
        <v>1</v>
      </c>
      <c r="H90" s="79" t="n">
        <v>2</v>
      </c>
      <c r="I90" s="291" t="inlineStr">
        <is>
          <t>NO</t>
        </is>
      </c>
      <c r="J90" s="291">
        <f>I90</f>
        <v/>
      </c>
      <c r="K90" s="291">
        <f>J90</f>
        <v/>
      </c>
      <c r="L90" s="291" t="n"/>
      <c r="M90" s="291" t="n"/>
      <c r="N90" s="291" t="n"/>
      <c r="O90" s="296" t="n">
        <v>140000</v>
      </c>
      <c r="P90" s="296">
        <f>G90*O90</f>
        <v/>
      </c>
      <c r="Q90" s="296">
        <f>H90*O90</f>
        <v/>
      </c>
      <c r="R90" s="296">
        <f>SUM(P90:Q90)</f>
        <v/>
      </c>
      <c r="S90" s="296">
        <f>R90*$S$9</f>
        <v/>
      </c>
      <c r="T90" s="296">
        <f>SUM(R90:S90)</f>
        <v/>
      </c>
      <c r="U90" s="78" t="inlineStr">
        <is>
          <t>IMAGEN</t>
        </is>
      </c>
      <c r="V90" s="85" t="n"/>
      <c r="W90" s="103" t="inlineStr">
        <is>
          <t>ADJUDICADO</t>
        </is>
      </c>
      <c r="X90" s="5" t="inlineStr">
        <is>
          <t>NO PROYECTADO</t>
        </is>
      </c>
    </row>
    <row r="91" ht="28.2" customHeight="1" s="227">
      <c r="A91" s="92" t="n">
        <v>140</v>
      </c>
      <c r="B91" s="68" t="inlineStr">
        <is>
          <t>CHIAPAS</t>
        </is>
      </c>
      <c r="C91" s="69" t="inlineStr">
        <is>
          <t>Rayos X móvil, marca Fujifilm, modelo FDR Go</t>
        </is>
      </c>
      <c r="D91" s="68" t="inlineStr">
        <is>
          <t>41DBBA146046</t>
        </is>
      </c>
      <c r="E91" s="69" t="inlineStr">
        <is>
          <t>H.M.R. Tuxtla Gutiérrez</t>
        </is>
      </c>
      <c r="F91" s="95" t="inlineStr">
        <is>
          <t>Servicio de mantenimiento integral para: Rayos X móvil, marca Fujifilm, modelo FDR Go, serie 41DBBA146046;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91" s="79" t="n">
        <v>1</v>
      </c>
      <c r="H91" s="79" t="n">
        <v>2</v>
      </c>
      <c r="I91" s="291" t="n"/>
      <c r="J91" s="291">
        <f>I91</f>
        <v/>
      </c>
      <c r="K91" s="291">
        <f>J91</f>
        <v/>
      </c>
      <c r="L91" s="291" t="n"/>
      <c r="M91" s="291" t="n"/>
      <c r="N91" s="291" t="n"/>
      <c r="O91" s="296" t="n">
        <v>230000</v>
      </c>
      <c r="P91" s="296">
        <f>G91*O91</f>
        <v/>
      </c>
      <c r="Q91" s="296">
        <f>H91*O91</f>
        <v/>
      </c>
      <c r="R91" s="296">
        <f>SUM(P91:Q91)</f>
        <v/>
      </c>
      <c r="S91" s="296">
        <f>R91*$S$9</f>
        <v/>
      </c>
      <c r="T91" s="296">
        <f>SUM(R91:S91)</f>
        <v/>
      </c>
      <c r="U91" s="78" t="inlineStr">
        <is>
          <t>IMAGEN</t>
        </is>
      </c>
      <c r="V91" s="85" t="n"/>
      <c r="W91" s="103" t="inlineStr">
        <is>
          <t>ADJUDICADO</t>
        </is>
      </c>
      <c r="X91" s="5" t="inlineStr">
        <is>
          <t>NO PROYECTADO</t>
        </is>
      </c>
    </row>
    <row r="92" ht="28.2" customHeight="1" s="227">
      <c r="A92" s="92" t="n">
        <v>144</v>
      </c>
      <c r="B92" s="68" t="inlineStr">
        <is>
          <t>YUCATAN</t>
        </is>
      </c>
      <c r="C92" s="69" t="inlineStr">
        <is>
          <t>Rayos X móvil, marca Villa Sistemi Medicali, modelo Visitor T30 M-DR</t>
        </is>
      </c>
      <c r="D92" s="68" t="inlineStr">
        <is>
          <t>17091017</t>
        </is>
      </c>
      <c r="E92" s="69" t="inlineStr">
        <is>
          <t>H.M.R.E. Mérida</t>
        </is>
      </c>
      <c r="F92" s="95" t="inlineStr">
        <is>
          <t>Servicio de mantenimiento integral para: Rayos X móvil, marca Villa Sistemi Medicali, modelo Visitor T30 M-DR, serie 17091017;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92" s="79" t="n">
        <v>1</v>
      </c>
      <c r="H92" s="79" t="n">
        <v>2</v>
      </c>
      <c r="I92" s="291" t="n"/>
      <c r="J92" s="291">
        <f>I92</f>
        <v/>
      </c>
      <c r="K92" s="291">
        <f>J92</f>
        <v/>
      </c>
      <c r="L92" s="291" t="n"/>
      <c r="M92" s="291" t="n"/>
      <c r="N92" s="291" t="n"/>
      <c r="O92" s="296" t="n">
        <v>350000</v>
      </c>
      <c r="P92" s="296">
        <f>G92*O92</f>
        <v/>
      </c>
      <c r="Q92" s="296">
        <f>H92*O92</f>
        <v/>
      </c>
      <c r="R92" s="296">
        <f>SUM(P92:Q92)</f>
        <v/>
      </c>
      <c r="S92" s="296">
        <f>R92*$S$9</f>
        <v/>
      </c>
      <c r="T92" s="296">
        <f>SUM(R92:S92)</f>
        <v/>
      </c>
      <c r="U92" s="78" t="inlineStr">
        <is>
          <t>IMAGEN</t>
        </is>
      </c>
      <c r="V92" s="85" t="n"/>
      <c r="W92" s="103" t="inlineStr">
        <is>
          <t>ADJUDICADO</t>
        </is>
      </c>
      <c r="X92" s="5" t="inlineStr">
        <is>
          <t>NO PROYECTADO</t>
        </is>
      </c>
    </row>
    <row r="93" ht="28.2" customHeight="1" s="227">
      <c r="A93" s="92" t="n">
        <v>145</v>
      </c>
      <c r="B93" s="68" t="inlineStr">
        <is>
          <t>YUCATAN</t>
        </is>
      </c>
      <c r="C93" s="69" t="inlineStr">
        <is>
          <t>Equipo de rayos X móvil, marca Technix, modelo TMS 320</t>
        </is>
      </c>
      <c r="D93" s="68" t="inlineStr">
        <is>
          <t>80-16-103-174</t>
        </is>
      </c>
      <c r="E93" s="69" t="inlineStr">
        <is>
          <t>H.M.R.E. Mérida</t>
        </is>
      </c>
      <c r="F93" s="95" t="inlineStr">
        <is>
          <t>Servicio de mantenimiento integral para: Equipo de rayos X móvil, marca Technix, modelo TMS 320, serie 80-16-103-174;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93" s="79" t="n">
        <v>1</v>
      </c>
      <c r="H93" s="79" t="n">
        <v>2</v>
      </c>
      <c r="I93" s="291" t="n"/>
      <c r="J93" s="291">
        <f>I93</f>
        <v/>
      </c>
      <c r="K93" s="291">
        <f>J93</f>
        <v/>
      </c>
      <c r="L93" s="291" t="n"/>
      <c r="M93" s="291" t="n"/>
      <c r="N93" s="291" t="n"/>
      <c r="O93" s="296" t="n">
        <v>220000</v>
      </c>
      <c r="P93" s="296">
        <f>G93*O93</f>
        <v/>
      </c>
      <c r="Q93" s="296">
        <f>H93*O93</f>
        <v/>
      </c>
      <c r="R93" s="296">
        <f>SUM(P93:Q93)</f>
        <v/>
      </c>
      <c r="S93" s="296">
        <f>R93*$S$9</f>
        <v/>
      </c>
      <c r="T93" s="296">
        <f>SUM(R93:S93)</f>
        <v/>
      </c>
      <c r="U93" s="78" t="inlineStr">
        <is>
          <t>IMAGEN</t>
        </is>
      </c>
      <c r="V93" s="85" t="n"/>
      <c r="W93" s="103" t="inlineStr">
        <is>
          <t>ADJUDICADO</t>
        </is>
      </c>
      <c r="X93" s="5" t="inlineStr">
        <is>
          <t>NO PROYECTADO</t>
        </is>
      </c>
    </row>
    <row r="94" ht="28.2" customHeight="1" s="227">
      <c r="A94" s="92" t="n">
        <v>149</v>
      </c>
      <c r="B94" s="68" t="inlineStr">
        <is>
          <t>SAN LUIS POTOSI</t>
        </is>
      </c>
      <c r="C94" s="69" t="inlineStr">
        <is>
          <t>Equipo de rayos X móvil, marca Technix, modelo TMS 320</t>
        </is>
      </c>
      <c r="D94" s="68" t="inlineStr">
        <is>
          <t>80-16-87-158</t>
        </is>
      </c>
      <c r="E94" s="69" t="inlineStr">
        <is>
          <t>H.M.R. San Luis Potosí</t>
        </is>
      </c>
      <c r="F94" s="95" t="inlineStr">
        <is>
          <t>Servicio de mantenimiento integral para: Equipo de rayos X móvil, marca Technix, modelo TMS 320, serie 80-16-87-158; ubicado en H.M.R. San Luis Potosí, S.L.P.
Consistente en 1 evento de mantenimiento preventivo por semestre y todos los mantenimientos correctivos que se requieran para mantener, conservar y/o recuperar la operatividad del equipo al 100% durante el periodo de cobertura.</t>
        </is>
      </c>
      <c r="G94" s="79" t="n">
        <v>1</v>
      </c>
      <c r="H94" s="79" t="n">
        <v>2</v>
      </c>
      <c r="I94" s="291" t="n"/>
      <c r="J94" s="291">
        <f>I94</f>
        <v/>
      </c>
      <c r="K94" s="291">
        <f>J94</f>
        <v/>
      </c>
      <c r="L94" s="291" t="n"/>
      <c r="M94" s="291" t="n"/>
      <c r="N94" s="291" t="n"/>
      <c r="O94" s="296" t="n">
        <v>250000</v>
      </c>
      <c r="P94" s="296">
        <f>G94*O94</f>
        <v/>
      </c>
      <c r="Q94" s="296">
        <f>H94*O94</f>
        <v/>
      </c>
      <c r="R94" s="296">
        <f>SUM(P94:Q94)</f>
        <v/>
      </c>
      <c r="S94" s="296">
        <f>R94*$S$9</f>
        <v/>
      </c>
      <c r="T94" s="296">
        <f>SUM(R94:S94)</f>
        <v/>
      </c>
      <c r="U94" s="78" t="inlineStr">
        <is>
          <t>IMAGEN</t>
        </is>
      </c>
      <c r="V94" s="85" t="n"/>
      <c r="W94" s="103" t="inlineStr">
        <is>
          <t>ADJUDICADO</t>
        </is>
      </c>
      <c r="X94" s="5" t="inlineStr">
        <is>
          <t>NO PROYECTADO</t>
        </is>
      </c>
    </row>
    <row r="95" ht="28.2" customHeight="1" s="227">
      <c r="A95" s="92" t="n">
        <v>152</v>
      </c>
      <c r="B95" s="68" t="inlineStr">
        <is>
          <t>SINALOA</t>
        </is>
      </c>
      <c r="C95" s="69" t="inlineStr">
        <is>
          <t>Impresora para placas radiográficas, marca Codonics, modelo Horizon Ci</t>
        </is>
      </c>
      <c r="D95" s="68" t="inlineStr">
        <is>
          <t>50C00404C</t>
        </is>
      </c>
      <c r="E95" s="69" t="inlineStr">
        <is>
          <t>H.M.R.E. Mazatlán</t>
        </is>
      </c>
      <c r="F95" s="95" t="inlineStr">
        <is>
          <t>Servicio de mantenimiento integral para: Impresora para placas radiográficas, marca Codonics, modelo Horizon Ci, serie 50C00404C;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95" s="79" t="n">
        <v>1</v>
      </c>
      <c r="H95" s="79" t="n">
        <v>2</v>
      </c>
      <c r="I95" s="291" t="n"/>
      <c r="J95" s="291">
        <f>I95</f>
        <v/>
      </c>
      <c r="K95" s="291">
        <f>J95</f>
        <v/>
      </c>
      <c r="L95" s="291" t="n"/>
      <c r="M95" s="291" t="n"/>
      <c r="N95" s="291" t="n"/>
      <c r="O95" s="296" t="n">
        <v>300000</v>
      </c>
      <c r="P95" s="296">
        <f>G95*O95</f>
        <v/>
      </c>
      <c r="Q95" s="296">
        <f>H95*O95</f>
        <v/>
      </c>
      <c r="R95" s="296">
        <f>SUM(P95:Q95)</f>
        <v/>
      </c>
      <c r="S95" s="296">
        <f>R95*$S$9</f>
        <v/>
      </c>
      <c r="T95" s="296">
        <f>SUM(R95:S95)</f>
        <v/>
      </c>
      <c r="U95" s="78" t="inlineStr">
        <is>
          <t>IMAGEN</t>
        </is>
      </c>
      <c r="V95" s="85" t="n"/>
      <c r="W95" s="103" t="inlineStr">
        <is>
          <t>ADJUDICADO</t>
        </is>
      </c>
      <c r="X95" s="5" t="inlineStr">
        <is>
          <t>NO PROYECTADO</t>
        </is>
      </c>
    </row>
    <row r="96" ht="28.2" customHeight="1" s="227">
      <c r="A96" s="86" t="n">
        <v>154</v>
      </c>
      <c r="B96" s="68" t="inlineStr">
        <is>
          <t>SINALOA</t>
        </is>
      </c>
      <c r="C96" s="69" t="inlineStr">
        <is>
          <t>Microscopio para cirugía, marca Haag-Streit Surgical, modelo Moller Wedel</t>
        </is>
      </c>
      <c r="D96" s="68" t="inlineStr">
        <is>
          <t>30155514</t>
        </is>
      </c>
      <c r="E96" s="69" t="inlineStr">
        <is>
          <t>H.M.R.E. Mazatlán</t>
        </is>
      </c>
      <c r="F96" s="95" t="inlineStr">
        <is>
          <t>Servicio de mantenimiento integral para: Microscopio para cirugía, marca Haag-Streit Surgical, modelo Moller Wedel, serie 30155514;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96" s="79" t="n">
        <v>1</v>
      </c>
      <c r="H96" s="79" t="n">
        <v>2</v>
      </c>
      <c r="I96" s="291" t="n">
        <v>80000</v>
      </c>
      <c r="J96" s="291">
        <f>I96</f>
        <v/>
      </c>
      <c r="K96" s="291">
        <f>J96</f>
        <v/>
      </c>
      <c r="L96" s="291">
        <f>SUM(I96:K96)</f>
        <v/>
      </c>
      <c r="M96" s="291">
        <f>L96*0.16</f>
        <v/>
      </c>
      <c r="N96" s="291">
        <f>SUM(L96:M96)</f>
        <v/>
      </c>
      <c r="O96" s="296" t="n">
        <v>160000</v>
      </c>
      <c r="P96" s="296">
        <f>G96*O96</f>
        <v/>
      </c>
      <c r="Q96" s="296">
        <f>H96*O96</f>
        <v/>
      </c>
      <c r="R96" s="296">
        <f>SUM(P96:Q96)</f>
        <v/>
      </c>
      <c r="S96" s="296">
        <f>R96*$S$9</f>
        <v/>
      </c>
      <c r="T96" s="296">
        <f>SUM(R96:S96)</f>
        <v/>
      </c>
      <c r="U96" s="78" t="inlineStr">
        <is>
          <t>OFTALMO</t>
        </is>
      </c>
      <c r="V96" s="81" t="inlineStr">
        <is>
          <t>DEWIMED</t>
        </is>
      </c>
      <c r="W96" s="83" t="inlineStr">
        <is>
          <t>ADJUDICADO</t>
        </is>
      </c>
      <c r="X96" s="5" t="inlineStr">
        <is>
          <t>PROYECTADO</t>
        </is>
      </c>
    </row>
    <row r="97" ht="28.2" customHeight="1" s="227">
      <c r="A97" s="86" t="n">
        <v>156</v>
      </c>
      <c r="B97" s="68" t="inlineStr">
        <is>
          <t>CDMX</t>
        </is>
      </c>
      <c r="C97" s="69" t="inlineStr">
        <is>
          <t>Equipo de rayos X móvil, marca Technix, modelo TMS 320</t>
        </is>
      </c>
      <c r="D97" s="68" t="inlineStr">
        <is>
          <t>80-16-79-150</t>
        </is>
      </c>
      <c r="E97" s="69" t="inlineStr">
        <is>
          <t>H.C.M. Lomas de Sotelo</t>
        </is>
      </c>
      <c r="F97" s="95" t="inlineStr">
        <is>
          <t>Servicio de mantenimiento integral para: Equipo de rayos X móvil, marca Technix, modelo TMS 320, serie 80-16-79-150;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97" s="79" t="n">
        <v>1</v>
      </c>
      <c r="H97" s="79" t="n">
        <v>2</v>
      </c>
      <c r="I97" s="291" t="n">
        <v>100000</v>
      </c>
      <c r="J97" s="291">
        <f>I97</f>
        <v/>
      </c>
      <c r="K97" s="291">
        <f>J97</f>
        <v/>
      </c>
      <c r="L97" s="291">
        <f>SUM(I97:K97)</f>
        <v/>
      </c>
      <c r="M97" s="291">
        <f>L97*0.16</f>
        <v/>
      </c>
      <c r="N97" s="291">
        <f>SUM(L97:M97)</f>
        <v/>
      </c>
      <c r="O97" s="296" t="n">
        <v>220000</v>
      </c>
      <c r="P97" s="296">
        <f>G97*O97</f>
        <v/>
      </c>
      <c r="Q97" s="296">
        <f>H97*O97</f>
        <v/>
      </c>
      <c r="R97" s="296">
        <f>SUM(P97:Q97)</f>
        <v/>
      </c>
      <c r="S97" s="296">
        <f>R97*$S$9</f>
        <v/>
      </c>
      <c r="T97" s="296">
        <f>SUM(R97:S97)</f>
        <v/>
      </c>
      <c r="U97" s="78" t="inlineStr">
        <is>
          <t>IMAGEN</t>
        </is>
      </c>
      <c r="V97" s="85" t="n"/>
      <c r="W97" s="83" t="inlineStr">
        <is>
          <t>ADJUDICADO</t>
        </is>
      </c>
      <c r="X97" s="5" t="inlineStr">
        <is>
          <t>PROYECTADO</t>
        </is>
      </c>
    </row>
    <row r="98" ht="28.2" customHeight="1" s="227">
      <c r="A98" s="86" t="n">
        <v>159</v>
      </c>
      <c r="B98" s="68" t="inlineStr">
        <is>
          <t>NUEVO LEON</t>
        </is>
      </c>
      <c r="C98" s="69" t="inlineStr">
        <is>
          <t>Microscopio para cirugía, marca Haag-Streit Surgical, modelo HS Hi-R 700</t>
        </is>
      </c>
      <c r="D98" s="68" t="inlineStr">
        <is>
          <t>1303</t>
        </is>
      </c>
      <c r="E98" s="69" t="inlineStr">
        <is>
          <t>H.M.R.E. Monterrey</t>
        </is>
      </c>
      <c r="F98" s="95" t="inlineStr">
        <is>
          <t>Servicio de mantenimiento integral para: Microscopio para cirugía, marca Haag-Streit Surgical, modelo HS Hi-R 700, serie 1303;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98" s="79" t="n">
        <v>1</v>
      </c>
      <c r="H98" s="79" t="n">
        <v>2</v>
      </c>
      <c r="I98" s="291" t="n">
        <v>80000</v>
      </c>
      <c r="J98" s="291">
        <f>I98</f>
        <v/>
      </c>
      <c r="K98" s="291">
        <f>J98</f>
        <v/>
      </c>
      <c r="L98" s="291">
        <f>SUM(I98:K98)</f>
        <v/>
      </c>
      <c r="M98" s="291">
        <f>L98*0.16</f>
        <v/>
      </c>
      <c r="N98" s="291">
        <f>SUM(L98:M98)</f>
        <v/>
      </c>
      <c r="O98" s="296" t="n">
        <v>160000</v>
      </c>
      <c r="P98" s="296">
        <f>G98*O98</f>
        <v/>
      </c>
      <c r="Q98" s="296">
        <f>H98*O98</f>
        <v/>
      </c>
      <c r="R98" s="296">
        <f>SUM(P98:Q98)</f>
        <v/>
      </c>
      <c r="S98" s="296">
        <f>R98*$S$9</f>
        <v/>
      </c>
      <c r="T98" s="296">
        <f>SUM(R98:S98)</f>
        <v/>
      </c>
      <c r="U98" s="78" t="inlineStr">
        <is>
          <t>OFTALMO</t>
        </is>
      </c>
      <c r="V98" s="81" t="inlineStr">
        <is>
          <t>DEWIMED</t>
        </is>
      </c>
      <c r="W98" s="83" t="inlineStr">
        <is>
          <t>ADJUDICADO</t>
        </is>
      </c>
      <c r="X98" s="5" t="inlineStr">
        <is>
          <t>PROYECTADO</t>
        </is>
      </c>
    </row>
    <row r="99" ht="28.2" customHeight="1" s="227">
      <c r="A99" s="92" t="n">
        <v>162</v>
      </c>
      <c r="B99" s="68" t="inlineStr">
        <is>
          <t>TAMAULIPAS</t>
        </is>
      </c>
      <c r="C99" s="69" t="inlineStr">
        <is>
          <t>Equipo de rayos X móvil, marca Technix, modelo TMS 320</t>
        </is>
      </c>
      <c r="D99" s="68" t="inlineStr">
        <is>
          <t>80-16-89-160</t>
        </is>
      </c>
      <c r="E99" s="69" t="inlineStr">
        <is>
          <t>H.M.R. Tampico</t>
        </is>
      </c>
      <c r="F99" s="95" t="inlineStr">
        <is>
          <t>Servicio de mantenimiento integral para: Equipo de rayos X móvil, marca Technix, modelo TMS 320, serie 80-16-89-160; ubicado en H.M.R. Tampico, Tamps.
Consistente en 1 evento de mantenimiento preventivo por semestre y todos los mantenimientos correctivos que se requieran para mantener, conservar y/o recuperar la operatividad del equipo al 100% durante el periodo de cobertura.</t>
        </is>
      </c>
      <c r="G99" s="79" t="n">
        <v>1</v>
      </c>
      <c r="H99" s="79" t="n">
        <v>2</v>
      </c>
      <c r="I99" s="291" t="n"/>
      <c r="J99" s="291">
        <f>I99</f>
        <v/>
      </c>
      <c r="K99" s="291">
        <f>J99</f>
        <v/>
      </c>
      <c r="L99" s="291" t="n"/>
      <c r="M99" s="291" t="n"/>
      <c r="N99" s="291" t="n"/>
      <c r="O99" s="296" t="n">
        <v>300000</v>
      </c>
      <c r="P99" s="296">
        <f>G99*O99</f>
        <v/>
      </c>
      <c r="Q99" s="296">
        <f>H99*O99</f>
        <v/>
      </c>
      <c r="R99" s="296">
        <f>SUM(P99:Q99)</f>
        <v/>
      </c>
      <c r="S99" s="296">
        <f>R99*$S$9</f>
        <v/>
      </c>
      <c r="T99" s="296">
        <f>SUM(R99:S99)</f>
        <v/>
      </c>
      <c r="U99" s="78" t="inlineStr">
        <is>
          <t>IMAGEN</t>
        </is>
      </c>
      <c r="V99" s="85" t="n"/>
      <c r="W99" s="103" t="inlineStr">
        <is>
          <t>ADJUDICADO</t>
        </is>
      </c>
      <c r="X99" s="5" t="inlineStr">
        <is>
          <t>NO PROYECTADO</t>
        </is>
      </c>
    </row>
    <row r="100" ht="28.2" customHeight="1" s="227">
      <c r="A100" s="92" t="n">
        <v>163</v>
      </c>
      <c r="B100" s="68" t="inlineStr">
        <is>
          <t>CDMX</t>
        </is>
      </c>
      <c r="C100" s="69" t="inlineStr">
        <is>
          <t>Equipo de rayos X móvil, marca Technix, modelo TMS 320</t>
        </is>
      </c>
      <c r="D100" s="68" t="inlineStr">
        <is>
          <t>80-16-90-161</t>
        </is>
      </c>
      <c r="E100" s="69" t="inlineStr">
        <is>
          <t>H.M.Z. El Vergel, Iztapalapa</t>
        </is>
      </c>
      <c r="F100" s="95" t="inlineStr">
        <is>
          <t>Servicio de mantenimiento integral para: Equipo de rayos X móvil, marca Technix, modelo TMS 320, serie 80-16-90-161; ubicado en H.M.Z. El Vergel, Iztapalapa,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00" s="79" t="n">
        <v>1</v>
      </c>
      <c r="H100" s="79" t="n">
        <v>2</v>
      </c>
      <c r="I100" s="291" t="n"/>
      <c r="J100" s="291">
        <f>I100</f>
        <v/>
      </c>
      <c r="K100" s="291">
        <f>J100</f>
        <v/>
      </c>
      <c r="L100" s="291" t="n"/>
      <c r="M100" s="291" t="n"/>
      <c r="N100" s="291" t="n"/>
      <c r="O100" s="296" t="n">
        <v>220000</v>
      </c>
      <c r="P100" s="296">
        <f>G100*O100</f>
        <v/>
      </c>
      <c r="Q100" s="296">
        <f>H100*O100</f>
        <v/>
      </c>
      <c r="R100" s="296">
        <f>SUM(P100:Q100)</f>
        <v/>
      </c>
      <c r="S100" s="296">
        <f>R100*$S$9</f>
        <v/>
      </c>
      <c r="T100" s="296">
        <f>SUM(R100:S100)</f>
        <v/>
      </c>
      <c r="U100" s="78" t="inlineStr">
        <is>
          <t>IMAGEN</t>
        </is>
      </c>
      <c r="V100" s="85" t="n"/>
      <c r="W100" s="103" t="inlineStr">
        <is>
          <t>ADJUDICADO</t>
        </is>
      </c>
      <c r="X100" s="5" t="inlineStr">
        <is>
          <t>NO PROYECTADO</t>
        </is>
      </c>
    </row>
    <row r="101" ht="28.2" customHeight="1" s="227">
      <c r="A101" s="92" t="n">
        <v>164</v>
      </c>
      <c r="B101" s="68" t="inlineStr">
        <is>
          <t>JALISCO</t>
        </is>
      </c>
      <c r="C101" s="69" t="inlineStr">
        <is>
          <t>Equipo de rayos X móvil, marca Technix, modelo TMS 320</t>
        </is>
      </c>
      <c r="D101" s="68" t="inlineStr">
        <is>
          <t>80-16-95-166</t>
        </is>
      </c>
      <c r="E101" s="69" t="inlineStr">
        <is>
          <t>H.M.Z. Zapopan</t>
        </is>
      </c>
      <c r="F101" s="95" t="inlineStr">
        <is>
          <t>Servicio de mantenimiento integral para: Equipo de rayos X móvil, marca Technix, modelo TMS 320, serie 80-16-95-166;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101" s="79" t="n">
        <v>1</v>
      </c>
      <c r="H101" s="79" t="n">
        <v>2</v>
      </c>
      <c r="I101" s="291" t="n"/>
      <c r="J101" s="291">
        <f>I101</f>
        <v/>
      </c>
      <c r="K101" s="291">
        <f>J101</f>
        <v/>
      </c>
      <c r="L101" s="291" t="n"/>
      <c r="M101" s="291" t="n"/>
      <c r="N101" s="291" t="n"/>
      <c r="O101" s="296" t="n">
        <v>220000</v>
      </c>
      <c r="P101" s="296">
        <f>G101*O101</f>
        <v/>
      </c>
      <c r="Q101" s="296">
        <f>H101*O101</f>
        <v/>
      </c>
      <c r="R101" s="296">
        <f>SUM(P101:Q101)</f>
        <v/>
      </c>
      <c r="S101" s="296">
        <f>R101*$S$9</f>
        <v/>
      </c>
      <c r="T101" s="296">
        <f>SUM(R101:S101)</f>
        <v/>
      </c>
      <c r="U101" s="78" t="inlineStr">
        <is>
          <t>IMAGEN</t>
        </is>
      </c>
      <c r="V101" s="85" t="n"/>
      <c r="W101" s="103" t="inlineStr">
        <is>
          <t>ADJUDICADO</t>
        </is>
      </c>
      <c r="X101" s="5" t="inlineStr">
        <is>
          <t>NO PROYECTADO</t>
        </is>
      </c>
    </row>
    <row r="102" ht="28.2" customHeight="1" s="227">
      <c r="A102" s="92" t="n">
        <v>165</v>
      </c>
      <c r="B102" s="68" t="inlineStr">
        <is>
          <t>EDO DE MEX</t>
        </is>
      </c>
      <c r="C102" s="69" t="inlineStr">
        <is>
          <t>Equipo de rayos X móvil, marca Technix, modelo TMS 320</t>
        </is>
      </c>
      <c r="D102" s="68" t="inlineStr">
        <is>
          <t>80-16-105-176</t>
        </is>
      </c>
      <c r="E102" s="69" t="inlineStr">
        <is>
          <t>H.M.Z. Temamatla</t>
        </is>
      </c>
      <c r="F102" s="95" t="inlineStr">
        <is>
          <t>Servicio de mantenimiento integral para: Equipo de rayos X móvil, marca Technix, modelo TMS 320, serie 80-16-105-176;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02" s="79" t="n">
        <v>1</v>
      </c>
      <c r="H102" s="79" t="n">
        <v>2</v>
      </c>
      <c r="I102" s="291" t="n"/>
      <c r="J102" s="291">
        <f>I102</f>
        <v/>
      </c>
      <c r="K102" s="291">
        <f>J102</f>
        <v/>
      </c>
      <c r="L102" s="291" t="n"/>
      <c r="M102" s="291" t="n"/>
      <c r="N102" s="291" t="n"/>
      <c r="O102" s="296" t="n">
        <v>220000</v>
      </c>
      <c r="P102" s="296">
        <f>G102*O102</f>
        <v/>
      </c>
      <c r="Q102" s="296">
        <f>H102*O102</f>
        <v/>
      </c>
      <c r="R102" s="296">
        <f>SUM(P102:Q102)</f>
        <v/>
      </c>
      <c r="S102" s="296">
        <f>R102*$S$9</f>
        <v/>
      </c>
      <c r="T102" s="296">
        <f>SUM(R102:S102)</f>
        <v/>
      </c>
      <c r="U102" s="78" t="inlineStr">
        <is>
          <t>IMAGEN</t>
        </is>
      </c>
      <c r="V102" s="85" t="n"/>
      <c r="W102" s="103" t="inlineStr">
        <is>
          <t>ADJUDICADO</t>
        </is>
      </c>
      <c r="X102" s="5" t="inlineStr">
        <is>
          <t>NO PROYECTADO</t>
        </is>
      </c>
    </row>
    <row r="103" ht="28.2" customHeight="1" s="227">
      <c r="A103" s="92" t="n">
        <v>166</v>
      </c>
      <c r="B103" s="68" t="inlineStr">
        <is>
          <t>OAXACA</t>
        </is>
      </c>
      <c r="C103" s="69" t="inlineStr">
        <is>
          <t>Equipo de rayos X móvil, marca Technix, modelo TMS 320</t>
        </is>
      </c>
      <c r="D103" s="68" t="inlineStr">
        <is>
          <t>80-16-104-175</t>
        </is>
      </c>
      <c r="E103" s="69" t="inlineStr">
        <is>
          <t>H.M.Z. Ixcotel</t>
        </is>
      </c>
      <c r="F103" s="95" t="inlineStr">
        <is>
          <t>Servicio de mantenimiento integral para: Equipo de rayos X móvil, marca Technix, modelo TMS 320, serie 80-16-104-175;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03" s="79" t="n">
        <v>1</v>
      </c>
      <c r="H103" s="79" t="n">
        <v>2</v>
      </c>
      <c r="I103" s="291" t="n"/>
      <c r="J103" s="291">
        <f>I103</f>
        <v/>
      </c>
      <c r="K103" s="291">
        <f>J103</f>
        <v/>
      </c>
      <c r="L103" s="291" t="n"/>
      <c r="M103" s="291" t="n"/>
      <c r="N103" s="291" t="n"/>
      <c r="O103" s="296" t="n">
        <v>300000</v>
      </c>
      <c r="P103" s="296">
        <f>G103*O103</f>
        <v/>
      </c>
      <c r="Q103" s="296">
        <f>H103*O103</f>
        <v/>
      </c>
      <c r="R103" s="296">
        <f>SUM(P103:Q103)</f>
        <v/>
      </c>
      <c r="S103" s="296">
        <f>R103*$S$9</f>
        <v/>
      </c>
      <c r="T103" s="296">
        <f>SUM(R103:S103)</f>
        <v/>
      </c>
      <c r="U103" s="78" t="inlineStr">
        <is>
          <t>IMAGEN</t>
        </is>
      </c>
      <c r="V103" s="85" t="n"/>
      <c r="W103" s="103" t="inlineStr">
        <is>
          <t>ADJUDICADO</t>
        </is>
      </c>
      <c r="X103" s="5" t="inlineStr">
        <is>
          <t>NO PROYECTADO</t>
        </is>
      </c>
    </row>
    <row r="104" ht="28.2" customHeight="1" s="227">
      <c r="A104" s="92" t="n">
        <v>167</v>
      </c>
      <c r="B104" s="68" t="inlineStr">
        <is>
          <t>SONORA</t>
        </is>
      </c>
      <c r="C104" s="69" t="inlineStr">
        <is>
          <t>Equipo de rayos X móvil, marca Technix, modelo TMS 320</t>
        </is>
      </c>
      <c r="D104" s="68" t="inlineStr">
        <is>
          <t>80-16-80-151</t>
        </is>
      </c>
      <c r="E104" s="69" t="inlineStr">
        <is>
          <t>H.M.R. Hermosillo</t>
        </is>
      </c>
      <c r="F104" s="95" t="inlineStr">
        <is>
          <t>Servicio de mantenimiento integral para: Equipo de rayos X móvil, marca Technix, modelo TMS 320, serie 80-16-80-151; ubicado en H.M.R. 
Hermosillo, Son.
Consistente en 1 evento de mantenimiento preventivo por semestre y todos los mantenimientos correctivos que se requieran para mantener, conservar y/o recuperar la operatividad del equipo al 100% durante el periodo de cobertura.</t>
        </is>
      </c>
      <c r="G104" s="79" t="n">
        <v>1</v>
      </c>
      <c r="H104" s="79" t="n">
        <v>2</v>
      </c>
      <c r="I104" s="291" t="n"/>
      <c r="J104" s="291">
        <f>I104</f>
        <v/>
      </c>
      <c r="K104" s="291">
        <f>J104</f>
        <v/>
      </c>
      <c r="L104" s="291" t="n"/>
      <c r="M104" s="291" t="n"/>
      <c r="N104" s="291" t="n"/>
      <c r="O104" s="296" t="n">
        <v>300000</v>
      </c>
      <c r="P104" s="296">
        <f>G104*O104</f>
        <v/>
      </c>
      <c r="Q104" s="296">
        <f>H104*O104</f>
        <v/>
      </c>
      <c r="R104" s="296">
        <f>SUM(P104:Q104)</f>
        <v/>
      </c>
      <c r="S104" s="296">
        <f>R104*$S$9</f>
        <v/>
      </c>
      <c r="T104" s="296">
        <f>SUM(R104:S104)</f>
        <v/>
      </c>
      <c r="U104" s="78" t="inlineStr">
        <is>
          <t>IMAGEN</t>
        </is>
      </c>
      <c r="V104" s="85" t="n"/>
      <c r="W104" s="103" t="inlineStr">
        <is>
          <t>ADJUDICADO</t>
        </is>
      </c>
      <c r="X104" s="5" t="inlineStr">
        <is>
          <t>NO PROYECTADO</t>
        </is>
      </c>
    </row>
    <row r="105" ht="28.2" customHeight="1" s="227">
      <c r="A105" s="92" t="n">
        <v>168</v>
      </c>
      <c r="B105" s="68" t="inlineStr">
        <is>
          <t>CHIAPAS</t>
        </is>
      </c>
      <c r="C105" s="69" t="inlineStr">
        <is>
          <t>Equipo de rayos X móvil, marca Technix, modelo TMS 320</t>
        </is>
      </c>
      <c r="D105" s="68" t="inlineStr">
        <is>
          <t>80-16-102-173</t>
        </is>
      </c>
      <c r="E105" s="69" t="inlineStr">
        <is>
          <t>H.M.R. Tuxtla Gutiérrez</t>
        </is>
      </c>
      <c r="F105" s="95" t="inlineStr">
        <is>
          <t>Servicio de mantenimiento integral para: Equipo de rayos X móvil, marca Technix, modelo TMS 320, serie 80-16-102-173;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05" s="79" t="n">
        <v>1</v>
      </c>
      <c r="H105" s="79" t="n">
        <v>2</v>
      </c>
      <c r="I105" s="291" t="n"/>
      <c r="J105" s="291">
        <f>I105</f>
        <v/>
      </c>
      <c r="K105" s="291">
        <f>J105</f>
        <v/>
      </c>
      <c r="L105" s="291" t="n"/>
      <c r="M105" s="291" t="n"/>
      <c r="N105" s="291" t="n"/>
      <c r="O105" s="296" t="n">
        <v>250000</v>
      </c>
      <c r="P105" s="296">
        <f>G105*O105</f>
        <v/>
      </c>
      <c r="Q105" s="296">
        <f>H105*O105</f>
        <v/>
      </c>
      <c r="R105" s="296">
        <f>SUM(P105:Q105)</f>
        <v/>
      </c>
      <c r="S105" s="296">
        <f>R105*$S$9</f>
        <v/>
      </c>
      <c r="T105" s="296">
        <f>SUM(R105:S105)</f>
        <v/>
      </c>
      <c r="U105" s="78" t="inlineStr">
        <is>
          <t>IMAGEN</t>
        </is>
      </c>
      <c r="V105" s="85" t="n"/>
      <c r="W105" s="103" t="inlineStr">
        <is>
          <t>ADJUDICADO</t>
        </is>
      </c>
      <c r="X105" s="5" t="inlineStr">
        <is>
          <t>NO PROYECTADO</t>
        </is>
      </c>
    </row>
    <row r="106" ht="28.2" customHeight="1" s="227">
      <c r="A106" s="92" t="n">
        <v>169</v>
      </c>
      <c r="B106" s="68" t="inlineStr">
        <is>
          <t>CHIAPAS</t>
        </is>
      </c>
      <c r="C106" s="69" t="inlineStr">
        <is>
          <t>Láser excimer, marca Bausch &amp; Lomb, modelo Zyoptix XP</t>
        </is>
      </c>
      <c r="D106" s="68" t="inlineStr">
        <is>
          <t>PS01209</t>
        </is>
      </c>
      <c r="E106" s="69" t="inlineStr">
        <is>
          <t>H.M.R. Tuxtla Gutiérrez</t>
        </is>
      </c>
      <c r="F106" s="95" t="inlineStr">
        <is>
          <t>Servicio de mantenimiento integral para: Láser excimer, marca Bausch &amp; Lomb, modelo Zyoptix XP, serie PS01209;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06" s="79" t="n">
        <v>1</v>
      </c>
      <c r="H106" s="79" t="n">
        <v>2</v>
      </c>
      <c r="I106" s="291" t="n"/>
      <c r="J106" s="291">
        <f>I106</f>
        <v/>
      </c>
      <c r="K106" s="291">
        <f>J106</f>
        <v/>
      </c>
      <c r="L106" s="291" t="n"/>
      <c r="M106" s="291" t="n"/>
      <c r="N106" s="291" t="n"/>
      <c r="O106" s="296" t="n">
        <v>240000</v>
      </c>
      <c r="P106" s="296">
        <f>G106*O106</f>
        <v/>
      </c>
      <c r="Q106" s="296">
        <f>H106*O106</f>
        <v/>
      </c>
      <c r="R106" s="296">
        <f>SUM(P106:Q106)</f>
        <v/>
      </c>
      <c r="S106" s="296">
        <f>R106*$S$9</f>
        <v/>
      </c>
      <c r="T106" s="296">
        <f>SUM(R106:S106)</f>
        <v/>
      </c>
      <c r="U106" s="78" t="inlineStr">
        <is>
          <t>OFTALMO</t>
        </is>
      </c>
      <c r="V106" s="81" t="inlineStr">
        <is>
          <t>BAUSH</t>
        </is>
      </c>
      <c r="W106" s="91" t="inlineStr">
        <is>
          <t>NO ADJUDICADO</t>
        </is>
      </c>
      <c r="X106" s="5" t="inlineStr">
        <is>
          <t>PROYECTADO</t>
        </is>
      </c>
    </row>
    <row r="107" ht="28.2" customHeight="1" s="227">
      <c r="A107" s="92" t="n">
        <v>171</v>
      </c>
      <c r="B107" s="68" t="inlineStr">
        <is>
          <t>MORELOS</t>
        </is>
      </c>
      <c r="C107" s="69" t="inlineStr">
        <is>
          <t>Equipo de rayos X móvil, marca Technix, modelo TMS 320</t>
        </is>
      </c>
      <c r="D107" s="68" t="inlineStr">
        <is>
          <t>80-16-88-159</t>
        </is>
      </c>
      <c r="E107" s="69" t="inlineStr">
        <is>
          <t>H.M.Z. Cuernavaca</t>
        </is>
      </c>
      <c r="F107" s="95" t="inlineStr">
        <is>
          <t>Servicio de mantenimiento integral para: Equipo de rayos X móvil, marca Technix, modelo TMS 320, serie 80-16-88-159;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G107" s="79" t="n">
        <v>1</v>
      </c>
      <c r="H107" s="79" t="n">
        <v>2</v>
      </c>
      <c r="I107" s="291" t="n"/>
      <c r="J107" s="291">
        <f>I107</f>
        <v/>
      </c>
      <c r="K107" s="291">
        <f>J107</f>
        <v/>
      </c>
      <c r="L107" s="291" t="n"/>
      <c r="M107" s="291" t="n"/>
      <c r="N107" s="291" t="n"/>
      <c r="O107" s="296" t="n">
        <v>230000</v>
      </c>
      <c r="P107" s="296">
        <f>G107*O107</f>
        <v/>
      </c>
      <c r="Q107" s="296">
        <f>H107*O107</f>
        <v/>
      </c>
      <c r="R107" s="296">
        <f>SUM(P107:Q107)</f>
        <v/>
      </c>
      <c r="S107" s="296">
        <f>R107*$S$9</f>
        <v/>
      </c>
      <c r="T107" s="296">
        <f>SUM(R107:S107)</f>
        <v/>
      </c>
      <c r="U107" s="78" t="inlineStr">
        <is>
          <t>IMAGEN</t>
        </is>
      </c>
      <c r="V107" s="85" t="n"/>
      <c r="W107" s="103" t="inlineStr">
        <is>
          <t>ADJUDICADO</t>
        </is>
      </c>
      <c r="X107" s="5" t="inlineStr">
        <is>
          <t>NO PROYECTADO</t>
        </is>
      </c>
    </row>
    <row r="108" ht="28.2" customHeight="1" s="227">
      <c r="A108" s="92" t="n">
        <v>172</v>
      </c>
      <c r="B108" s="68" t="inlineStr">
        <is>
          <t>BAJA CALIFORNIA</t>
        </is>
      </c>
      <c r="C108" s="69" t="inlineStr">
        <is>
          <t>Equipo de rayos X móvil, marca Technix, modelo TMS 320</t>
        </is>
      </c>
      <c r="D108" s="68" t="inlineStr">
        <is>
          <t>80-16-83-154</t>
        </is>
      </c>
      <c r="E108" s="69" t="inlineStr">
        <is>
          <t>H.M.Z. Mexicali</t>
        </is>
      </c>
      <c r="F108" s="95" t="inlineStr">
        <is>
          <t>Servicio de mantenimiento integral para: Equipo de rayos X móvil, marca Technix, modelo TMS 320, serie 80-16-83-154; ubicado en H.M.Z. Mexicali, B.C.
Consistente en 1 evento de mantenimiento preventivo por semestre y todos los mantenimientos correctivos que se requieran para mantener, conservar y/o recuperar la operatividad del equipo al 100% durante el periodo de cobertura.</t>
        </is>
      </c>
      <c r="G108" s="79" t="n">
        <v>1</v>
      </c>
      <c r="H108" s="79" t="n">
        <v>2</v>
      </c>
      <c r="I108" s="291" t="n"/>
      <c r="J108" s="291">
        <f>I108</f>
        <v/>
      </c>
      <c r="K108" s="291">
        <f>J108</f>
        <v/>
      </c>
      <c r="L108" s="291" t="n"/>
      <c r="M108" s="291" t="n"/>
      <c r="N108" s="291" t="n"/>
      <c r="O108" s="296" t="n">
        <v>300000</v>
      </c>
      <c r="P108" s="296">
        <f>G108*O108</f>
        <v/>
      </c>
      <c r="Q108" s="296">
        <f>H108*O108</f>
        <v/>
      </c>
      <c r="R108" s="296">
        <f>SUM(P108:Q108)</f>
        <v/>
      </c>
      <c r="S108" s="296">
        <f>R108*$S$9</f>
        <v/>
      </c>
      <c r="T108" s="296">
        <f>SUM(R108:S108)</f>
        <v/>
      </c>
      <c r="U108" s="78" t="inlineStr">
        <is>
          <t>IMAGEN</t>
        </is>
      </c>
      <c r="V108" s="85" t="n"/>
      <c r="W108" s="103" t="inlineStr">
        <is>
          <t>ADJUDICADO</t>
        </is>
      </c>
      <c r="X108" s="5" t="inlineStr">
        <is>
          <t>NO PROYECTADO</t>
        </is>
      </c>
    </row>
    <row r="109" ht="28.2" customHeight="1" s="227">
      <c r="A109" s="92" t="n">
        <v>175</v>
      </c>
      <c r="B109" s="68" t="inlineStr">
        <is>
          <t>BAJA CALIFORNIA</t>
        </is>
      </c>
      <c r="C109" s="69" t="inlineStr">
        <is>
          <t>Equipo de rayos X móvil, marca Technix, modelo TMS 320</t>
        </is>
      </c>
      <c r="D109" s="68" t="inlineStr">
        <is>
          <t>80-16-81-152</t>
        </is>
      </c>
      <c r="E109" s="69" t="inlineStr">
        <is>
          <t>H.M.R. El Ciprés</t>
        </is>
      </c>
      <c r="F109" s="95" t="inlineStr">
        <is>
          <t>Servicio de mantenimiento integral para: Equipo de rayos X móvil, marca Technix, modelo TMS 320, serie 80-16-81-152; ubicado en H.M.R. El Ciprés, B.C.
Consistente en 1 evento de mantenimiento preventivo por semestre y todos los mantenimientos correctivos que se requieran para mantener, conservar y/o recuperar la operatividad del equipo al 100% durante el periodo de cobertura.</t>
        </is>
      </c>
      <c r="G109" s="79" t="n">
        <v>1</v>
      </c>
      <c r="H109" s="79" t="n">
        <v>2</v>
      </c>
      <c r="I109" s="291" t="n"/>
      <c r="J109" s="291">
        <f>I109</f>
        <v/>
      </c>
      <c r="K109" s="291">
        <f>J109</f>
        <v/>
      </c>
      <c r="L109" s="291" t="n"/>
      <c r="M109" s="291" t="n"/>
      <c r="N109" s="291" t="n"/>
      <c r="O109" s="296" t="n">
        <v>300000</v>
      </c>
      <c r="P109" s="296">
        <f>G109*O109</f>
        <v/>
      </c>
      <c r="Q109" s="296">
        <f>H109*O109</f>
        <v/>
      </c>
      <c r="R109" s="296">
        <f>SUM(P109:Q109)</f>
        <v/>
      </c>
      <c r="S109" s="296">
        <f>R109*$S$9</f>
        <v/>
      </c>
      <c r="T109" s="296">
        <f>SUM(R109:S109)</f>
        <v/>
      </c>
      <c r="U109" s="78" t="inlineStr">
        <is>
          <t>IMAGEN</t>
        </is>
      </c>
      <c r="V109" s="85" t="n"/>
      <c r="W109" s="103" t="inlineStr">
        <is>
          <t>ADJUDICADO</t>
        </is>
      </c>
      <c r="X109" s="5" t="inlineStr">
        <is>
          <t>NO PROYECTADO</t>
        </is>
      </c>
    </row>
    <row r="110" ht="28.2" customHeight="1" s="227">
      <c r="A110" s="92" t="n">
        <v>179</v>
      </c>
      <c r="B110" s="68" t="inlineStr">
        <is>
          <t>JALISCO</t>
        </is>
      </c>
      <c r="C110" s="69" t="inlineStr">
        <is>
          <t>Equipo de rayos X móvil, marca Technix, modelo TMS 320</t>
        </is>
      </c>
      <c r="D110" s="68" t="inlineStr">
        <is>
          <t>80-16-91-162</t>
        </is>
      </c>
      <c r="E110" s="69" t="inlineStr">
        <is>
          <t>H.M.R.E. Guadalajara</t>
        </is>
      </c>
      <c r="F110" s="95" t="inlineStr">
        <is>
          <t>Servicio de mantenimiento integral para: Equipo de rayos X móvil, marca Technix, modelo TMS 320, serie 80-16-91-162;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10" s="79" t="n">
        <v>1</v>
      </c>
      <c r="H110" s="79" t="n">
        <v>2</v>
      </c>
      <c r="I110" s="291" t="n"/>
      <c r="J110" s="291">
        <f>I110</f>
        <v/>
      </c>
      <c r="K110" s="291">
        <f>J110</f>
        <v/>
      </c>
      <c r="L110" s="291" t="n"/>
      <c r="M110" s="291" t="n"/>
      <c r="N110" s="291" t="n"/>
      <c r="O110" s="296" t="n">
        <v>230000</v>
      </c>
      <c r="P110" s="296">
        <f>G110*O110</f>
        <v/>
      </c>
      <c r="Q110" s="296">
        <f>H110*O110</f>
        <v/>
      </c>
      <c r="R110" s="296">
        <f>SUM(P110:Q110)</f>
        <v/>
      </c>
      <c r="S110" s="296">
        <f>R110*$S$9</f>
        <v/>
      </c>
      <c r="T110" s="296">
        <f>SUM(R110:S110)</f>
        <v/>
      </c>
      <c r="U110" s="78" t="inlineStr">
        <is>
          <t>IMAGEN</t>
        </is>
      </c>
      <c r="V110" s="85" t="n"/>
      <c r="W110" s="103" t="inlineStr">
        <is>
          <t>ADJUDICADO</t>
        </is>
      </c>
      <c r="X110" s="5" t="inlineStr">
        <is>
          <t>NO PROYECTADO</t>
        </is>
      </c>
    </row>
    <row r="111" ht="28.2" customHeight="1" s="227">
      <c r="A111" s="92" t="n">
        <v>183</v>
      </c>
      <c r="B111" s="68" t="inlineStr">
        <is>
          <t>SINALOA</t>
        </is>
      </c>
      <c r="C111" s="69" t="inlineStr">
        <is>
          <t>Impresora para placas radiográficas, marca Fujifilm, modelo Drypix Smart</t>
        </is>
      </c>
      <c r="D111" s="68" t="inlineStr">
        <is>
          <t>56728475</t>
        </is>
      </c>
      <c r="E111" s="69" t="inlineStr">
        <is>
          <t>H.M.R.E. Mazatlán</t>
        </is>
      </c>
      <c r="F111" s="95" t="inlineStr">
        <is>
          <t>Servicio de mantenimiento integral para: Impresora para placas radiográficas, marca Fujifilm, modelo Drypix Smart, serie 56728475;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11" s="79" t="n">
        <v>1</v>
      </c>
      <c r="H111" s="79" t="n">
        <v>2</v>
      </c>
      <c r="I111" s="291" t="n"/>
      <c r="J111" s="291">
        <f>I111</f>
        <v/>
      </c>
      <c r="K111" s="291">
        <f>J111</f>
        <v/>
      </c>
      <c r="L111" s="291" t="n"/>
      <c r="M111" s="291" t="n"/>
      <c r="N111" s="291" t="n"/>
      <c r="O111" s="296" t="n">
        <v>300000</v>
      </c>
      <c r="P111" s="296">
        <f>G111*O111</f>
        <v/>
      </c>
      <c r="Q111" s="296">
        <f>H111*O111</f>
        <v/>
      </c>
      <c r="R111" s="296">
        <f>SUM(P111:Q111)</f>
        <v/>
      </c>
      <c r="S111" s="296">
        <f>R111*$S$9</f>
        <v/>
      </c>
      <c r="T111" s="296">
        <f>SUM(R111:S111)</f>
        <v/>
      </c>
      <c r="U111" s="78" t="inlineStr">
        <is>
          <t>IMAGEN</t>
        </is>
      </c>
      <c r="V111" s="85" t="n"/>
      <c r="W111" s="103" t="inlineStr">
        <is>
          <t>ADJUDICADO</t>
        </is>
      </c>
      <c r="X111" s="5" t="inlineStr">
        <is>
          <t>NO PROYECTADO</t>
        </is>
      </c>
    </row>
    <row r="112" ht="28.2" customHeight="1" s="227">
      <c r="A112" s="92" t="n">
        <v>184</v>
      </c>
      <c r="B112" s="68" t="inlineStr">
        <is>
          <t>SINALOA</t>
        </is>
      </c>
      <c r="C112" s="69" t="inlineStr">
        <is>
          <t>Impresora para placas radiográficas, marca Fujifilm, modelo Drypix Smart</t>
        </is>
      </c>
      <c r="D112" s="68" t="inlineStr">
        <is>
          <t>66131122</t>
        </is>
      </c>
      <c r="E112" s="69" t="inlineStr">
        <is>
          <t>H.M.R.E. Mazatlán</t>
        </is>
      </c>
      <c r="F112" s="95" t="inlineStr">
        <is>
          <t>Servicio de mantenimiento integral para: Impresora para placas radiográficas, marca Fujifilm, modelo Drypix Smart, serie 66131122;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12" s="79" t="n">
        <v>1</v>
      </c>
      <c r="H112" s="79" t="n">
        <v>2</v>
      </c>
      <c r="I112" s="291" t="n"/>
      <c r="J112" s="291">
        <f>I112</f>
        <v/>
      </c>
      <c r="K112" s="291">
        <f>J112</f>
        <v/>
      </c>
      <c r="L112" s="291" t="n"/>
      <c r="M112" s="291" t="n"/>
      <c r="N112" s="291" t="n"/>
      <c r="O112" s="296" t="n">
        <v>300000</v>
      </c>
      <c r="P112" s="296">
        <f>G112*O112</f>
        <v/>
      </c>
      <c r="Q112" s="296">
        <f>H112*O112</f>
        <v/>
      </c>
      <c r="R112" s="296">
        <f>SUM(P112:Q112)</f>
        <v/>
      </c>
      <c r="S112" s="296">
        <f>R112*$S$9</f>
        <v/>
      </c>
      <c r="T112" s="296">
        <f>SUM(R112:S112)</f>
        <v/>
      </c>
      <c r="U112" s="78" t="inlineStr">
        <is>
          <t>IMAGEN</t>
        </is>
      </c>
      <c r="V112" s="85" t="n"/>
      <c r="W112" s="103" t="inlineStr">
        <is>
          <t>ADJUDICADO</t>
        </is>
      </c>
      <c r="X112" s="5" t="inlineStr">
        <is>
          <t>NO PROYECTADO</t>
        </is>
      </c>
    </row>
    <row r="113" ht="28.2" customHeight="1" s="227">
      <c r="A113" s="86" t="n">
        <v>185</v>
      </c>
      <c r="B113" s="68" t="inlineStr">
        <is>
          <t>CDMX</t>
        </is>
      </c>
      <c r="C113" s="69" t="inlineStr">
        <is>
          <t>Sistema de diagnóstico oftálmico avanzado, marca Heidelberg Engineering, modelo Spectralis</t>
        </is>
      </c>
      <c r="D113" s="68" t="inlineStr">
        <is>
          <t>SPECT-KT-05789</t>
        </is>
      </c>
      <c r="E113" s="69" t="inlineStr">
        <is>
          <t>H.C.M. Lomas de Sotelo</t>
        </is>
      </c>
      <c r="F113" s="95" t="inlineStr">
        <is>
          <t>Servicio de mantenimiento integral para: Sistema de diagnóstico oftálmico avanzado, marca Heidelberg Engineering, modelo Spectralis, serie SPECT-KT-05789; ubicado en H.C.M. Lomas de Sotelo,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113" s="79" t="n">
        <v>2</v>
      </c>
      <c r="H113" s="79" t="n">
        <v>4</v>
      </c>
      <c r="I113" s="291" t="n">
        <v>122850</v>
      </c>
      <c r="J113" s="291">
        <f>I113</f>
        <v/>
      </c>
      <c r="K113" s="291">
        <f>J113</f>
        <v/>
      </c>
      <c r="L113" s="291">
        <f>SUM(I113:K113)</f>
        <v/>
      </c>
      <c r="M113" s="291">
        <f>L113*0.16</f>
        <v/>
      </c>
      <c r="N113" s="291">
        <f>SUM(L113:M113)</f>
        <v/>
      </c>
      <c r="O113" s="296" t="n">
        <v>300000</v>
      </c>
      <c r="P113" s="296">
        <f>G113*O113</f>
        <v/>
      </c>
      <c r="Q113" s="296">
        <f>H113*O113</f>
        <v/>
      </c>
      <c r="R113" s="296">
        <f>SUM(P113:Q113)</f>
        <v/>
      </c>
      <c r="S113" s="296">
        <f>R113*$S$9</f>
        <v/>
      </c>
      <c r="T113" s="296">
        <f>SUM(R113:S113)</f>
        <v/>
      </c>
      <c r="U113" s="78" t="inlineStr">
        <is>
          <t>OFTALMO</t>
        </is>
      </c>
      <c r="V113" s="81" t="inlineStr">
        <is>
          <t>ARFAMEX</t>
        </is>
      </c>
      <c r="W113" s="83" t="inlineStr">
        <is>
          <t>ADJUDICADO</t>
        </is>
      </c>
      <c r="X113" s="5" t="inlineStr">
        <is>
          <t>PROYECTADO</t>
        </is>
      </c>
    </row>
    <row r="114" ht="28.2" customHeight="1" s="227">
      <c r="A114" s="86" t="n">
        <v>196</v>
      </c>
      <c r="B114" s="68" t="inlineStr">
        <is>
          <t>NUEVO LEON</t>
        </is>
      </c>
      <c r="C114" s="69" t="inlineStr">
        <is>
          <t>Sistema de digitalización de imágenes, marca SUNI, modelo SUNI</t>
        </is>
      </c>
      <c r="D114" s="68" t="inlineStr">
        <is>
          <t>DI2014106149</t>
        </is>
      </c>
      <c r="E114" s="69" t="inlineStr">
        <is>
          <t>H.M.R.E. Monterrey</t>
        </is>
      </c>
      <c r="F114" s="95" t="inlineStr">
        <is>
          <t>Servicio de mantenimiento integral para: Sistema de digitalización de imágenes, marca SUNI, modelo SUNI, serie DI2014106149;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14" s="79" t="n">
        <v>1</v>
      </c>
      <c r="H114" s="79" t="n">
        <v>2</v>
      </c>
      <c r="I114" s="291" t="n">
        <v>150000</v>
      </c>
      <c r="J114" s="291">
        <f>I114</f>
        <v/>
      </c>
      <c r="K114" s="291">
        <f>J114</f>
        <v/>
      </c>
      <c r="L114" s="291">
        <f>SUM(I114:K114)</f>
        <v/>
      </c>
      <c r="M114" s="291">
        <f>L114*0.16</f>
        <v/>
      </c>
      <c r="N114" s="291">
        <f>SUM(L114:M114)</f>
        <v/>
      </c>
      <c r="O114" s="296" t="n">
        <v>350000</v>
      </c>
      <c r="P114" s="296">
        <f>G114*O114</f>
        <v/>
      </c>
      <c r="Q114" s="296">
        <f>H114*O114</f>
        <v/>
      </c>
      <c r="R114" s="296">
        <f>SUM(P114:Q114)</f>
        <v/>
      </c>
      <c r="S114" s="296">
        <f>R114*$S$9</f>
        <v/>
      </c>
      <c r="T114" s="296">
        <f>SUM(R114:S114)</f>
        <v/>
      </c>
      <c r="U114" s="78" t="inlineStr">
        <is>
          <t>IMAGEN</t>
        </is>
      </c>
      <c r="V114" s="85" t="n"/>
      <c r="W114" s="83" t="inlineStr">
        <is>
          <t>ADJUDICADO</t>
        </is>
      </c>
      <c r="X114" s="5" t="inlineStr">
        <is>
          <t>PROYECTADO</t>
        </is>
      </c>
    </row>
    <row r="115" ht="28.2" customHeight="1" s="227">
      <c r="A115" s="92" t="n">
        <v>198</v>
      </c>
      <c r="B115" s="68" t="inlineStr">
        <is>
          <t>VERACRUZ</t>
        </is>
      </c>
      <c r="C115" s="69" t="inlineStr">
        <is>
          <t>Arco en C, marca Ziehm Imaging, modelo Vision R</t>
        </is>
      </c>
      <c r="D115" s="68" t="inlineStr">
        <is>
          <t>10704</t>
        </is>
      </c>
      <c r="E115" s="69" t="inlineStr">
        <is>
          <t>H.M.Z. La Boticaría</t>
        </is>
      </c>
      <c r="F115" s="95" t="inlineStr">
        <is>
          <t>Servicio de mantenimiento integral para: Arco en C, marca Ziehm Imaging, modelo Vision R, serie 10704;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15" s="79" t="n">
        <v>1</v>
      </c>
      <c r="H115" s="79" t="n">
        <v>2</v>
      </c>
      <c r="I115" s="291" t="n"/>
      <c r="J115" s="291">
        <f>I115</f>
        <v/>
      </c>
      <c r="K115" s="291">
        <f>J115</f>
        <v/>
      </c>
      <c r="L115" s="291" t="n"/>
      <c r="M115" s="291" t="n"/>
      <c r="N115" s="291" t="n"/>
      <c r="O115" s="296" t="n">
        <v>220000</v>
      </c>
      <c r="P115" s="296">
        <f>G115*O115</f>
        <v/>
      </c>
      <c r="Q115" s="296">
        <f>H115*O115</f>
        <v/>
      </c>
      <c r="R115" s="296">
        <f>SUM(P115:Q115)</f>
        <v/>
      </c>
      <c r="S115" s="296">
        <f>R115*$S$9</f>
        <v/>
      </c>
      <c r="T115" s="296">
        <f>SUM(R115:S115)</f>
        <v/>
      </c>
      <c r="U115" s="78" t="inlineStr">
        <is>
          <t>IMAGEN</t>
        </is>
      </c>
      <c r="V115" s="85" t="n"/>
      <c r="W115" s="103" t="inlineStr">
        <is>
          <t>ADJUDICADO</t>
        </is>
      </c>
      <c r="X115" s="5" t="inlineStr">
        <is>
          <t>NO PROYECTADO</t>
        </is>
      </c>
    </row>
    <row r="116" ht="28.2" customHeight="1" s="227">
      <c r="A116" s="92" t="n">
        <v>200</v>
      </c>
      <c r="B116" s="68" t="inlineStr">
        <is>
          <t>CHIHUAHUA</t>
        </is>
      </c>
      <c r="C116" s="69" t="inlineStr">
        <is>
          <t>Arco en C, marca Ziehm Imaging, modelo Vision R</t>
        </is>
      </c>
      <c r="D116" s="68" t="inlineStr">
        <is>
          <t>10703</t>
        </is>
      </c>
      <c r="E116" s="69" t="inlineStr">
        <is>
          <t>H.M.R. Chihuahua</t>
        </is>
      </c>
      <c r="F116" s="95" t="inlineStr">
        <is>
          <t>Servicio de mantenimiento integral para: Arco en C, marca Ziehm Imaging, modelo Vision R, serie 10703;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G116" s="79" t="n">
        <v>1</v>
      </c>
      <c r="H116" s="79" t="n">
        <v>2</v>
      </c>
      <c r="I116" s="291" t="n"/>
      <c r="J116" s="291">
        <f>I116</f>
        <v/>
      </c>
      <c r="K116" s="291">
        <f>J116</f>
        <v/>
      </c>
      <c r="L116" s="291" t="n"/>
      <c r="M116" s="291" t="n"/>
      <c r="N116" s="291" t="n"/>
      <c r="O116" s="296" t="n">
        <v>300000</v>
      </c>
      <c r="P116" s="296">
        <f>G116*O116</f>
        <v/>
      </c>
      <c r="Q116" s="296">
        <f>H116*O116</f>
        <v/>
      </c>
      <c r="R116" s="296">
        <f>SUM(P116:Q116)</f>
        <v/>
      </c>
      <c r="S116" s="296">
        <f>R116*$S$9</f>
        <v/>
      </c>
      <c r="T116" s="296">
        <f>SUM(R116:S116)</f>
        <v/>
      </c>
      <c r="U116" s="78" t="inlineStr">
        <is>
          <t>IMAGEN</t>
        </is>
      </c>
      <c r="V116" s="85" t="n"/>
      <c r="W116" s="103" t="inlineStr">
        <is>
          <t>ADJUDICADO</t>
        </is>
      </c>
      <c r="X116" s="5" t="inlineStr">
        <is>
          <t>NO PROYECTADO</t>
        </is>
      </c>
    </row>
    <row r="117" ht="28.2" customHeight="1" s="227">
      <c r="A117" s="92" t="n">
        <v>203</v>
      </c>
      <c r="B117" s="68" t="inlineStr">
        <is>
          <t>CHIAPAS</t>
        </is>
      </c>
      <c r="C117" s="69" t="inlineStr">
        <is>
          <t>Topógrafo corneal , marca Bausch &amp; Lomb, modelo ORBSCAN lll</t>
        </is>
      </c>
      <c r="D117" s="68" t="inlineStr">
        <is>
          <t>50004019-0093</t>
        </is>
      </c>
      <c r="E117" s="69" t="inlineStr">
        <is>
          <t>H.M.R. Tuxtla Gutiérrez</t>
        </is>
      </c>
      <c r="F117" s="95" t="inlineStr">
        <is>
          <t>Servicio de mantenimiento integral para: Topógrafo corneal , marca Bausch &amp; Lomb, modelo ORBSCAN lll, serie 50004019-0093;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17" s="79" t="n">
        <v>1</v>
      </c>
      <c r="H117" s="79" t="n">
        <v>2</v>
      </c>
      <c r="I117" s="291" t="n"/>
      <c r="J117" s="291">
        <f>I117</f>
        <v/>
      </c>
      <c r="K117" s="291">
        <f>J117</f>
        <v/>
      </c>
      <c r="L117" s="291" t="n"/>
      <c r="M117" s="291" t="n"/>
      <c r="N117" s="291" t="n"/>
      <c r="O117" s="296" t="n">
        <v>350000</v>
      </c>
      <c r="P117" s="296">
        <f>G117*O117</f>
        <v/>
      </c>
      <c r="Q117" s="296">
        <f>H117*O117</f>
        <v/>
      </c>
      <c r="R117" s="296">
        <f>SUM(P117:Q117)</f>
        <v/>
      </c>
      <c r="S117" s="296">
        <f>R117*$S$9</f>
        <v/>
      </c>
      <c r="T117" s="296">
        <f>SUM(R117:S117)</f>
        <v/>
      </c>
      <c r="U117" s="78" t="inlineStr">
        <is>
          <t>OFTALMO</t>
        </is>
      </c>
      <c r="V117" s="81" t="inlineStr">
        <is>
          <t>BAUSH</t>
        </is>
      </c>
      <c r="W117" s="103" t="inlineStr">
        <is>
          <t>ADJUDICADO</t>
        </is>
      </c>
      <c r="X117" s="5" t="inlineStr">
        <is>
          <t>NO PROYECTADO</t>
        </is>
      </c>
      <c r="Y117" s="5" t="inlineStr">
        <is>
          <t>SOBREPRECIO ADJUDICADO</t>
        </is>
      </c>
    </row>
    <row r="118" ht="28.2" customHeight="1" s="227">
      <c r="A118" s="92" t="n">
        <v>204</v>
      </c>
      <c r="B118" s="68" t="inlineStr">
        <is>
          <t>CHIAPAS</t>
        </is>
      </c>
      <c r="C118" s="69" t="inlineStr">
        <is>
          <t>Láser oftálmico, marca LightMed Corporation, modelo LIGHTLas</t>
        </is>
      </c>
      <c r="D118" s="68" t="inlineStr">
        <is>
          <t>SC22-0487</t>
        </is>
      </c>
      <c r="E118" s="69" t="inlineStr">
        <is>
          <t>H.M.R. Tuxtla Gutiérrez</t>
        </is>
      </c>
      <c r="F118" s="95" t="inlineStr">
        <is>
          <t>Servicio de mantenimiento integral para: Láser oftálmico, marca LightMed Corporation, modelo LIGHTLas, serie SC22-0487;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18" s="79" t="n">
        <v>1</v>
      </c>
      <c r="H118" s="79" t="n">
        <v>2</v>
      </c>
      <c r="I118" s="291" t="n"/>
      <c r="J118" s="291">
        <f>I118</f>
        <v/>
      </c>
      <c r="K118" s="291">
        <f>J118</f>
        <v/>
      </c>
      <c r="L118" s="291" t="n"/>
      <c r="M118" s="291" t="n"/>
      <c r="N118" s="291" t="n"/>
      <c r="O118" s="296" t="n">
        <v>600000</v>
      </c>
      <c r="P118" s="296">
        <f>G118*O118</f>
        <v/>
      </c>
      <c r="Q118" s="296">
        <f>H118*O118</f>
        <v/>
      </c>
      <c r="R118" s="296">
        <f>SUM(P118:Q118)</f>
        <v/>
      </c>
      <c r="S118" s="296">
        <f>R118*$S$9</f>
        <v/>
      </c>
      <c r="T118" s="296">
        <f>SUM(R118:S118)</f>
        <v/>
      </c>
      <c r="U118" s="78" t="inlineStr">
        <is>
          <t>OFTALMO</t>
        </is>
      </c>
      <c r="V118" s="81" t="inlineStr">
        <is>
          <t xml:space="preserve">ALDAI </t>
        </is>
      </c>
      <c r="W118" s="91" t="inlineStr">
        <is>
          <t>NO ADJUDICADO</t>
        </is>
      </c>
      <c r="X118" s="5" t="inlineStr">
        <is>
          <t>PROYECTADO</t>
        </is>
      </c>
    </row>
    <row r="119" ht="28.2" customHeight="1" s="227">
      <c r="A119" s="86" t="n">
        <v>208</v>
      </c>
      <c r="B119" s="68" t="inlineStr">
        <is>
          <t>YUCATAN</t>
        </is>
      </c>
      <c r="C119" s="69" t="inlineStr">
        <is>
          <t>Microscopio para cirugía, marca Leica, modelo M844F40</t>
        </is>
      </c>
      <c r="D119" s="68" t="inlineStr">
        <is>
          <t>160516003</t>
        </is>
      </c>
      <c r="E119" s="69" t="inlineStr">
        <is>
          <t>H.M.R.E. Mérida</t>
        </is>
      </c>
      <c r="F119" s="95" t="inlineStr">
        <is>
          <t>Servicio de mantenimiento integral para: Microscopio para cirugía, marca Leica, modelo M844F40, serie 160516003;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119" s="79" t="n">
        <v>1</v>
      </c>
      <c r="H119" s="79" t="n">
        <v>2</v>
      </c>
      <c r="I119" s="291" t="n">
        <v>230000</v>
      </c>
      <c r="J119" s="291">
        <f>I119</f>
        <v/>
      </c>
      <c r="K119" s="291">
        <f>J119</f>
        <v/>
      </c>
      <c r="L119" s="291">
        <f>SUM(I119:K119)</f>
        <v/>
      </c>
      <c r="M119" s="291">
        <f>L119*0.16</f>
        <v/>
      </c>
      <c r="N119" s="291">
        <f>SUM(L119:M119)</f>
        <v/>
      </c>
      <c r="O119" s="296" t="n">
        <v>195000</v>
      </c>
      <c r="P119" s="296">
        <f>G119*O119</f>
        <v/>
      </c>
      <c r="Q119" s="296">
        <f>H119*O119</f>
        <v/>
      </c>
      <c r="R119" s="296">
        <f>SUM(P119:Q119)</f>
        <v/>
      </c>
      <c r="S119" s="296">
        <f>R119*$S$9</f>
        <v/>
      </c>
      <c r="T119" s="296">
        <f>SUM(R119:S119)</f>
        <v/>
      </c>
      <c r="U119" s="78" t="inlineStr">
        <is>
          <t>OFTALMO</t>
        </is>
      </c>
      <c r="V119" s="81" t="inlineStr">
        <is>
          <t>COINDISA</t>
        </is>
      </c>
      <c r="W119" s="83" t="inlineStr">
        <is>
          <t>ADJUDICADO</t>
        </is>
      </c>
      <c r="X119" s="5" t="inlineStr">
        <is>
          <t>PROYECTADO</t>
        </is>
      </c>
    </row>
    <row r="120" ht="28.2" customHeight="1" s="227">
      <c r="A120" s="92" t="n">
        <v>212</v>
      </c>
      <c r="B120" s="68" t="inlineStr">
        <is>
          <t>CDMX</t>
        </is>
      </c>
      <c r="C120" s="69" t="inlineStr">
        <is>
          <t>Ultrasonido modo A-B, marca Quantel Medical, modelo Aviso</t>
        </is>
      </c>
      <c r="D120" s="68" t="inlineStr">
        <is>
          <t>3640</t>
        </is>
      </c>
      <c r="E120" s="69" t="inlineStr">
        <is>
          <t>H.M.E.O. Constituyentes</t>
        </is>
      </c>
      <c r="F120" s="95" t="inlineStr">
        <is>
          <t>Servicio de mantenimiento integral para: Ultrasonido modo A-B, marca Quantel Medical, modelo Aviso, serie 3640;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0" s="79" t="n">
        <v>1</v>
      </c>
      <c r="H120" s="79" t="n">
        <v>2</v>
      </c>
      <c r="I120" s="291" t="n">
        <v>55000</v>
      </c>
      <c r="J120" s="291">
        <f>I120</f>
        <v/>
      </c>
      <c r="K120" s="291">
        <f>J120</f>
        <v/>
      </c>
      <c r="L120" s="291" t="n"/>
      <c r="M120" s="291" t="n"/>
      <c r="N120" s="291" t="n"/>
      <c r="O120" s="296" t="n">
        <v>220000</v>
      </c>
      <c r="P120" s="296">
        <f>G120*O120</f>
        <v/>
      </c>
      <c r="Q120" s="296">
        <f>H120*O120</f>
        <v/>
      </c>
      <c r="R120" s="296">
        <f>SUM(P120:Q120)</f>
        <v/>
      </c>
      <c r="S120" s="296">
        <f>R120*$S$9</f>
        <v/>
      </c>
      <c r="T120" s="296">
        <f>SUM(R120:S120)</f>
        <v/>
      </c>
      <c r="U120" s="78" t="inlineStr">
        <is>
          <t>OFTALMO</t>
        </is>
      </c>
      <c r="V120" s="81" t="inlineStr">
        <is>
          <t>ARFAMEX</t>
        </is>
      </c>
      <c r="W120" s="91" t="inlineStr">
        <is>
          <t>NO ADJUDICADO</t>
        </is>
      </c>
      <c r="X120" s="5" t="inlineStr">
        <is>
          <t>PROYECTADO</t>
        </is>
      </c>
    </row>
    <row r="121" ht="28.2" customHeight="1" s="227">
      <c r="A121" s="92" t="n">
        <v>213</v>
      </c>
      <c r="B121" s="68" t="inlineStr">
        <is>
          <t>CDMX</t>
        </is>
      </c>
      <c r="C121" s="69" t="inlineStr">
        <is>
          <t>Ultrasonido modo A-B y UBM, marca Quantel Medical, modelo Compact Touch</t>
        </is>
      </c>
      <c r="D121" s="68" t="inlineStr">
        <is>
          <t>2746</t>
        </is>
      </c>
      <c r="E121" s="69" t="inlineStr">
        <is>
          <t>H.M.E.O. Constituyentes</t>
        </is>
      </c>
      <c r="F121" s="95" t="inlineStr">
        <is>
          <t>Servicio de mantenimiento integral para: Ultrasonido modo A-B y UBM, marca Quantel Medical, modelo Compact Touch, serie 2746;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1" s="79" t="n">
        <v>1</v>
      </c>
      <c r="H121" s="79" t="n">
        <v>2</v>
      </c>
      <c r="I121" s="291" t="n">
        <v>47500</v>
      </c>
      <c r="J121" s="291">
        <f>I121</f>
        <v/>
      </c>
      <c r="K121" s="291">
        <f>J121</f>
        <v/>
      </c>
      <c r="L121" s="291">
        <f>SUM(I121:K121)</f>
        <v/>
      </c>
      <c r="M121" s="291">
        <f>L121*0.16</f>
        <v/>
      </c>
      <c r="N121" s="291">
        <f>SUM(L121:M121)</f>
        <v/>
      </c>
      <c r="O121" s="296" t="n">
        <v>150000</v>
      </c>
      <c r="P121" s="296">
        <f>G121*O121</f>
        <v/>
      </c>
      <c r="Q121" s="296">
        <f>H121*O121</f>
        <v/>
      </c>
      <c r="R121" s="296">
        <f>SUM(P121:Q121)</f>
        <v/>
      </c>
      <c r="S121" s="296">
        <f>R121*$S$9</f>
        <v/>
      </c>
      <c r="T121" s="296">
        <f>SUM(R121:S121)</f>
        <v/>
      </c>
      <c r="U121" s="78" t="inlineStr">
        <is>
          <t>OFTALMO</t>
        </is>
      </c>
      <c r="V121" s="81" t="inlineStr">
        <is>
          <t>ARFAMEX</t>
        </is>
      </c>
      <c r="W121" s="103" t="inlineStr">
        <is>
          <t>ADJUDICADO</t>
        </is>
      </c>
      <c r="X121" s="5" t="inlineStr">
        <is>
          <t>NO PROYECTADO</t>
        </is>
      </c>
    </row>
    <row r="122" ht="28.2" customHeight="1" s="227">
      <c r="A122" s="86" t="n">
        <v>214</v>
      </c>
      <c r="B122" s="68" t="inlineStr">
        <is>
          <t>CDMX</t>
        </is>
      </c>
      <c r="C122" s="69" t="inlineStr">
        <is>
          <t>Cámara de Scheimpflug, marca Oculus, modelo Pentacam HR</t>
        </is>
      </c>
      <c r="D122" s="68" t="inlineStr">
        <is>
          <t>64835160</t>
        </is>
      </c>
      <c r="E122" s="69" t="inlineStr">
        <is>
          <t>H.M.E.O. Constituyentes</t>
        </is>
      </c>
      <c r="F122" s="95" t="inlineStr">
        <is>
          <t>Servicio de mantenimiento integral para: Cámara de Scheimpflug, marca Oculus, modelo Pentacam HR, serie 64835160;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2" s="79" t="n">
        <v>1</v>
      </c>
      <c r="H122" s="79" t="n">
        <v>2</v>
      </c>
      <c r="I122" s="291" t="n">
        <v>50000</v>
      </c>
      <c r="J122" s="291">
        <f>I122</f>
        <v/>
      </c>
      <c r="K122" s="291">
        <f>J122</f>
        <v/>
      </c>
      <c r="L122" s="291">
        <f>SUM(I122:K122)</f>
        <v/>
      </c>
      <c r="M122" s="291">
        <f>L122*0.16</f>
        <v/>
      </c>
      <c r="N122" s="291">
        <f>SUM(L122:M122)</f>
        <v/>
      </c>
      <c r="O122" s="296" t="n">
        <v>150000</v>
      </c>
      <c r="P122" s="296">
        <f>G122*O122</f>
        <v/>
      </c>
      <c r="Q122" s="296">
        <f>H122*O122</f>
        <v/>
      </c>
      <c r="R122" s="296">
        <f>SUM(P122:Q122)</f>
        <v/>
      </c>
      <c r="S122" s="296">
        <f>R122*$S$9</f>
        <v/>
      </c>
      <c r="T122" s="296">
        <f>SUM(R122:S122)</f>
        <v/>
      </c>
      <c r="U122" s="78" t="inlineStr">
        <is>
          <t>OFTALMO</t>
        </is>
      </c>
      <c r="V122" s="81" t="inlineStr">
        <is>
          <t>CYAN</t>
        </is>
      </c>
      <c r="W122" s="83" t="inlineStr">
        <is>
          <t>ADJUDICADO</t>
        </is>
      </c>
      <c r="X122" s="5" t="inlineStr">
        <is>
          <t>PROYECTADO</t>
        </is>
      </c>
    </row>
    <row r="123" ht="28.2" customHeight="1" s="227">
      <c r="A123" s="86" t="n">
        <v>215</v>
      </c>
      <c r="B123" s="68" t="inlineStr">
        <is>
          <t>CDMX</t>
        </is>
      </c>
      <c r="C123" s="69" t="inlineStr">
        <is>
          <t>Unidad de banco de ojos, marca Varios, modelo Varios</t>
        </is>
      </c>
      <c r="D123" s="68" t="inlineStr">
        <is>
          <t>Varios</t>
        </is>
      </c>
      <c r="E123" s="69" t="inlineStr">
        <is>
          <t>H.M.E.O. Constituyentes</t>
        </is>
      </c>
      <c r="F123" s="95" t="inlineStr">
        <is>
          <t>Servicio de mantenimiento integral para: Unidad de banco de ojos, marca Varios, modelo Varios, serie Varios;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3" s="79" t="n">
        <v>1</v>
      </c>
      <c r="H123" s="79" t="n">
        <v>2</v>
      </c>
      <c r="I123" s="291" t="n">
        <v>70000</v>
      </c>
      <c r="J123" s="291">
        <f>I123</f>
        <v/>
      </c>
      <c r="K123" s="291">
        <f>J123</f>
        <v/>
      </c>
      <c r="L123" s="291">
        <f>SUM(I123:K123)</f>
        <v/>
      </c>
      <c r="M123" s="291">
        <f>L123*0.16</f>
        <v/>
      </c>
      <c r="N123" s="291">
        <f>SUM(L123:M123)</f>
        <v/>
      </c>
      <c r="O123" s="296" t="n">
        <v>130000</v>
      </c>
      <c r="P123" s="296">
        <f>G123*O123</f>
        <v/>
      </c>
      <c r="Q123" s="296">
        <f>H123*O123</f>
        <v/>
      </c>
      <c r="R123" s="296">
        <f>SUM(P123:Q123)</f>
        <v/>
      </c>
      <c r="S123" s="296">
        <f>R123*$S$9</f>
        <v/>
      </c>
      <c r="T123" s="296">
        <f>SUM(R123:S123)</f>
        <v/>
      </c>
      <c r="U123" s="78" t="inlineStr">
        <is>
          <t>OFTALMO</t>
        </is>
      </c>
      <c r="V123" s="81" t="inlineStr">
        <is>
          <t>MD</t>
        </is>
      </c>
      <c r="W123" s="83" t="inlineStr">
        <is>
          <t>ADJUDICADO</t>
        </is>
      </c>
      <c r="X123" s="5" t="inlineStr">
        <is>
          <t>PROYECTADO</t>
        </is>
      </c>
    </row>
    <row r="124" ht="28.2" customHeight="1" s="227">
      <c r="A124" s="86" t="n">
        <v>218</v>
      </c>
      <c r="B124" s="68" t="inlineStr">
        <is>
          <t>CDMX</t>
        </is>
      </c>
      <c r="C124" s="69" t="inlineStr">
        <is>
          <t>Impresora para placas radiográficas, marca Codonics, modelo Horizon Ci</t>
        </is>
      </c>
      <c r="D124" s="68" t="inlineStr">
        <is>
          <t>50C00394C</t>
        </is>
      </c>
      <c r="E124" s="69" t="inlineStr">
        <is>
          <t>H.M.E.M. Y N. Lomas de Sotelo</t>
        </is>
      </c>
      <c r="F124" s="95" t="inlineStr">
        <is>
          <t>Servicio de mantenimiento integral para: Impresora para placas radiográficas, marca Codonics, modelo Horizon Ci, serie 50C00394C;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4" s="79" t="n">
        <v>1</v>
      </c>
      <c r="H124" s="79" t="n">
        <v>2</v>
      </c>
      <c r="I124" s="291" t="n">
        <v>100000</v>
      </c>
      <c r="J124" s="291">
        <f>I124</f>
        <v/>
      </c>
      <c r="K124" s="291">
        <f>J124</f>
        <v/>
      </c>
      <c r="L124" s="291">
        <f>SUM(I124:K124)</f>
        <v/>
      </c>
      <c r="M124" s="291">
        <f>L124*0.16</f>
        <v/>
      </c>
      <c r="N124" s="291">
        <f>SUM(L124:M124)</f>
        <v/>
      </c>
      <c r="O124" s="296" t="n">
        <v>220000</v>
      </c>
      <c r="P124" s="296">
        <f>G124*O124</f>
        <v/>
      </c>
      <c r="Q124" s="296">
        <f>H124*O124</f>
        <v/>
      </c>
      <c r="R124" s="296">
        <f>SUM(P124:Q124)</f>
        <v/>
      </c>
      <c r="S124" s="296">
        <f>R124*$S$9</f>
        <v/>
      </c>
      <c r="T124" s="296">
        <f>SUM(R124:S124)</f>
        <v/>
      </c>
      <c r="U124" s="78" t="inlineStr">
        <is>
          <t>IMAGEN</t>
        </is>
      </c>
      <c r="V124" s="85" t="n"/>
      <c r="W124" s="83" t="inlineStr">
        <is>
          <t>ADJUDICADO</t>
        </is>
      </c>
      <c r="X124" s="5" t="inlineStr">
        <is>
          <t>PROYECTADO</t>
        </is>
      </c>
    </row>
    <row r="125" ht="28.2" customHeight="1" s="227">
      <c r="A125" s="86" t="n">
        <v>221</v>
      </c>
      <c r="B125" s="68" t="inlineStr">
        <is>
          <t>VERACRUZ</t>
        </is>
      </c>
      <c r="C125" s="69" t="inlineStr">
        <is>
          <t>Sistema de digitalización de imágenes, marca Fujifilm, modelo Digitalizador: FCR Capsula XLII (CR-IR 359) Impresora: Drypix Plus</t>
        </is>
      </c>
      <c r="D125" s="68" t="inlineStr">
        <is>
          <t>Digitalizador: 46770610 Impresora: 36753809</t>
        </is>
      </c>
      <c r="E125" s="69" t="inlineStr">
        <is>
          <t>H.M.Z. La Boticaría</t>
        </is>
      </c>
      <c r="F125" s="95" t="inlineStr">
        <is>
          <t>Servicio de mantenimiento integral para: Sistema de digitalización de imágenes, marca Fujifilm, modelo Digitalizador: FCR Capsula XLII (CR-IR 359) Impresora: Drypix Plus, serie Digitalizador: 46770610 Impresora: 36753809 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25" s="79" t="n">
        <v>1</v>
      </c>
      <c r="H125" s="79" t="n">
        <v>2</v>
      </c>
      <c r="I125" s="291" t="n">
        <v>100000</v>
      </c>
      <c r="J125" s="291">
        <f>I125</f>
        <v/>
      </c>
      <c r="K125" s="291">
        <f>J125</f>
        <v/>
      </c>
      <c r="L125" s="291">
        <f>SUM(I125:K125)</f>
        <v/>
      </c>
      <c r="M125" s="291">
        <f>L125*0.16</f>
        <v/>
      </c>
      <c r="N125" s="291">
        <f>SUM(L125:M125)</f>
        <v/>
      </c>
      <c r="O125" s="296" t="n">
        <v>220000</v>
      </c>
      <c r="P125" s="296">
        <f>G125*O125</f>
        <v/>
      </c>
      <c r="Q125" s="296">
        <f>H125*O125</f>
        <v/>
      </c>
      <c r="R125" s="296">
        <f>SUM(P125:Q125)</f>
        <v/>
      </c>
      <c r="S125" s="296">
        <f>R125*$S$9</f>
        <v/>
      </c>
      <c r="T125" s="296">
        <f>SUM(R125:S125)</f>
        <v/>
      </c>
      <c r="U125" s="78" t="inlineStr">
        <is>
          <t>IMAGEN</t>
        </is>
      </c>
      <c r="V125" s="85" t="n"/>
      <c r="W125" s="83" t="inlineStr">
        <is>
          <t>ADJUDICADO</t>
        </is>
      </c>
      <c r="X125" s="5" t="inlineStr">
        <is>
          <t>PROYECTADO</t>
        </is>
      </c>
    </row>
    <row r="126" ht="28.2" customHeight="1" s="227">
      <c r="A126" s="86" t="n">
        <v>222</v>
      </c>
      <c r="B126" s="68" t="inlineStr">
        <is>
          <t>VERACRUZ</t>
        </is>
      </c>
      <c r="C126" s="69" t="inlineStr">
        <is>
          <t>Ultrasonido oftálmico, marca OPTIKON, modelo HiScan</t>
        </is>
      </c>
      <c r="D126" s="68" t="inlineStr">
        <is>
          <t>387BC</t>
        </is>
      </c>
      <c r="E126" s="69" t="inlineStr">
        <is>
          <t>H.M.Z. La Boticaría</t>
        </is>
      </c>
      <c r="F126" s="95" t="inlineStr">
        <is>
          <t>Servicio de mantenimiento integral para: Ultrasonido oftálmico, marca OPTIKON, modelo HiScan, serie 387BC;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26" s="79" t="n">
        <v>1</v>
      </c>
      <c r="H126" s="79" t="n">
        <v>2</v>
      </c>
      <c r="I126" s="291" t="n">
        <v>150000</v>
      </c>
      <c r="J126" s="291">
        <f>I126</f>
        <v/>
      </c>
      <c r="K126" s="291">
        <f>J126</f>
        <v/>
      </c>
      <c r="L126" s="291">
        <f>SUM(I126:K126)</f>
        <v/>
      </c>
      <c r="M126" s="291">
        <f>L126*0.16</f>
        <v/>
      </c>
      <c r="N126" s="291">
        <f>SUM(L126:M126)</f>
        <v/>
      </c>
      <c r="O126" s="296" t="n">
        <v>365000</v>
      </c>
      <c r="P126" s="296">
        <f>G126*O126</f>
        <v/>
      </c>
      <c r="Q126" s="296">
        <f>H126*O126</f>
        <v/>
      </c>
      <c r="R126" s="296">
        <f>SUM(P126:Q126)</f>
        <v/>
      </c>
      <c r="S126" s="296">
        <f>R126*$S$9</f>
        <v/>
      </c>
      <c r="T126" s="296">
        <f>SUM(R126:S126)</f>
        <v/>
      </c>
      <c r="U126" s="78" t="inlineStr">
        <is>
          <t>OFTALMO</t>
        </is>
      </c>
      <c r="V126" s="81" t="inlineStr">
        <is>
          <t>OPTIKON</t>
        </is>
      </c>
      <c r="W126" s="83" t="inlineStr">
        <is>
          <t>ADJUDICADO</t>
        </is>
      </c>
      <c r="X126" s="5" t="inlineStr">
        <is>
          <t>PROYECTADO</t>
        </is>
      </c>
    </row>
    <row r="127" ht="28.2" customHeight="1" s="227">
      <c r="A127" s="92" t="n">
        <v>223</v>
      </c>
      <c r="B127" s="68" t="inlineStr">
        <is>
          <t>GUERRERO</t>
        </is>
      </c>
      <c r="C127" s="69" t="inlineStr">
        <is>
          <t>Rayos X móvil, marca Shimadzu, modelo MobileArt Evolution</t>
        </is>
      </c>
      <c r="D127" s="68" t="inlineStr">
        <is>
          <t>41000333B017</t>
        </is>
      </c>
      <c r="E127" s="69" t="inlineStr">
        <is>
          <t>H.M.R. Chilpancingo</t>
        </is>
      </c>
      <c r="F127" s="95" t="inlineStr">
        <is>
          <t>Servicio de mantenimiento integral para: Rayos X móvil, marca Shimadzu, modelo MobileArt Evolution, serie 41000333B017; ubicado en H.M.R. Chilpancingo, Gro .
Consistente en 1 evento de mantenimiento preventivo por semestre y todos los mantenimientos correctivos que se requieran para mantener, conservar y/o recuperar la operatividad del equipo al 100% durante el periodo de cobertura.</t>
        </is>
      </c>
      <c r="G127" s="79" t="n">
        <v>1</v>
      </c>
      <c r="H127" s="79" t="n">
        <v>2</v>
      </c>
      <c r="I127" s="291" t="n"/>
      <c r="J127" s="291">
        <f>I127</f>
        <v/>
      </c>
      <c r="K127" s="291">
        <f>J127</f>
        <v/>
      </c>
      <c r="L127" s="291" t="n"/>
      <c r="M127" s="291" t="n"/>
      <c r="N127" s="291" t="n"/>
      <c r="O127" s="296" t="n">
        <v>220000</v>
      </c>
      <c r="P127" s="296">
        <f>G127*O127</f>
        <v/>
      </c>
      <c r="Q127" s="296">
        <f>H127*O127</f>
        <v/>
      </c>
      <c r="R127" s="296">
        <f>SUM(P127:Q127)</f>
        <v/>
      </c>
      <c r="S127" s="296">
        <f>R127*$S$9</f>
        <v/>
      </c>
      <c r="T127" s="296">
        <f>SUM(R127:S127)</f>
        <v/>
      </c>
      <c r="U127" s="78" t="inlineStr">
        <is>
          <t>IMAGEN</t>
        </is>
      </c>
      <c r="V127" s="85" t="n"/>
      <c r="W127" s="103" t="inlineStr">
        <is>
          <t>ADJUDICADO</t>
        </is>
      </c>
      <c r="X127" s="5" t="inlineStr">
        <is>
          <t>NO PROYECTADO</t>
        </is>
      </c>
    </row>
    <row r="128" ht="28.2" customHeight="1" s="227">
      <c r="A128" s="92" t="n">
        <v>225</v>
      </c>
      <c r="B128" s="68" t="inlineStr">
        <is>
          <t>ZACATECAS</t>
        </is>
      </c>
      <c r="C128" s="69" t="inlineStr">
        <is>
          <t>Equipo de rayos X móvil, marca Technix, modelo TMS 320</t>
        </is>
      </c>
      <c r="D128" s="68" t="inlineStr">
        <is>
          <t>80-16-86-157</t>
        </is>
      </c>
      <c r="E128" s="69" t="inlineStr">
        <is>
          <t>H.M.Z. Guadalupe</t>
        </is>
      </c>
      <c r="F128" s="95" t="inlineStr">
        <is>
          <t>Servicio de mantenimiento integral para: Equipo de rayos X móvil, marca Technix, modelo TMS 320, serie 80-16-86-157; ubicado en H.M.Z. Guadalupe, Zac.
Consistente en 1 evento de mantenimiento preventivo por semestre y todos los mantenimientos correctivos que se requieran para mantener, conservar y/o recuperar la operatividad del equipo al 100% durante el periodo de cobertura.</t>
        </is>
      </c>
      <c r="G128" s="79" t="n">
        <v>1</v>
      </c>
      <c r="H128" s="79" t="n">
        <v>2</v>
      </c>
      <c r="I128" s="291" t="n"/>
      <c r="J128" s="291">
        <f>I128</f>
        <v/>
      </c>
      <c r="K128" s="291">
        <f>J128</f>
        <v/>
      </c>
      <c r="L128" s="291" t="n"/>
      <c r="M128" s="291" t="n"/>
      <c r="N128" s="291" t="n"/>
      <c r="O128" s="296" t="n">
        <v>300000</v>
      </c>
      <c r="P128" s="296">
        <f>G128*O128</f>
        <v/>
      </c>
      <c r="Q128" s="296">
        <f>H128*O128</f>
        <v/>
      </c>
      <c r="R128" s="296">
        <f>SUM(P128:Q128)</f>
        <v/>
      </c>
      <c r="S128" s="296">
        <f>R128*$S$9</f>
        <v/>
      </c>
      <c r="T128" s="296">
        <f>SUM(R128:S128)</f>
        <v/>
      </c>
      <c r="U128" s="78" t="inlineStr">
        <is>
          <t>IMAGEN</t>
        </is>
      </c>
      <c r="V128" s="85" t="n"/>
      <c r="W128" s="103" t="inlineStr">
        <is>
          <t>ADJUDICADO</t>
        </is>
      </c>
      <c r="X128" s="5" t="inlineStr">
        <is>
          <t>NO PROYECTADO</t>
        </is>
      </c>
    </row>
    <row r="129" ht="28.2" customHeight="1" s="227">
      <c r="A129" s="92" t="n">
        <v>226</v>
      </c>
      <c r="B129" s="68" t="inlineStr">
        <is>
          <t>CHIHUAHUA</t>
        </is>
      </c>
      <c r="C129" s="69" t="inlineStr">
        <is>
          <t>Sistema de digitalización de imágenes, marca Fujifilm, modelo Digitalizador: FCR Capsula XLII (CR-IR 359) Impresora: Drypix 4000</t>
        </is>
      </c>
      <c r="D129" s="68" t="inlineStr">
        <is>
          <t>Digitalizador: 37240106 Impresora: 36653761</t>
        </is>
      </c>
      <c r="E129" s="69" t="inlineStr">
        <is>
          <t>H.M.R. Chihuahua</t>
        </is>
      </c>
      <c r="F129" s="95" t="inlineStr">
        <is>
          <t>Servicio de mantenimiento integral para: Sistema de digitalización de imágenes, marca Fujifilm, modelo Digitalizador: FCR Capsula XLII (CR-IR 359) Impresora: Drypix 4000, serie Digitalizador: 37240106 Impresora: 36653761;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G129" s="79" t="n">
        <v>1</v>
      </c>
      <c r="H129" s="79" t="n">
        <v>2</v>
      </c>
      <c r="I129" s="291" t="n"/>
      <c r="J129" s="291">
        <f>I129</f>
        <v/>
      </c>
      <c r="K129" s="291">
        <f>J129</f>
        <v/>
      </c>
      <c r="L129" s="291" t="n"/>
      <c r="M129" s="291" t="n"/>
      <c r="N129" s="291" t="n"/>
      <c r="O129" s="296" t="n">
        <v>300000</v>
      </c>
      <c r="P129" s="296">
        <f>G129*O129</f>
        <v/>
      </c>
      <c r="Q129" s="296">
        <f>H129*O129</f>
        <v/>
      </c>
      <c r="R129" s="296">
        <f>SUM(P129:Q129)</f>
        <v/>
      </c>
      <c r="S129" s="296">
        <f>R129*$S$9</f>
        <v/>
      </c>
      <c r="T129" s="296">
        <f>SUM(R129:S129)</f>
        <v/>
      </c>
      <c r="U129" s="78" t="inlineStr">
        <is>
          <t>IMAGEN</t>
        </is>
      </c>
      <c r="V129" s="85" t="n"/>
      <c r="W129" s="103" t="inlineStr">
        <is>
          <t>ADJUDICADO</t>
        </is>
      </c>
      <c r="X129" s="5" t="inlineStr">
        <is>
          <t>NO PROYECTADO</t>
        </is>
      </c>
    </row>
    <row r="130" ht="28.2" customHeight="1" s="227">
      <c r="A130" s="86" t="n">
        <v>227</v>
      </c>
      <c r="B130" s="68" t="inlineStr">
        <is>
          <t>EDO DE MEX</t>
        </is>
      </c>
      <c r="C130" s="69" t="inlineStr">
        <is>
          <t>Sistema de digitalización de imágenes, marca Fujifilm, modelo Digitalizador: FCR Capsula XLII (CR-IR 359) Impresora: Drypix 4000</t>
        </is>
      </c>
      <c r="D130" s="68" t="inlineStr">
        <is>
          <t>Digitalizador: 46370281 Impresora: 36753805</t>
        </is>
      </c>
      <c r="E130" s="69" t="inlineStr">
        <is>
          <t>H.M.Z. Temamatla</t>
        </is>
      </c>
      <c r="F130" s="95" t="inlineStr">
        <is>
          <t>Servicio de mantenimiento integral para: Sistema de digitalización de imágenes, marca Fujifilm, modelo Digitalizador: FCR Capsula XLII (CR-IR 359) Impresora: Drypix 4000, serie Digitalizador: 46370281 Impresora: 36753805;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0" s="79" t="n">
        <v>1</v>
      </c>
      <c r="H130" s="79" t="n">
        <v>2</v>
      </c>
      <c r="I130" s="291" t="n">
        <v>100000</v>
      </c>
      <c r="J130" s="291">
        <f>I130</f>
        <v/>
      </c>
      <c r="K130" s="291">
        <f>J130</f>
        <v/>
      </c>
      <c r="L130" s="291">
        <f>SUM(I130:K130)</f>
        <v/>
      </c>
      <c r="M130" s="291">
        <f>L130*0.16</f>
        <v/>
      </c>
      <c r="N130" s="291">
        <f>SUM(L130:M130)</f>
        <v/>
      </c>
      <c r="O130" s="296" t="n">
        <v>220000</v>
      </c>
      <c r="P130" s="296">
        <f>G130*O130</f>
        <v/>
      </c>
      <c r="Q130" s="296">
        <f>H130*O130</f>
        <v/>
      </c>
      <c r="R130" s="296">
        <f>SUM(P130:Q130)</f>
        <v/>
      </c>
      <c r="S130" s="296">
        <f>R130*$S$9</f>
        <v/>
      </c>
      <c r="T130" s="296">
        <f>SUM(R130:S130)</f>
        <v/>
      </c>
      <c r="U130" s="78" t="inlineStr">
        <is>
          <t>IMAGEN</t>
        </is>
      </c>
      <c r="V130" s="85" t="n"/>
      <c r="W130" s="83" t="inlineStr">
        <is>
          <t>ADJUDICADO</t>
        </is>
      </c>
      <c r="X130" s="5" t="inlineStr">
        <is>
          <t>PROYECTADO</t>
        </is>
      </c>
    </row>
    <row r="131" ht="28.2" customHeight="1" s="227">
      <c r="A131" s="86" t="n">
        <v>228</v>
      </c>
      <c r="B131" s="68" t="inlineStr">
        <is>
          <t>EDO DE MEX</t>
        </is>
      </c>
      <c r="C131" s="69" t="inlineStr">
        <is>
          <t>Impresora para placas radiográficas, marca Konica Minolta, modelo DryPro 873</t>
        </is>
      </c>
      <c r="D131" s="68" t="inlineStr">
        <is>
          <t>0992-50128</t>
        </is>
      </c>
      <c r="E131" s="69" t="inlineStr">
        <is>
          <t>H.M.Z. Temamatla</t>
        </is>
      </c>
      <c r="F131" s="95" t="inlineStr">
        <is>
          <t>Servicio de mantenimiento integral para: Impresora para placas radiográficas, marca Konica Minolta, modelo DryPro 873, serie 0992-50128;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1" s="79" t="n">
        <v>1</v>
      </c>
      <c r="H131" s="79" t="n">
        <v>2</v>
      </c>
      <c r="I131" s="291" t="n">
        <v>100000</v>
      </c>
      <c r="J131" s="291">
        <f>I131</f>
        <v/>
      </c>
      <c r="K131" s="291">
        <f>J131</f>
        <v/>
      </c>
      <c r="L131" s="291">
        <f>SUM(I131:K131)</f>
        <v/>
      </c>
      <c r="M131" s="291">
        <f>L131*0.16</f>
        <v/>
      </c>
      <c r="N131" s="291">
        <f>SUM(L131:M131)</f>
        <v/>
      </c>
      <c r="O131" s="296" t="n">
        <v>220000</v>
      </c>
      <c r="P131" s="296">
        <f>G131*O131</f>
        <v/>
      </c>
      <c r="Q131" s="296">
        <f>H131*O131</f>
        <v/>
      </c>
      <c r="R131" s="296">
        <f>SUM(P131:Q131)</f>
        <v/>
      </c>
      <c r="S131" s="296">
        <f>R131*$S$9</f>
        <v/>
      </c>
      <c r="T131" s="296">
        <f>SUM(R131:S131)</f>
        <v/>
      </c>
      <c r="U131" s="78" t="inlineStr">
        <is>
          <t>IMAGEN</t>
        </is>
      </c>
      <c r="V131" s="85" t="n"/>
      <c r="W131" s="83" t="inlineStr">
        <is>
          <t>ADJUDICADO</t>
        </is>
      </c>
      <c r="X131" s="5" t="inlineStr">
        <is>
          <t>PROYECTADO</t>
        </is>
      </c>
    </row>
    <row r="132" ht="28.2" customHeight="1" s="227">
      <c r="A132" s="92" t="n">
        <v>230</v>
      </c>
      <c r="B132" s="68" t="inlineStr">
        <is>
          <t>GUANAJUATO</t>
        </is>
      </c>
      <c r="C132" s="69" t="inlineStr">
        <is>
          <t>Equipo de rayos X móvil, marca Technix, modelo TMS 320</t>
        </is>
      </c>
      <c r="D132" s="68" t="inlineStr">
        <is>
          <t>80-16-85-156</t>
        </is>
      </c>
      <c r="E132" s="69" t="inlineStr">
        <is>
          <t>H.M.R., Irapuato</t>
        </is>
      </c>
      <c r="F132" s="95" t="inlineStr">
        <is>
          <t>Servicio de mantenimiento integral para: Equipo de rayos X móvil, marca Technix, modelo TMS 320, serie 80-16-85-156; ubicado en H.M.R., Irapuato, Gto..
Consistente en 1 evento de mantenimiento preventivo por semestre y todos los mantenimientos correctivos que se requieran para mantener, conservar y/o recuperar la operatividad del equipo al 100% durante el periodo de cobertura.</t>
        </is>
      </c>
      <c r="G132" s="79" t="n">
        <v>1</v>
      </c>
      <c r="H132" s="79" t="n">
        <v>2</v>
      </c>
      <c r="I132" s="291" t="n"/>
      <c r="J132" s="291">
        <f>I132</f>
        <v/>
      </c>
      <c r="K132" s="291">
        <f>J132</f>
        <v/>
      </c>
      <c r="L132" s="291" t="n"/>
      <c r="M132" s="291" t="n"/>
      <c r="N132" s="291" t="n"/>
      <c r="O132" s="296" t="n">
        <v>220000</v>
      </c>
      <c r="P132" s="296">
        <f>G132*O132</f>
        <v/>
      </c>
      <c r="Q132" s="296">
        <f>H132*O132</f>
        <v/>
      </c>
      <c r="R132" s="296">
        <f>SUM(P132:Q132)</f>
        <v/>
      </c>
      <c r="S132" s="296">
        <f>R132*$S$9</f>
        <v/>
      </c>
      <c r="T132" s="296">
        <f>SUM(R132:S132)</f>
        <v/>
      </c>
      <c r="U132" s="78" t="inlineStr">
        <is>
          <t>IMAGEN</t>
        </is>
      </c>
      <c r="V132" s="85" t="n"/>
      <c r="W132" s="103" t="inlineStr">
        <is>
          <t>ADJUDICADO</t>
        </is>
      </c>
      <c r="X132" s="5" t="inlineStr">
        <is>
          <t>NO PROYECTADO</t>
        </is>
      </c>
    </row>
    <row r="133" ht="28.2" customHeight="1" s="227">
      <c r="A133" s="86" t="n">
        <v>231</v>
      </c>
      <c r="B133" s="68" t="inlineStr">
        <is>
          <t>MORELOS</t>
        </is>
      </c>
      <c r="C133" s="69" t="inlineStr">
        <is>
          <t>Sistema de digitalización de imágenes, marca Fujifilm, modelo Digitalizador: FCR Capsula XLII (CR-IR 359) Impresora: Drypix 4000</t>
        </is>
      </c>
      <c r="D133" s="68" t="inlineStr">
        <is>
          <t>Digitalizador: 46770614 Impresora: 36653758</t>
        </is>
      </c>
      <c r="E133" s="69" t="inlineStr">
        <is>
          <t>H.M.Z. Cuernavaca</t>
        </is>
      </c>
      <c r="F133" s="95" t="inlineStr">
        <is>
          <t>Servicio de mantenimiento integral para: Sistema de digitalización de imágenes, marca Fujifilm, modelo Digitalizador: FCR Capsula XLII (CR-IR 359) Impresora: Drypix 4000, serie Digitalizador: 46770614 Impresora: 36653758 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G133" s="79" t="n">
        <v>1</v>
      </c>
      <c r="H133" s="79" t="n">
        <v>2</v>
      </c>
      <c r="I133" s="291" t="n">
        <v>100000</v>
      </c>
      <c r="J133" s="291">
        <f>I133</f>
        <v/>
      </c>
      <c r="K133" s="291">
        <f>J133</f>
        <v/>
      </c>
      <c r="L133" s="291">
        <f>SUM(I133:K133)</f>
        <v/>
      </c>
      <c r="M133" s="291">
        <f>L133*0.16</f>
        <v/>
      </c>
      <c r="N133" s="291">
        <f>SUM(L133:M133)</f>
        <v/>
      </c>
      <c r="O133" s="296" t="n">
        <v>220000</v>
      </c>
      <c r="P133" s="296">
        <f>G133*O133</f>
        <v/>
      </c>
      <c r="Q133" s="296">
        <f>H133*O133</f>
        <v/>
      </c>
      <c r="R133" s="296">
        <f>SUM(P133:Q133)</f>
        <v/>
      </c>
      <c r="S133" s="296">
        <f>R133*$S$9</f>
        <v/>
      </c>
      <c r="T133" s="296">
        <f>SUM(R133:S133)</f>
        <v/>
      </c>
      <c r="U133" s="78" t="inlineStr">
        <is>
          <t>IMAGEN</t>
        </is>
      </c>
      <c r="V133" s="85" t="n"/>
      <c r="W133" s="83" t="inlineStr">
        <is>
          <t>ADJUDICADO</t>
        </is>
      </c>
      <c r="X133" s="5" t="inlineStr">
        <is>
          <t>PROYECTADO</t>
        </is>
      </c>
    </row>
    <row r="134" ht="28.2" customHeight="1" s="227">
      <c r="A134" s="86" t="n">
        <v>232</v>
      </c>
      <c r="B134" s="68" t="inlineStr">
        <is>
          <t>GUERRERO</t>
        </is>
      </c>
      <c r="C134" s="69" t="inlineStr">
        <is>
          <t>Digitalizador de placas radiográficas, marca Fujifilm, modelo CR-IR359</t>
        </is>
      </c>
      <c r="D134" s="68" t="inlineStr">
        <is>
          <t>46270262</t>
        </is>
      </c>
      <c r="E134" s="69" t="inlineStr">
        <is>
          <t>H.M.R. Acapulco</t>
        </is>
      </c>
      <c r="F134" s="95" t="inlineStr">
        <is>
          <t>Servicio de mantenimiento integral para: Digitalizador de placas radiográficas, marca Fujifilm, modelo CR-IR359, serie 46270262; ubicado en H.M.R. Acapulco, Gro.
Consistente en 1 evento de mantenimiento preventivo por semestre y todos los mantenimientos correctivos que se requieran para mantener, conservar y/o recuperar la operatividad del equipo al 100% durante el periodo de cobertura.</t>
        </is>
      </c>
      <c r="G134" s="79" t="n">
        <v>1</v>
      </c>
      <c r="H134" s="79" t="n">
        <v>2</v>
      </c>
      <c r="I134" s="291" t="n">
        <v>100000</v>
      </c>
      <c r="J134" s="291">
        <f>I134</f>
        <v/>
      </c>
      <c r="K134" s="291">
        <f>J134</f>
        <v/>
      </c>
      <c r="L134" s="291">
        <f>SUM(I134:K134)</f>
        <v/>
      </c>
      <c r="M134" s="291">
        <f>L134*0.16</f>
        <v/>
      </c>
      <c r="N134" s="291">
        <f>SUM(L134:M134)</f>
        <v/>
      </c>
      <c r="O134" s="296" t="n">
        <v>220000</v>
      </c>
      <c r="P134" s="296">
        <f>G134*O134</f>
        <v/>
      </c>
      <c r="Q134" s="296">
        <f>H134*O134</f>
        <v/>
      </c>
      <c r="R134" s="296">
        <f>SUM(P134:Q134)</f>
        <v/>
      </c>
      <c r="S134" s="296">
        <f>R134*$S$9</f>
        <v/>
      </c>
      <c r="T134" s="296">
        <f>SUM(R134:S134)</f>
        <v/>
      </c>
      <c r="U134" s="78" t="inlineStr">
        <is>
          <t>IMAGEN</t>
        </is>
      </c>
      <c r="V134" s="85" t="n"/>
      <c r="W134" s="83" t="inlineStr">
        <is>
          <t>ADJUDICADO</t>
        </is>
      </c>
      <c r="X134" s="5" t="inlineStr">
        <is>
          <t>PROYECTADO</t>
        </is>
      </c>
    </row>
    <row r="135" ht="28.2" customHeight="1" s="227">
      <c r="A135" s="92" t="n">
        <v>265</v>
      </c>
      <c r="B135" s="68" t="inlineStr">
        <is>
          <t>EDO DE MEX</t>
        </is>
      </c>
      <c r="C135" s="69" t="inlineStr">
        <is>
          <t>Rayos X móvil, marca Listem, modelo MOBIX-1000</t>
        </is>
      </c>
      <c r="D135" s="68" t="inlineStr">
        <is>
          <t>10 0155</t>
        </is>
      </c>
      <c r="E135" s="69" t="inlineStr">
        <is>
          <t>H.M.Z. Santa María Rayón</t>
        </is>
      </c>
      <c r="F135" s="95" t="inlineStr">
        <is>
          <t>Servicio de mantenimiento integral para: Rayos X móvil, marca Listem, modelo MOBIX-1000, serie 10 0155; ubicado en H.M.Z. Santa María Rayón,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5" s="79" t="n">
        <v>1</v>
      </c>
      <c r="H135" s="79" t="n">
        <v>2</v>
      </c>
      <c r="I135" s="291" t="n"/>
      <c r="J135" s="291">
        <f>I135</f>
        <v/>
      </c>
      <c r="K135" s="291">
        <f>J135</f>
        <v/>
      </c>
      <c r="L135" s="291" t="n"/>
      <c r="M135" s="291" t="n"/>
      <c r="N135" s="291" t="n"/>
      <c r="O135" s="296" t="n">
        <v>220000</v>
      </c>
      <c r="P135" s="296">
        <f>G135*O135</f>
        <v/>
      </c>
      <c r="Q135" s="296">
        <f>H135*O135</f>
        <v/>
      </c>
      <c r="R135" s="296">
        <f>SUM(P135:Q135)</f>
        <v/>
      </c>
      <c r="S135" s="296">
        <f>R135*$S$9</f>
        <v/>
      </c>
      <c r="T135" s="296">
        <f>SUM(R135:S135)</f>
        <v/>
      </c>
      <c r="U135" s="78" t="inlineStr">
        <is>
          <t>IMAGEN</t>
        </is>
      </c>
      <c r="V135" s="85" t="n"/>
      <c r="W135" s="103" t="inlineStr">
        <is>
          <t>ADJUDICADO</t>
        </is>
      </c>
      <c r="X135" s="5" t="inlineStr">
        <is>
          <t>NO PROYECTADO</t>
        </is>
      </c>
    </row>
    <row r="136" ht="28.2" customHeight="1" s="227">
      <c r="A136" s="86" t="n">
        <v>268</v>
      </c>
      <c r="B136" s="68" t="inlineStr">
        <is>
          <t>OAXACA</t>
        </is>
      </c>
      <c r="C136" s="69" t="inlineStr">
        <is>
          <t>Fotocoagulador láser , marca Meridian AG, modelo SLA-UNI</t>
        </is>
      </c>
      <c r="D136" s="68" t="inlineStr">
        <is>
          <t>0069</t>
        </is>
      </c>
      <c r="E136" s="69" t="inlineStr">
        <is>
          <t>H.M.Z. Ixcotel</t>
        </is>
      </c>
      <c r="F136" s="95" t="inlineStr">
        <is>
          <t>Servicio de mantenimiento integral para: Fotocoagulador láser , marca Meridian AG, modelo SLA-UNI, serie 0069;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36" s="79" t="n">
        <v>1</v>
      </c>
      <c r="H136" s="79" t="n">
        <v>2</v>
      </c>
      <c r="I136" s="291" t="n">
        <v>200000</v>
      </c>
      <c r="J136" s="291">
        <f>I136</f>
        <v/>
      </c>
      <c r="K136" s="291">
        <f>J136</f>
        <v/>
      </c>
      <c r="L136" s="291">
        <f>SUM(I136:K136)</f>
        <v/>
      </c>
      <c r="M136" s="291">
        <f>L136*0.16</f>
        <v/>
      </c>
      <c r="N136" s="291">
        <f>SUM(L136:M136)</f>
        <v/>
      </c>
      <c r="O136" s="296" t="n">
        <v>425000</v>
      </c>
      <c r="P136" s="296">
        <f>G136*O136</f>
        <v/>
      </c>
      <c r="Q136" s="296">
        <f>H136*O136</f>
        <v/>
      </c>
      <c r="R136" s="296">
        <f>SUM(P136:Q136)</f>
        <v/>
      </c>
      <c r="S136" s="296">
        <f>R136*$S$9</f>
        <v/>
      </c>
      <c r="T136" s="296">
        <f>SUM(R136:S136)</f>
        <v/>
      </c>
      <c r="U136" s="78" t="inlineStr">
        <is>
          <t>OFTALMO</t>
        </is>
      </c>
      <c r="V136" s="81" t="inlineStr">
        <is>
          <t>DEWIMED</t>
        </is>
      </c>
      <c r="W136" s="83" t="inlineStr">
        <is>
          <t>ADJUDICADO</t>
        </is>
      </c>
      <c r="X136" s="5" t="inlineStr">
        <is>
          <t>PROYECTADO</t>
        </is>
      </c>
    </row>
    <row r="137" ht="28.2" customHeight="1" s="227">
      <c r="A137" s="86" t="n">
        <v>273</v>
      </c>
      <c r="B137" s="68" t="inlineStr">
        <is>
          <t>OAXACA</t>
        </is>
      </c>
      <c r="C137" s="69" t="inlineStr">
        <is>
          <t>Láser oftálmico, marca Alcon, modelo 3000LE</t>
        </is>
      </c>
      <c r="D137" s="68" t="inlineStr">
        <is>
          <t>5342LX</t>
        </is>
      </c>
      <c r="E137" s="69" t="inlineStr">
        <is>
          <t>H.M.Z. Ixcotel</t>
        </is>
      </c>
      <c r="F137" s="95" t="inlineStr">
        <is>
          <t>Servicio de mantenimiento integral para: Láser oftálmico, marca Alcon, modelo 3000LE, serie 5342LX;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37" s="79" t="n">
        <v>1</v>
      </c>
      <c r="H137" s="79" t="n">
        <v>2</v>
      </c>
      <c r="I137" s="291" t="n">
        <v>200000</v>
      </c>
      <c r="J137" s="291">
        <f>I137</f>
        <v/>
      </c>
      <c r="K137" s="291">
        <f>J137</f>
        <v/>
      </c>
      <c r="L137" s="291">
        <f>SUM(I137:K137)</f>
        <v/>
      </c>
      <c r="M137" s="291">
        <f>L137*0.16</f>
        <v/>
      </c>
      <c r="N137" s="291">
        <f>SUM(L137:M137)</f>
        <v/>
      </c>
      <c r="O137" s="296" t="n">
        <v>400000</v>
      </c>
      <c r="P137" s="296">
        <f>G137*O137</f>
        <v/>
      </c>
      <c r="Q137" s="296">
        <f>H137*O137</f>
        <v/>
      </c>
      <c r="R137" s="296">
        <f>SUM(P137:Q137)</f>
        <v/>
      </c>
      <c r="S137" s="296">
        <f>R137*$S$9</f>
        <v/>
      </c>
      <c r="T137" s="296">
        <f>SUM(R137:S137)</f>
        <v/>
      </c>
      <c r="U137" s="78" t="inlineStr">
        <is>
          <t>OFTALMO</t>
        </is>
      </c>
      <c r="V137" s="81" t="inlineStr">
        <is>
          <t>ALCON</t>
        </is>
      </c>
      <c r="W137" s="83" t="inlineStr">
        <is>
          <t>ADJUDICADO</t>
        </is>
      </c>
      <c r="X137" s="5" t="inlineStr">
        <is>
          <t>PROYECTADO</t>
        </is>
      </c>
    </row>
    <row r="138" ht="28.2" customHeight="1" s="227">
      <c r="A138" s="86" t="n">
        <v>283</v>
      </c>
      <c r="B138" s="68" t="inlineStr">
        <is>
          <t>CDMX</t>
        </is>
      </c>
      <c r="C138" s="69" t="inlineStr">
        <is>
          <t>Láser excimer, marca Bausch &amp; Lomb, modelo Zyoptix XP</t>
        </is>
      </c>
      <c r="D138" s="68" t="inlineStr">
        <is>
          <t>2805</t>
        </is>
      </c>
      <c r="E138" s="69" t="inlineStr">
        <is>
          <t>H.M.E.O. Constituyentes</t>
        </is>
      </c>
      <c r="F138" s="95" t="inlineStr">
        <is>
          <t>Servicio de mantenimiento integral para: Láser excimer, marca Bausch &amp; Lomb, modelo Zyoptix XP, serie 2805;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8" s="79" t="n">
        <v>1</v>
      </c>
      <c r="H138" s="79" t="n">
        <v>2</v>
      </c>
      <c r="I138" s="291" t="n">
        <v>80000</v>
      </c>
      <c r="J138" s="291">
        <f>I138</f>
        <v/>
      </c>
      <c r="K138" s="291">
        <f>J138</f>
        <v/>
      </c>
      <c r="L138" s="291">
        <f>SUM(I138:K138)</f>
        <v/>
      </c>
      <c r="M138" s="291">
        <f>L138*0.16</f>
        <v/>
      </c>
      <c r="N138" s="291">
        <f>SUM(L138:M138)</f>
        <v/>
      </c>
      <c r="O138" s="296" t="n">
        <v>170000</v>
      </c>
      <c r="P138" s="296">
        <f>G138*O138</f>
        <v/>
      </c>
      <c r="Q138" s="296">
        <f>H138*O138</f>
        <v/>
      </c>
      <c r="R138" s="296">
        <f>SUM(P138:Q138)</f>
        <v/>
      </c>
      <c r="S138" s="296">
        <f>R138*$S$9</f>
        <v/>
      </c>
      <c r="T138" s="296">
        <f>SUM(R138:S138)</f>
        <v/>
      </c>
      <c r="U138" s="78" t="inlineStr">
        <is>
          <t>OFTALMO</t>
        </is>
      </c>
      <c r="V138" s="81" t="inlineStr">
        <is>
          <t>BAUSH</t>
        </is>
      </c>
      <c r="W138" s="83" t="inlineStr">
        <is>
          <t>ADJUDICADO</t>
        </is>
      </c>
      <c r="X138" s="5" t="inlineStr">
        <is>
          <t>PROYECTADO</t>
        </is>
      </c>
    </row>
    <row r="139" ht="28.2" customHeight="1" s="227">
      <c r="A139" s="92" t="n">
        <v>286</v>
      </c>
      <c r="B139" s="68" t="inlineStr">
        <is>
          <t>JALISCO</t>
        </is>
      </c>
      <c r="C139" s="69" t="inlineStr">
        <is>
          <t>Láser de fotocoagulación oftálmico, marca Carl Zeiss, modelo Visulas 532s</t>
        </is>
      </c>
      <c r="D139" s="68" t="inlineStr">
        <is>
          <t>936471</t>
        </is>
      </c>
      <c r="E139" s="69" t="inlineStr">
        <is>
          <t>H.M.R.E. Guadalajara</t>
        </is>
      </c>
      <c r="F139" s="95" t="inlineStr">
        <is>
          <t>Servicio de mantenimiento integral para: Láser de fotocoagulación oftálmico, marca Carl Zeiss, modelo Visulas 532s, serie 936471;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39" s="79" t="n">
        <v>1</v>
      </c>
      <c r="H139" s="79" t="n">
        <v>2</v>
      </c>
      <c r="I139" s="291" t="n">
        <v>100000</v>
      </c>
      <c r="J139" s="291">
        <f>I139</f>
        <v/>
      </c>
      <c r="K139" s="291">
        <f>J139</f>
        <v/>
      </c>
      <c r="L139" s="291" t="n"/>
      <c r="M139" s="291" t="n"/>
      <c r="N139" s="291" t="n"/>
      <c r="O139" s="296" t="n">
        <v>275000</v>
      </c>
      <c r="P139" s="296">
        <f>G139*O139</f>
        <v/>
      </c>
      <c r="Q139" s="296">
        <f>H139*O139</f>
        <v/>
      </c>
      <c r="R139" s="296">
        <f>SUM(P139:Q139)</f>
        <v/>
      </c>
      <c r="S139" s="296">
        <f>R139*$S$9</f>
        <v/>
      </c>
      <c r="T139" s="296">
        <f>SUM(R139:S139)</f>
        <v/>
      </c>
      <c r="U139" s="78" t="inlineStr">
        <is>
          <t>OFTALMO</t>
        </is>
      </c>
      <c r="V139" s="81" t="inlineStr">
        <is>
          <t>ZEISS</t>
        </is>
      </c>
      <c r="W139" s="91" t="inlineStr">
        <is>
          <t>NO ADJUDICADO</t>
        </is>
      </c>
      <c r="X139" s="5" t="inlineStr">
        <is>
          <t>PROYECTADO</t>
        </is>
      </c>
    </row>
    <row r="140" ht="28.2" customHeight="1" s="227">
      <c r="A140" s="92" t="n">
        <v>287</v>
      </c>
      <c r="B140" s="68" t="inlineStr">
        <is>
          <t>JALISCO</t>
        </is>
      </c>
      <c r="C140" s="69" t="inlineStr">
        <is>
          <t>Topógrafo corneal, marca Bausch &amp; Lomb, modelo Orbscan II-Z</t>
        </is>
      </c>
      <c r="D140" s="68" t="inlineStr">
        <is>
          <t>06061672 Z</t>
        </is>
      </c>
      <c r="E140" s="69" t="inlineStr">
        <is>
          <t>H.M.R.E. Guadalajara</t>
        </is>
      </c>
      <c r="F140" s="95" t="inlineStr">
        <is>
          <t>Servicio de mantenimiento integral para: Topógrafo corneal, marca Bausch &amp; Lomb, modelo Orbscan II-Z, serie 06061672 Z;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40" s="79" t="n">
        <v>1</v>
      </c>
      <c r="H140" s="79" t="n">
        <v>2</v>
      </c>
      <c r="I140" s="291" t="n"/>
      <c r="J140" s="291">
        <f>I140</f>
        <v/>
      </c>
      <c r="K140" s="291">
        <f>J140</f>
        <v/>
      </c>
      <c r="L140" s="291" t="n"/>
      <c r="M140" s="291" t="n"/>
      <c r="N140" s="291" t="n"/>
      <c r="O140" s="296" t="n">
        <v>350000</v>
      </c>
      <c r="P140" s="296">
        <f>G140*O140</f>
        <v/>
      </c>
      <c r="Q140" s="296">
        <f>H140*O140</f>
        <v/>
      </c>
      <c r="R140" s="296">
        <f>SUM(P140:Q140)</f>
        <v/>
      </c>
      <c r="S140" s="296">
        <f>R140*$S$9</f>
        <v/>
      </c>
      <c r="T140" s="296">
        <f>SUM(R140:S140)</f>
        <v/>
      </c>
      <c r="U140" s="78" t="inlineStr">
        <is>
          <t>OFTALMO</t>
        </is>
      </c>
      <c r="V140" s="81" t="inlineStr">
        <is>
          <t>BAUSH</t>
        </is>
      </c>
      <c r="W140" s="91" t="inlineStr">
        <is>
          <t>NO ADJUDICADO</t>
        </is>
      </c>
      <c r="X140" s="5" t="inlineStr">
        <is>
          <t>PROYECTADO</t>
        </is>
      </c>
    </row>
    <row r="141" ht="28.2" customHeight="1" s="227">
      <c r="A141" s="86" t="n">
        <v>291</v>
      </c>
      <c r="B141" s="68" t="inlineStr">
        <is>
          <t>CDMX</t>
        </is>
      </c>
      <c r="C141" s="69" t="inlineStr">
        <is>
          <t>Láser excimer, marca Bausch &amp; Lomb, modelo Zyoptix XP</t>
        </is>
      </c>
      <c r="D141" s="68" t="inlineStr">
        <is>
          <t>XL500322</t>
        </is>
      </c>
      <c r="E141" s="69" t="inlineStr">
        <is>
          <t>H.M.E.O. Constituyentes</t>
        </is>
      </c>
      <c r="F141" s="95" t="inlineStr">
        <is>
          <t>Servicio de mantenimiento integral para: Láser excimer, marca Bausch &amp; Lomb, modelo Zyoptix XP, serie XL500322;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1" s="79" t="n">
        <v>1</v>
      </c>
      <c r="H141" s="79" t="n">
        <v>2</v>
      </c>
      <c r="I141" s="291" t="n">
        <v>80000</v>
      </c>
      <c r="J141" s="291">
        <f>I141</f>
        <v/>
      </c>
      <c r="K141" s="291">
        <f>J141</f>
        <v/>
      </c>
      <c r="L141" s="291">
        <f>SUM(I141:K141)</f>
        <v/>
      </c>
      <c r="M141" s="291">
        <f>L141*0.16</f>
        <v/>
      </c>
      <c r="N141" s="291">
        <f>SUM(L141:M141)</f>
        <v/>
      </c>
      <c r="O141" s="296" t="n">
        <v>140000</v>
      </c>
      <c r="P141" s="296">
        <f>G141*O141</f>
        <v/>
      </c>
      <c r="Q141" s="296">
        <f>H141*O141</f>
        <v/>
      </c>
      <c r="R141" s="296">
        <f>SUM(P141:Q141)</f>
        <v/>
      </c>
      <c r="S141" s="296">
        <f>R141*$S$9</f>
        <v/>
      </c>
      <c r="T141" s="296">
        <f>SUM(R141:S141)</f>
        <v/>
      </c>
      <c r="U141" s="78" t="inlineStr">
        <is>
          <t>OFTALMO</t>
        </is>
      </c>
      <c r="V141" s="81" t="inlineStr">
        <is>
          <t>BAUSH</t>
        </is>
      </c>
      <c r="W141" s="83" t="inlineStr">
        <is>
          <t>ADJUDICADO</t>
        </is>
      </c>
      <c r="X141" s="5" t="inlineStr">
        <is>
          <t>PROYECTADO</t>
        </is>
      </c>
    </row>
    <row r="142" ht="28.2" customHeight="1" s="227">
      <c r="A142" s="86" t="n">
        <v>292</v>
      </c>
      <c r="B142" s="68" t="inlineStr">
        <is>
          <t>CDMX</t>
        </is>
      </c>
      <c r="C142" s="69" t="inlineStr">
        <is>
          <t>Microscopio especular, marca Konan, modelo CellChek XL NSP9900</t>
        </is>
      </c>
      <c r="D142" s="68" t="inlineStr">
        <is>
          <t>NPA-3-1816</t>
        </is>
      </c>
      <c r="E142" s="69" t="inlineStr">
        <is>
          <t>H.M.E.O. Constituyentes</t>
        </is>
      </c>
      <c r="F142" s="95" t="inlineStr">
        <is>
          <t>Servicio de mantenimiento integral para: Microscopio especular, marca Konan, modelo CellChek XL NSP9900, serie NPA-3-1816;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2" s="79" t="n">
        <v>1</v>
      </c>
      <c r="H142" s="79" t="n">
        <v>2</v>
      </c>
      <c r="I142" s="291" t="n">
        <v>50000</v>
      </c>
      <c r="J142" s="291">
        <f>I142</f>
        <v/>
      </c>
      <c r="K142" s="291">
        <f>J142</f>
        <v/>
      </c>
      <c r="L142" s="291">
        <f>SUM(I142:K142)</f>
        <v/>
      </c>
      <c r="M142" s="291">
        <f>L142*0.16</f>
        <v/>
      </c>
      <c r="N142" s="291">
        <f>SUM(L142:M142)</f>
        <v/>
      </c>
      <c r="O142" s="296" t="n">
        <v>120000</v>
      </c>
      <c r="P142" s="296">
        <f>G142*O142</f>
        <v/>
      </c>
      <c r="Q142" s="296">
        <f>H142*O142</f>
        <v/>
      </c>
      <c r="R142" s="296">
        <f>SUM(P142:Q142)</f>
        <v/>
      </c>
      <c r="S142" s="296">
        <f>R142*$S$9</f>
        <v/>
      </c>
      <c r="T142" s="296">
        <f>SUM(R142:S142)</f>
        <v/>
      </c>
      <c r="U142" s="78" t="inlineStr">
        <is>
          <t>OFTALMO</t>
        </is>
      </c>
      <c r="V142" s="81" t="inlineStr">
        <is>
          <t>TECHNOMIX</t>
        </is>
      </c>
      <c r="W142" s="83" t="inlineStr">
        <is>
          <t>ADJUDICADO</t>
        </is>
      </c>
      <c r="X142" s="5" t="inlineStr">
        <is>
          <t>PROYECTADO</t>
        </is>
      </c>
    </row>
    <row r="143" ht="28.2" customHeight="1" s="227">
      <c r="A143" s="92" t="n">
        <v>294</v>
      </c>
      <c r="B143" s="68" t="inlineStr">
        <is>
          <t>CHIAPAS</t>
        </is>
      </c>
      <c r="C143" s="69" t="inlineStr">
        <is>
          <t>Láser excimer, marca WaveLight, modelo Allegretto</t>
        </is>
      </c>
      <c r="D143" s="68" t="inlineStr">
        <is>
          <t>1010-2-382</t>
        </is>
      </c>
      <c r="E143" s="69" t="inlineStr">
        <is>
          <t>H.M.R. Tuxtla Gutiérrez</t>
        </is>
      </c>
      <c r="F143" s="95" t="inlineStr">
        <is>
          <t>Servicio de mantenimiento integral para: Láser excimer, marca WaveLight, modelo Allegretto, serie 1010-2-382;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43" s="79" t="n">
        <v>1</v>
      </c>
      <c r="H143" s="79" t="n">
        <v>2</v>
      </c>
      <c r="I143" s="291" t="inlineStr">
        <is>
          <t>NO</t>
        </is>
      </c>
      <c r="J143" s="291">
        <f>I143</f>
        <v/>
      </c>
      <c r="K143" s="291">
        <f>J143</f>
        <v/>
      </c>
      <c r="L143" s="291" t="n"/>
      <c r="M143" s="291" t="n"/>
      <c r="N143" s="291" t="n"/>
      <c r="O143" s="296" t="n">
        <v>990000</v>
      </c>
      <c r="P143" s="296">
        <f>G143*O143</f>
        <v/>
      </c>
      <c r="Q143" s="296">
        <f>H143*O143</f>
        <v/>
      </c>
      <c r="R143" s="296">
        <f>SUM(P143:Q143)</f>
        <v/>
      </c>
      <c r="S143" s="296">
        <f>R143*$S$9</f>
        <v/>
      </c>
      <c r="T143" s="296">
        <f>SUM(R143:S143)</f>
        <v/>
      </c>
      <c r="U143" s="78" t="inlineStr">
        <is>
          <t>OFTALMO</t>
        </is>
      </c>
      <c r="V143" s="81" t="inlineStr">
        <is>
          <t>ALCON</t>
        </is>
      </c>
      <c r="W143" s="91" t="inlineStr">
        <is>
          <t>NO ADJUDICADO</t>
        </is>
      </c>
      <c r="X143" s="5" t="inlineStr">
        <is>
          <t>PROYECTADO</t>
        </is>
      </c>
    </row>
    <row r="144" ht="28.2" customHeight="1" s="227">
      <c r="A144" s="86" t="n">
        <v>298</v>
      </c>
      <c r="B144" s="68" t="inlineStr">
        <is>
          <t>QUINTANA ROO</t>
        </is>
      </c>
      <c r="C144" s="69" t="inlineStr">
        <is>
          <t>Sistema de digitalización de imágenes, marca Fujifilm, modelo Digitalizador: FCR Capsula XLII (CR-IR 359)</t>
        </is>
      </c>
      <c r="D144" s="68" t="inlineStr">
        <is>
          <t>46770608</t>
        </is>
      </c>
      <c r="E144" s="69" t="inlineStr">
        <is>
          <t>H.M.Z. Chetumal</t>
        </is>
      </c>
      <c r="F144" s="95" t="inlineStr">
        <is>
          <t>Servicio de mantenimiento integral para: Sistema de digitalización de imágenes, marca Fujifilm, modelo Digitalizador: FCR Capsula XLII (CR-IR 359) , serie 46770608; ubicado en H.M.Z. Chetumal, Q. Roo.
Consistente en 1 evento de mantenimiento preventivo por semestre y todos los mantenimientos correctivos que se requieran para mantener, conservar y/o recuperar la operatividad del equipo al 100% durante el periodo de cobertura.</t>
        </is>
      </c>
      <c r="G144" s="79" t="n">
        <v>1</v>
      </c>
      <c r="H144" s="79" t="n">
        <v>2</v>
      </c>
      <c r="I144" s="291" t="n">
        <v>100000</v>
      </c>
      <c r="J144" s="291">
        <f>I144</f>
        <v/>
      </c>
      <c r="K144" s="291">
        <f>J144</f>
        <v/>
      </c>
      <c r="L144" s="291">
        <f>SUM(I144:K144)</f>
        <v/>
      </c>
      <c r="M144" s="291">
        <f>L144*0.16</f>
        <v/>
      </c>
      <c r="N144" s="291">
        <f>SUM(L144:M144)</f>
        <v/>
      </c>
      <c r="O144" s="296" t="n">
        <v>220000</v>
      </c>
      <c r="P144" s="296">
        <f>G144*O144</f>
        <v/>
      </c>
      <c r="Q144" s="296">
        <f>H144*O144</f>
        <v/>
      </c>
      <c r="R144" s="296">
        <f>SUM(P144:Q144)</f>
        <v/>
      </c>
      <c r="S144" s="296">
        <f>R144*$S$9</f>
        <v/>
      </c>
      <c r="T144" s="296">
        <f>SUM(R144:S144)</f>
        <v/>
      </c>
      <c r="U144" s="78" t="inlineStr">
        <is>
          <t>IMAGEN</t>
        </is>
      </c>
      <c r="V144" s="85" t="n"/>
      <c r="W144" s="83" t="inlineStr">
        <is>
          <t>ADJUDICADO</t>
        </is>
      </c>
      <c r="X144" s="5" t="inlineStr">
        <is>
          <t>PROYECTADO</t>
        </is>
      </c>
    </row>
    <row r="145" ht="28.2" customHeight="1" s="227">
      <c r="A145" s="92" t="n">
        <v>301</v>
      </c>
      <c r="B145" s="68" t="inlineStr">
        <is>
          <t>CDMX</t>
        </is>
      </c>
      <c r="C145" s="69" t="inlineStr">
        <is>
          <t>Rayos X fijo, marca Osko, modelo XR5</t>
        </is>
      </c>
      <c r="D145" s="68" t="inlineStr">
        <is>
          <t>XRC1094990MX</t>
        </is>
      </c>
      <c r="E145" s="69" t="inlineStr">
        <is>
          <t>Subcentro de Evaluación Médica, Campo Militar 1-A</t>
        </is>
      </c>
      <c r="F145" s="95" t="inlineStr">
        <is>
          <t>Servicio de mantenimiento integral para: Rayos X fijo, marca Osko, modelo XR5, serie XRC1094990MX;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5" s="79" t="n">
        <v>1</v>
      </c>
      <c r="H145" s="79" t="n">
        <v>2</v>
      </c>
      <c r="I145" s="291" t="n"/>
      <c r="J145" s="291">
        <f>I145</f>
        <v/>
      </c>
      <c r="K145" s="291">
        <f>J145</f>
        <v/>
      </c>
      <c r="L145" s="291" t="n"/>
      <c r="M145" s="291" t="n"/>
      <c r="N145" s="291" t="n"/>
      <c r="O145" s="296" t="n">
        <v>220000</v>
      </c>
      <c r="P145" s="296">
        <f>G145*O145</f>
        <v/>
      </c>
      <c r="Q145" s="296">
        <f>H145*O145</f>
        <v/>
      </c>
      <c r="R145" s="296">
        <f>SUM(P145:Q145)</f>
        <v/>
      </c>
      <c r="S145" s="296">
        <f>R145*$S$9</f>
        <v/>
      </c>
      <c r="T145" s="296">
        <f>SUM(R145:S145)</f>
        <v/>
      </c>
      <c r="U145" s="78" t="inlineStr">
        <is>
          <t>IMAGEN</t>
        </is>
      </c>
      <c r="V145" s="85" t="n"/>
      <c r="W145" s="103" t="inlineStr">
        <is>
          <t>ADJUDICADO</t>
        </is>
      </c>
      <c r="X145" s="5" t="inlineStr">
        <is>
          <t>NO PROYECTADO</t>
        </is>
      </c>
    </row>
    <row r="146" ht="28.2" customHeight="1" s="227">
      <c r="A146" s="92" t="n">
        <v>302</v>
      </c>
      <c r="B146" s="68" t="inlineStr">
        <is>
          <t>CDMX</t>
        </is>
      </c>
      <c r="C146" s="69" t="inlineStr">
        <is>
          <t>Rayos X fijo, marca Osko, modelo XR5</t>
        </is>
      </c>
      <c r="D146" s="68" t="inlineStr">
        <is>
          <t>XRC1095095MX</t>
        </is>
      </c>
      <c r="E146" s="69" t="inlineStr">
        <is>
          <t>Subcentro de Evaluación Médica, Campo Militar 1-A</t>
        </is>
      </c>
      <c r="F146" s="95" t="inlineStr">
        <is>
          <t>Servicio de mantenimiento integral para: Rayos X fijo, marca Osko, modelo XR5, serie XRC1095095MX;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6" s="79" t="n">
        <v>1</v>
      </c>
      <c r="H146" s="79" t="n">
        <v>2</v>
      </c>
      <c r="I146" s="291" t="n"/>
      <c r="J146" s="291">
        <f>I146</f>
        <v/>
      </c>
      <c r="K146" s="291">
        <f>J146</f>
        <v/>
      </c>
      <c r="L146" s="291" t="n"/>
      <c r="M146" s="291" t="n"/>
      <c r="N146" s="291" t="n"/>
      <c r="O146" s="296" t="n">
        <v>220000</v>
      </c>
      <c r="P146" s="296">
        <f>G146*O146</f>
        <v/>
      </c>
      <c r="Q146" s="296">
        <f>H146*O146</f>
        <v/>
      </c>
      <c r="R146" s="296">
        <f>SUM(P146:Q146)</f>
        <v/>
      </c>
      <c r="S146" s="296">
        <f>R146*$S$9</f>
        <v/>
      </c>
      <c r="T146" s="296">
        <f>SUM(R146:S146)</f>
        <v/>
      </c>
      <c r="U146" s="78" t="inlineStr">
        <is>
          <t>IMAGEN</t>
        </is>
      </c>
      <c r="V146" s="85" t="n"/>
      <c r="W146" s="103" t="inlineStr">
        <is>
          <t>ADJUDICADO</t>
        </is>
      </c>
      <c r="X146" s="5" t="inlineStr">
        <is>
          <t>NO PROYECTADO</t>
        </is>
      </c>
    </row>
    <row r="147" ht="28.2" customHeight="1" s="227">
      <c r="A147" s="92" t="n">
        <v>303</v>
      </c>
      <c r="B147" s="68" t="inlineStr">
        <is>
          <t>CDMX</t>
        </is>
      </c>
      <c r="C147" s="69" t="inlineStr">
        <is>
          <t>Rayos X fijo, marca Osko, modelo XR5</t>
        </is>
      </c>
      <c r="D147" s="68" t="inlineStr">
        <is>
          <t>XRC1094988MX</t>
        </is>
      </c>
      <c r="E147" s="69" t="inlineStr">
        <is>
          <t>Subcentro de Evaluación Médica, Campo Militar 1-A</t>
        </is>
      </c>
      <c r="F147" s="95" t="inlineStr">
        <is>
          <t>Servicio de mantenimiento integral para: Rayos X fijo, marca Osko, modelo XR5, serie XRC1094988MX;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7" s="79" t="n">
        <v>1</v>
      </c>
      <c r="H147" s="79" t="n">
        <v>2</v>
      </c>
      <c r="I147" s="291" t="n"/>
      <c r="J147" s="291">
        <f>I147</f>
        <v/>
      </c>
      <c r="K147" s="291">
        <f>J147</f>
        <v/>
      </c>
      <c r="L147" s="291" t="n"/>
      <c r="M147" s="291" t="n"/>
      <c r="N147" s="291" t="n"/>
      <c r="O147" s="296" t="n">
        <v>220000</v>
      </c>
      <c r="P147" s="296">
        <f>G147*O147</f>
        <v/>
      </c>
      <c r="Q147" s="296">
        <f>H147*O147</f>
        <v/>
      </c>
      <c r="R147" s="296">
        <f>SUM(P147:Q147)</f>
        <v/>
      </c>
      <c r="S147" s="296">
        <f>R147*$S$9</f>
        <v/>
      </c>
      <c r="T147" s="296">
        <f>SUM(R147:S147)</f>
        <v/>
      </c>
      <c r="U147" s="78" t="inlineStr">
        <is>
          <t>IMAGEN</t>
        </is>
      </c>
      <c r="V147" s="85" t="n"/>
      <c r="W147" s="103" t="inlineStr">
        <is>
          <t>ADJUDICADO</t>
        </is>
      </c>
      <c r="X147" s="5" t="inlineStr">
        <is>
          <t>NO PROYECTADO</t>
        </is>
      </c>
    </row>
    <row r="148" ht="28.2" customHeight="1" s="227">
      <c r="A148" s="86" t="n">
        <v>304</v>
      </c>
      <c r="B148" s="68" t="inlineStr">
        <is>
          <t>CDMX</t>
        </is>
      </c>
      <c r="C148" s="69" t="inlineStr">
        <is>
          <t>Impresora para placas radiográficas, marca Fujifilm, modelo Drypix 8000</t>
        </is>
      </c>
      <c r="D148" s="68" t="inlineStr">
        <is>
          <t>17130510</t>
        </is>
      </c>
      <c r="E148" s="69" t="inlineStr">
        <is>
          <t>Subcentro de Evaluación Médica, Campo Militar 1-A</t>
        </is>
      </c>
      <c r="F148" s="95" t="inlineStr">
        <is>
          <t>Servicio de mantenimiento integral para: Impresora para placas radiográficas, marca Fujifilm, modelo Drypix 8000, serie 17130510;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8" s="79" t="n">
        <v>1</v>
      </c>
      <c r="H148" s="79" t="n">
        <v>2</v>
      </c>
      <c r="I148" s="291" t="n">
        <v>100000</v>
      </c>
      <c r="J148" s="291">
        <f>I148</f>
        <v/>
      </c>
      <c r="K148" s="291">
        <f>J148</f>
        <v/>
      </c>
      <c r="L148" s="291">
        <f>SUM(I148:K148)</f>
        <v/>
      </c>
      <c r="M148" s="291">
        <f>L148*0.16</f>
        <v/>
      </c>
      <c r="N148" s="291">
        <f>SUM(L148:M148)</f>
        <v/>
      </c>
      <c r="O148" s="296" t="n">
        <v>220000</v>
      </c>
      <c r="P148" s="296">
        <f>G148*O148</f>
        <v/>
      </c>
      <c r="Q148" s="296">
        <f>H148*O148</f>
        <v/>
      </c>
      <c r="R148" s="296">
        <f>SUM(P148:Q148)</f>
        <v/>
      </c>
      <c r="S148" s="296">
        <f>R148*$S$9</f>
        <v/>
      </c>
      <c r="T148" s="296">
        <f>SUM(R148:S148)</f>
        <v/>
      </c>
      <c r="U148" s="78" t="inlineStr">
        <is>
          <t>IMAGEN</t>
        </is>
      </c>
      <c r="V148" s="85" t="n"/>
      <c r="W148" s="83" t="inlineStr">
        <is>
          <t>ADJUDICADO</t>
        </is>
      </c>
      <c r="X148" s="5" t="inlineStr">
        <is>
          <t>PROYECTADO</t>
        </is>
      </c>
    </row>
    <row r="149" ht="28.2" customHeight="1" s="227">
      <c r="A149" s="86" t="n">
        <v>305</v>
      </c>
      <c r="B149" s="68" t="inlineStr">
        <is>
          <t>CDMX</t>
        </is>
      </c>
      <c r="C149" s="69" t="inlineStr">
        <is>
          <t>Impresora para placas radiográficas, marca Fujifilm, modelo Drypix 8000</t>
        </is>
      </c>
      <c r="D149" s="68" t="inlineStr">
        <is>
          <t>17130513</t>
        </is>
      </c>
      <c r="E149" s="69" t="inlineStr">
        <is>
          <t>Subcentro de Evaluación Médica, Campo Militar 1-A</t>
        </is>
      </c>
      <c r="F149" s="95" t="inlineStr">
        <is>
          <t>Servicio de mantenimiento integral para: Impresora para placas radiográficas, marca Fujifilm, modelo Drypix 8000, serie 17130513;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9" s="79" t="n">
        <v>1</v>
      </c>
      <c r="H149" s="79" t="n">
        <v>2</v>
      </c>
      <c r="I149" s="291" t="n">
        <v>100000</v>
      </c>
      <c r="J149" s="291">
        <f>I149</f>
        <v/>
      </c>
      <c r="K149" s="291">
        <f>J149</f>
        <v/>
      </c>
      <c r="L149" s="291">
        <f>SUM(I149:K149)</f>
        <v/>
      </c>
      <c r="M149" s="291">
        <f>L149*0.16</f>
        <v/>
      </c>
      <c r="N149" s="291">
        <f>SUM(L149:M149)</f>
        <v/>
      </c>
      <c r="O149" s="296" t="n">
        <v>220000</v>
      </c>
      <c r="P149" s="296">
        <f>G149*O149</f>
        <v/>
      </c>
      <c r="Q149" s="296">
        <f>H149*O149</f>
        <v/>
      </c>
      <c r="R149" s="296">
        <f>SUM(P149:Q149)</f>
        <v/>
      </c>
      <c r="S149" s="296">
        <f>R149*$S$9</f>
        <v/>
      </c>
      <c r="T149" s="296">
        <f>SUM(R149:S149)</f>
        <v/>
      </c>
      <c r="U149" s="78" t="inlineStr">
        <is>
          <t>IMAGEN</t>
        </is>
      </c>
      <c r="V149" s="85" t="n"/>
      <c r="W149" s="83" t="inlineStr">
        <is>
          <t>ADJUDICADO</t>
        </is>
      </c>
      <c r="X149" s="5" t="inlineStr">
        <is>
          <t>PROYECTADO</t>
        </is>
      </c>
    </row>
    <row r="150" ht="28.2" customHeight="1" s="227">
      <c r="A150" s="86" t="n">
        <v>306</v>
      </c>
      <c r="B150" s="68" t="inlineStr">
        <is>
          <t>CDMX</t>
        </is>
      </c>
      <c r="C150" s="69" t="inlineStr">
        <is>
          <t>Impresora para placas radiográficas, marca Fujifilm, modelo Drypix 8000</t>
        </is>
      </c>
      <c r="D150" s="68" t="inlineStr">
        <is>
          <t>17130554</t>
        </is>
      </c>
      <c r="E150" s="69" t="inlineStr">
        <is>
          <t>Subcentro de Evaluación Médica, Campo Militar 1-A</t>
        </is>
      </c>
      <c r="F150" s="95" t="inlineStr">
        <is>
          <t>Servicio de mantenimiento integral para: Impresora para placas radiográficas, marca Fujifilm, modelo Drypix 8000, serie 17130554;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50" s="79" t="n">
        <v>1</v>
      </c>
      <c r="H150" s="79" t="n">
        <v>2</v>
      </c>
      <c r="I150" s="291" t="n">
        <v>100000</v>
      </c>
      <c r="J150" s="291">
        <f>I150</f>
        <v/>
      </c>
      <c r="K150" s="291">
        <f>J150</f>
        <v/>
      </c>
      <c r="L150" s="291">
        <f>SUM(I150:K150)</f>
        <v/>
      </c>
      <c r="M150" s="291">
        <f>L150*0.16</f>
        <v/>
      </c>
      <c r="N150" s="291">
        <f>SUM(L150:M150)</f>
        <v/>
      </c>
      <c r="O150" s="296" t="n">
        <v>220000</v>
      </c>
      <c r="P150" s="296">
        <f>G150*O150</f>
        <v/>
      </c>
      <c r="Q150" s="296">
        <f>H150*O150</f>
        <v/>
      </c>
      <c r="R150" s="296">
        <f>SUM(P150:Q150)</f>
        <v/>
      </c>
      <c r="S150" s="296">
        <f>R150*$S$9</f>
        <v/>
      </c>
      <c r="T150" s="296">
        <f>SUM(R150:S150)</f>
        <v/>
      </c>
      <c r="U150" s="78" t="inlineStr">
        <is>
          <t>IMAGEN</t>
        </is>
      </c>
      <c r="V150" s="85" t="n"/>
      <c r="W150" s="83" t="inlineStr">
        <is>
          <t>ADJUDICADO</t>
        </is>
      </c>
      <c r="X150" s="5" t="inlineStr">
        <is>
          <t>PROYECTADO</t>
        </is>
      </c>
    </row>
    <row r="151" ht="28.2" customHeight="1" s="227">
      <c r="A151" s="86" t="n">
        <v>307</v>
      </c>
      <c r="B151" s="68" t="inlineStr">
        <is>
          <t>CDMX</t>
        </is>
      </c>
      <c r="C151" s="69" t="inlineStr">
        <is>
          <t>Cámara de Scheimpflug, marca Oculus, modelo Pentacam HR</t>
        </is>
      </c>
      <c r="D151" s="68" t="inlineStr">
        <is>
          <t>70900 2455 1210</t>
        </is>
      </c>
      <c r="E151" s="69" t="inlineStr">
        <is>
          <t>Subcentro de Evaluación Médica, Campo Militar 1-A</t>
        </is>
      </c>
      <c r="F151" s="95" t="inlineStr">
        <is>
          <t>Servicio de mantenimiento integral para: Cámara de Scheimpflug, marca Oculus, modelo Pentacam HR, serie 70900 2455 1210;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51" s="79" t="n">
        <v>1</v>
      </c>
      <c r="H151" s="79" t="n">
        <v>2</v>
      </c>
      <c r="I151" s="291" t="n">
        <v>50000</v>
      </c>
      <c r="J151" s="291">
        <f>I151</f>
        <v/>
      </c>
      <c r="K151" s="291">
        <f>J151</f>
        <v/>
      </c>
      <c r="L151" s="291">
        <f>SUM(I151:K151)</f>
        <v/>
      </c>
      <c r="M151" s="291">
        <f>L151*0.16</f>
        <v/>
      </c>
      <c r="N151" s="291">
        <f>SUM(L151:M151)</f>
        <v/>
      </c>
      <c r="O151" s="296" t="n">
        <v>150000</v>
      </c>
      <c r="P151" s="296">
        <f>G151*O151</f>
        <v/>
      </c>
      <c r="Q151" s="296">
        <f>H151*O151</f>
        <v/>
      </c>
      <c r="R151" s="296">
        <f>SUM(P151:Q151)</f>
        <v/>
      </c>
      <c r="S151" s="296">
        <f>R151*$S$9</f>
        <v/>
      </c>
      <c r="T151" s="296">
        <f>SUM(R151:S151)</f>
        <v/>
      </c>
      <c r="U151" s="78" t="inlineStr">
        <is>
          <t>OFTALMO</t>
        </is>
      </c>
      <c r="V151" s="81" t="inlineStr">
        <is>
          <t>CYAN</t>
        </is>
      </c>
      <c r="W151" s="83" t="inlineStr">
        <is>
          <t>ADJUDICADO</t>
        </is>
      </c>
      <c r="X151" s="5" t="inlineStr">
        <is>
          <t>PROYECTADO</t>
        </is>
      </c>
    </row>
    <row r="152" ht="28.2" customHeight="1" s="227">
      <c r="A152" s="92" t="n">
        <v>309</v>
      </c>
      <c r="B152" s="68" t="inlineStr">
        <is>
          <t>BAJA CALIFORNIA</t>
        </is>
      </c>
      <c r="C152" s="69" t="inlineStr">
        <is>
          <t>Equipo de rayos X móvil, marca Technix, modelo TMS 320</t>
        </is>
      </c>
      <c r="D152" s="68" t="inlineStr">
        <is>
          <t>80-16-82-153</t>
        </is>
      </c>
      <c r="E152" s="69" t="inlineStr">
        <is>
          <t>H.M.R. La Paz</t>
        </is>
      </c>
      <c r="F152" s="95" t="inlineStr">
        <is>
          <t>Servicio de mantenimiento integral para: Equipo de rayos X móvil, marca Technix, modelo TMS 320, serie 80-16-82-153;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52" s="79" t="n">
        <v>1</v>
      </c>
      <c r="H152" s="79" t="n">
        <v>2</v>
      </c>
      <c r="I152" s="291" t="n"/>
      <c r="J152" s="291">
        <f>I152</f>
        <v/>
      </c>
      <c r="K152" s="291">
        <f>J152</f>
        <v/>
      </c>
      <c r="L152" s="291" t="n"/>
      <c r="M152" s="291" t="n"/>
      <c r="N152" s="291" t="n"/>
      <c r="O152" s="296" t="n">
        <v>300000</v>
      </c>
      <c r="P152" s="296">
        <f>G152*O152</f>
        <v/>
      </c>
      <c r="Q152" s="296">
        <f>H152*O152</f>
        <v/>
      </c>
      <c r="R152" s="296">
        <f>SUM(P152:Q152)</f>
        <v/>
      </c>
      <c r="S152" s="296">
        <f>R152*$S$9</f>
        <v/>
      </c>
      <c r="T152" s="296">
        <f>SUM(R152:S152)</f>
        <v/>
      </c>
      <c r="U152" s="78" t="inlineStr">
        <is>
          <t>IMAGEN</t>
        </is>
      </c>
      <c r="V152" s="85" t="n"/>
      <c r="W152" s="103" t="inlineStr">
        <is>
          <t>ADJUDICADO</t>
        </is>
      </c>
      <c r="X152" s="5" t="inlineStr">
        <is>
          <t>NO PROYECTADO</t>
        </is>
      </c>
      <c r="Y152" s="5" t="inlineStr">
        <is>
          <t>SOBREPRECIO ADJUDICADO</t>
        </is>
      </c>
    </row>
    <row r="153" ht="28.2" customHeight="1" s="227">
      <c r="A153" s="86" t="n">
        <v>310</v>
      </c>
      <c r="B153" s="68" t="inlineStr">
        <is>
          <t>BAJA CALIFORNIA</t>
        </is>
      </c>
      <c r="C153" s="69" t="inlineStr">
        <is>
          <t>Fotocoagulador láser , marca Quantel Medical, modelo Supra Scan</t>
        </is>
      </c>
      <c r="D153" s="68" t="inlineStr">
        <is>
          <t>454</t>
        </is>
      </c>
      <c r="E153" s="69" t="inlineStr">
        <is>
          <t>H.M.R. La Paz</t>
        </is>
      </c>
      <c r="F153" s="95" t="inlineStr">
        <is>
          <t>Servicio de mantenimiento integral para: Fotocoagulador láser , marca Quantel Medical, modelo Supra Scan, serie 454;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53" s="79" t="n">
        <v>1</v>
      </c>
      <c r="H153" s="79" t="n">
        <v>2</v>
      </c>
      <c r="I153" s="291" t="n">
        <v>55000</v>
      </c>
      <c r="J153" s="291">
        <f>I153</f>
        <v/>
      </c>
      <c r="K153" s="291">
        <f>J153</f>
        <v/>
      </c>
      <c r="L153" s="291">
        <f>SUM(I153:K153)</f>
        <v/>
      </c>
      <c r="M153" s="291">
        <f>L153*0.16</f>
        <v/>
      </c>
      <c r="N153" s="291">
        <f>SUM(L153:M153)</f>
        <v/>
      </c>
      <c r="O153" s="296" t="n">
        <v>180000</v>
      </c>
      <c r="P153" s="296">
        <f>G153*O153</f>
        <v/>
      </c>
      <c r="Q153" s="296">
        <f>H153*O153</f>
        <v/>
      </c>
      <c r="R153" s="296">
        <f>SUM(P153:Q153)</f>
        <v/>
      </c>
      <c r="S153" s="296">
        <f>R153*$S$9</f>
        <v/>
      </c>
      <c r="T153" s="296">
        <f>SUM(R153:S153)</f>
        <v/>
      </c>
      <c r="U153" s="78" t="inlineStr">
        <is>
          <t>OFTALMO</t>
        </is>
      </c>
      <c r="V153" s="81" t="inlineStr">
        <is>
          <t>ARFAMEX</t>
        </is>
      </c>
      <c r="W153" s="83" t="inlineStr">
        <is>
          <t>ADJUDICADO</t>
        </is>
      </c>
      <c r="X153" s="5" t="inlineStr">
        <is>
          <t>PROYECTADO</t>
        </is>
      </c>
    </row>
    <row r="154" ht="28.2" customHeight="1" s="227">
      <c r="A154" s="92" t="n">
        <v>313</v>
      </c>
      <c r="B154" s="68" t="inlineStr">
        <is>
          <t>SINALOA</t>
        </is>
      </c>
      <c r="C154" s="69" t="inlineStr">
        <is>
          <t>Rayos X móvil, marca Villa Sistemi Medicali, modelo Visitor T30 M-DR</t>
        </is>
      </c>
      <c r="D154" s="68" t="inlineStr">
        <is>
          <t>14-11-1038</t>
        </is>
      </c>
      <c r="E154" s="69" t="inlineStr">
        <is>
          <t>H.M.R.E. Mazatlán</t>
        </is>
      </c>
      <c r="F154" s="95" t="inlineStr">
        <is>
          <t>Servicio de mantenimiento integral para: Rayos X móvil, marca Villa Sistemi Medicali, modelo Visitor T30 M-DR, serie 14-11-1038;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54" s="79" t="n">
        <v>1</v>
      </c>
      <c r="H154" s="79" t="n">
        <v>2</v>
      </c>
      <c r="I154" s="291" t="n"/>
      <c r="J154" s="291">
        <f>I154</f>
        <v/>
      </c>
      <c r="K154" s="291">
        <f>J154</f>
        <v/>
      </c>
      <c r="L154" s="291" t="n"/>
      <c r="M154" s="291" t="n"/>
      <c r="N154" s="291" t="n"/>
      <c r="O154" s="296" t="n">
        <v>300000</v>
      </c>
      <c r="P154" s="296">
        <f>G154*O154</f>
        <v/>
      </c>
      <c r="Q154" s="296">
        <f>H154*O154</f>
        <v/>
      </c>
      <c r="R154" s="296">
        <f>SUM(P154:Q154)</f>
        <v/>
      </c>
      <c r="S154" s="296">
        <f>R154*$S$9</f>
        <v/>
      </c>
      <c r="T154" s="296">
        <f>SUM(R154:S154)</f>
        <v/>
      </c>
      <c r="U154" s="78" t="inlineStr">
        <is>
          <t>IMAGEN</t>
        </is>
      </c>
      <c r="V154" s="85" t="n"/>
      <c r="W154" s="103" t="inlineStr">
        <is>
          <t>ADJUDICADO</t>
        </is>
      </c>
      <c r="X154" s="5" t="inlineStr">
        <is>
          <t>NO PROYECTADO</t>
        </is>
      </c>
      <c r="Y154" s="5" t="inlineStr">
        <is>
          <t>SOBREPRECIO ADJUDICADO</t>
        </is>
      </c>
    </row>
    <row r="155" ht="28.2" customHeight="1" s="227">
      <c r="A155" s="92" t="n">
        <v>314</v>
      </c>
      <c r="B155" s="68" t="inlineStr">
        <is>
          <t>PUEBLA</t>
        </is>
      </c>
      <c r="C155" s="69" t="inlineStr">
        <is>
          <t>Equipo de rayos X móvil, marca Technix, modelo TMS 320</t>
        </is>
      </c>
      <c r="D155" s="68" t="inlineStr">
        <is>
          <t>80-16-101-172</t>
        </is>
      </c>
      <c r="E155" s="69" t="inlineStr">
        <is>
          <t>H.M.R. Puebla</t>
        </is>
      </c>
      <c r="F155" s="95" t="inlineStr">
        <is>
          <t>Servicio de mantenimiento integral para: Equipo de rayos X móvil, marca Technix, modelo TMS 320, serie 80-16-101-172;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G155" s="79" t="n">
        <v>1</v>
      </c>
      <c r="H155" s="79" t="n">
        <v>2</v>
      </c>
      <c r="I155" s="291" t="n"/>
      <c r="J155" s="291">
        <f>I155</f>
        <v/>
      </c>
      <c r="K155" s="291">
        <f>J155</f>
        <v/>
      </c>
      <c r="L155" s="291" t="n"/>
      <c r="M155" s="291" t="n"/>
      <c r="N155" s="291" t="n"/>
      <c r="O155" s="296" t="n">
        <v>220000</v>
      </c>
      <c r="P155" s="296">
        <f>G155*O155</f>
        <v/>
      </c>
      <c r="Q155" s="296">
        <f>H155*O155</f>
        <v/>
      </c>
      <c r="R155" s="296">
        <f>SUM(P155:Q155)</f>
        <v/>
      </c>
      <c r="S155" s="296">
        <f>R155*$S$9</f>
        <v/>
      </c>
      <c r="T155" s="296">
        <f>SUM(R155:S155)</f>
        <v/>
      </c>
      <c r="U155" s="78" t="inlineStr">
        <is>
          <t>IMAGEN</t>
        </is>
      </c>
      <c r="V155" s="85" t="n"/>
      <c r="W155" s="103" t="inlineStr">
        <is>
          <t>ADJUDICADO</t>
        </is>
      </c>
      <c r="X155" s="5" t="inlineStr">
        <is>
          <t>NO PROYECTADO</t>
        </is>
      </c>
    </row>
    <row r="156" ht="28.2" customHeight="1" s="227">
      <c r="A156" s="92" t="n">
        <v>316</v>
      </c>
      <c r="B156" s="68" t="inlineStr">
        <is>
          <t>PUEBLA</t>
        </is>
      </c>
      <c r="C156" s="69" t="inlineStr">
        <is>
          <t>Equipo de rayos X móvil, marca Mindray, modelo MobiEye 700</t>
        </is>
      </c>
      <c r="D156" s="68" t="inlineStr">
        <is>
          <t>C8-05002378T</t>
        </is>
      </c>
      <c r="E156" s="69" t="inlineStr">
        <is>
          <t>H.M.R. Puebla</t>
        </is>
      </c>
      <c r="F156" s="95" t="inlineStr">
        <is>
          <t>Servicio de mantenimiento integral para: Equipo de rayos X móvil, marca Mindray, modelo MobiEye 700, serie C8-05002378T;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G156" s="79" t="n">
        <v>1</v>
      </c>
      <c r="H156" s="79" t="n">
        <v>2</v>
      </c>
      <c r="I156" s="291" t="n"/>
      <c r="J156" s="291">
        <f>I156</f>
        <v/>
      </c>
      <c r="K156" s="291">
        <f>J156</f>
        <v/>
      </c>
      <c r="L156" s="291" t="n"/>
      <c r="M156" s="291" t="n"/>
      <c r="N156" s="291" t="n"/>
      <c r="O156" s="296" t="n">
        <v>220000</v>
      </c>
      <c r="P156" s="296">
        <f>G156*O156</f>
        <v/>
      </c>
      <c r="Q156" s="296">
        <f>H156*O156</f>
        <v/>
      </c>
      <c r="R156" s="296">
        <f>SUM(P156:Q156)</f>
        <v/>
      </c>
      <c r="S156" s="296">
        <f>R156*$S$9</f>
        <v/>
      </c>
      <c r="T156" s="296">
        <f>SUM(R156:S156)</f>
        <v/>
      </c>
      <c r="U156" s="78" t="inlineStr">
        <is>
          <t>IMAGEN</t>
        </is>
      </c>
      <c r="V156" s="85" t="n"/>
      <c r="W156" s="103" t="inlineStr">
        <is>
          <t>ADJUDICADO</t>
        </is>
      </c>
      <c r="X156" s="5" t="inlineStr">
        <is>
          <t>NO PROYECTADO</t>
        </is>
      </c>
    </row>
    <row r="157" ht="28.2" customHeight="1" s="227">
      <c r="A157" s="86" t="n">
        <v>319</v>
      </c>
      <c r="B157" s="68" t="inlineStr">
        <is>
          <t>CDMX</t>
        </is>
      </c>
      <c r="C157" s="69" t="inlineStr">
        <is>
          <t>Arco en C, marca Ziehm Imaging, modelo Vision R</t>
        </is>
      </c>
      <c r="D157" s="68" t="inlineStr">
        <is>
          <t>10705</t>
        </is>
      </c>
      <c r="E157" s="69" t="inlineStr">
        <is>
          <t>H.M.Z. Campo Militar No. 1-A</t>
        </is>
      </c>
      <c r="F157" s="95" t="inlineStr">
        <is>
          <t>Servicio de mantenimiento integral para: Arco en C, marca Ziehm Imaging, modelo Vision R, serie 10705; ubicado en H.M.Z. Campo Militar No. 1-A, Cd. de Méx.
Consistente en 1 evento de mantenimiento preventivo por semestre y todos los mantenimientos correctivos que se requieran para mantener, conservar y/o recuperar la operatividad del equipo al 100% durante el periodo de cobertura.</t>
        </is>
      </c>
      <c r="G157" s="79" t="n">
        <v>1</v>
      </c>
      <c r="H157" s="79" t="n">
        <v>2</v>
      </c>
      <c r="I157" s="291" t="n">
        <v>100000</v>
      </c>
      <c r="J157" s="291">
        <f>I157</f>
        <v/>
      </c>
      <c r="K157" s="291">
        <f>J157</f>
        <v/>
      </c>
      <c r="L157" s="291">
        <f>SUM(I157:K157)</f>
        <v/>
      </c>
      <c r="M157" s="291">
        <f>L157*0.16</f>
        <v/>
      </c>
      <c r="N157" s="291">
        <f>SUM(L157:M157)</f>
        <v/>
      </c>
      <c r="O157" s="296" t="n">
        <v>220000</v>
      </c>
      <c r="P157" s="296">
        <f>G157*O157</f>
        <v/>
      </c>
      <c r="Q157" s="296">
        <f>H157*O157</f>
        <v/>
      </c>
      <c r="R157" s="296">
        <f>SUM(P157:Q157)</f>
        <v/>
      </c>
      <c r="S157" s="296">
        <f>R157*$S$9</f>
        <v/>
      </c>
      <c r="T157" s="296">
        <f>SUM(R157:S157)</f>
        <v/>
      </c>
      <c r="U157" s="78" t="inlineStr">
        <is>
          <t>IMAGEN</t>
        </is>
      </c>
      <c r="V157" s="85" t="n"/>
      <c r="W157" s="83" t="inlineStr">
        <is>
          <t>ADJUDICADO</t>
        </is>
      </c>
      <c r="X157" s="5" t="inlineStr">
        <is>
          <t>PROYECTADO</t>
        </is>
      </c>
    </row>
    <row r="158" ht="28.2" customHeight="1" s="227">
      <c r="A158" s="86" t="n">
        <v>321</v>
      </c>
      <c r="B158" s="68" t="inlineStr">
        <is>
          <t>JALISCO</t>
        </is>
      </c>
      <c r="C158" s="69" t="inlineStr">
        <is>
          <t>Microscopio quirúrgico oftalmológico, marca Leica, modelo M822 F40</t>
        </is>
      </c>
      <c r="D158" s="68" t="inlineStr">
        <is>
          <t>160219002</t>
        </is>
      </c>
      <c r="E158" s="69" t="inlineStr">
        <is>
          <t>H.M.Z. Zapopan</t>
        </is>
      </c>
      <c r="F158" s="95" t="inlineStr">
        <is>
          <t>Servicio de mantenimiento integral para: Microscopio quirúrgico oftalmológico, marca Leica, modelo M822 F40, serie 160219002;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158" s="79" t="n">
        <v>1</v>
      </c>
      <c r="H158" s="79" t="n">
        <v>2</v>
      </c>
      <c r="I158" s="291" t="n">
        <v>250000</v>
      </c>
      <c r="J158" s="291">
        <f>I158</f>
        <v/>
      </c>
      <c r="K158" s="291">
        <f>J158</f>
        <v/>
      </c>
      <c r="L158" s="291">
        <f>SUM(I158:K158)</f>
        <v/>
      </c>
      <c r="M158" s="291">
        <f>L158*0.16</f>
        <v/>
      </c>
      <c r="N158" s="291">
        <f>SUM(L158:M158)</f>
        <v/>
      </c>
      <c r="O158" s="296" t="n">
        <v>160000</v>
      </c>
      <c r="P158" s="296">
        <f>G158*O158</f>
        <v/>
      </c>
      <c r="Q158" s="296">
        <f>H158*O158</f>
        <v/>
      </c>
      <c r="R158" s="296">
        <f>SUM(P158:Q158)</f>
        <v/>
      </c>
      <c r="S158" s="296">
        <f>R158*$S$9</f>
        <v/>
      </c>
      <c r="T158" s="296">
        <f>SUM(R158:S158)</f>
        <v/>
      </c>
      <c r="U158" s="78" t="inlineStr">
        <is>
          <t>OFTALMO</t>
        </is>
      </c>
      <c r="V158" s="81" t="inlineStr">
        <is>
          <t>COINDISA</t>
        </is>
      </c>
      <c r="W158" s="83" t="inlineStr">
        <is>
          <t>ADJUDICADO</t>
        </is>
      </c>
      <c r="X158" s="5" t="inlineStr">
        <is>
          <t>PROYECTADO</t>
        </is>
      </c>
    </row>
    <row r="159" ht="28.2" customHeight="1" s="227">
      <c r="A159" s="92" t="n">
        <v>335</v>
      </c>
      <c r="B159" s="68" t="inlineStr">
        <is>
          <t>CDMX</t>
        </is>
      </c>
      <c r="C159" s="69" t="inlineStr">
        <is>
          <t>Rayos X móvil, marca Philips, modelo MobileDiagnost wDR Release 2</t>
        </is>
      </c>
      <c r="D159" s="68" t="inlineStr">
        <is>
          <t>15100252</t>
        </is>
      </c>
      <c r="E159" s="69" t="inlineStr">
        <is>
          <t>H.M.E.M. Y N. Lomas de Sotelo</t>
        </is>
      </c>
      <c r="F159" s="95" t="inlineStr">
        <is>
          <t>Servicio de mantenimiento integral para: Rayos X móvil, marca Philips, modelo MobileDiagnost wDR Release 2, serie 15100252;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59" s="79" t="n">
        <v>1</v>
      </c>
      <c r="H159" s="79" t="n">
        <v>2</v>
      </c>
      <c r="I159" s="291" t="n"/>
      <c r="J159" s="291">
        <f>I159</f>
        <v/>
      </c>
      <c r="K159" s="291">
        <f>J159</f>
        <v/>
      </c>
      <c r="L159" s="291" t="n"/>
      <c r="M159" s="291" t="n"/>
      <c r="N159" s="291" t="n"/>
      <c r="O159" s="296" t="n">
        <v>220000</v>
      </c>
      <c r="P159" s="296">
        <f>G159*O159</f>
        <v/>
      </c>
      <c r="Q159" s="296">
        <f>H159*O159</f>
        <v/>
      </c>
      <c r="R159" s="296">
        <f>SUM(P159:Q159)</f>
        <v/>
      </c>
      <c r="S159" s="296">
        <f>R159*$S$9</f>
        <v/>
      </c>
      <c r="T159" s="296">
        <f>SUM(R159:S159)</f>
        <v/>
      </c>
      <c r="U159" s="78" t="inlineStr">
        <is>
          <t>IMAGEN</t>
        </is>
      </c>
      <c r="V159" s="85" t="n"/>
      <c r="W159" s="103" t="inlineStr">
        <is>
          <t>ADJUDICADO</t>
        </is>
      </c>
      <c r="X159" s="5" t="inlineStr">
        <is>
          <t>NO PROYECTADO</t>
        </is>
      </c>
    </row>
    <row r="160" ht="28.2" customHeight="1" s="227">
      <c r="A160" s="92" t="n">
        <v>336</v>
      </c>
      <c r="B160" s="68" t="inlineStr">
        <is>
          <t>NUEVO LEON</t>
        </is>
      </c>
      <c r="C160" s="69" t="inlineStr">
        <is>
          <t>Rayos X móvil, marca Philips, modelo MobileDiagnost wDR Release 2</t>
        </is>
      </c>
      <c r="D160" s="68" t="inlineStr">
        <is>
          <t>16200158</t>
        </is>
      </c>
      <c r="E160" s="69" t="inlineStr">
        <is>
          <t>H.M.R.E. Monterrey</t>
        </is>
      </c>
      <c r="F160" s="95" t="inlineStr">
        <is>
          <t>Servicio de mantenimiento integral para: Rayos X móvil, marca Philips, modelo MobileDiagnost wDR Release 2, serie 16200158;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60" s="79" t="n">
        <v>1</v>
      </c>
      <c r="H160" s="79" t="n">
        <v>2</v>
      </c>
      <c r="I160" s="291" t="n"/>
      <c r="J160" s="291">
        <f>I160</f>
        <v/>
      </c>
      <c r="K160" s="291">
        <f>J160</f>
        <v/>
      </c>
      <c r="L160" s="291" t="n"/>
      <c r="M160" s="291" t="n"/>
      <c r="N160" s="291" t="n"/>
      <c r="O160" s="296" t="n">
        <v>300000</v>
      </c>
      <c r="P160" s="296">
        <f>G160*O160</f>
        <v/>
      </c>
      <c r="Q160" s="296">
        <f>H160*O160</f>
        <v/>
      </c>
      <c r="R160" s="296">
        <f>SUM(P160:Q160)</f>
        <v/>
      </c>
      <c r="S160" s="296">
        <f>R160*$S$9</f>
        <v/>
      </c>
      <c r="T160" s="296">
        <f>SUM(R160:S160)</f>
        <v/>
      </c>
      <c r="U160" s="78" t="inlineStr">
        <is>
          <t>IMAGEN</t>
        </is>
      </c>
      <c r="V160" s="85" t="n"/>
      <c r="W160" s="103" t="inlineStr">
        <is>
          <t>ADJUDICADO</t>
        </is>
      </c>
      <c r="X160" s="5" t="inlineStr">
        <is>
          <t>NO PROYECTADO</t>
        </is>
      </c>
    </row>
    <row r="161" ht="28.2" customHeight="1" s="227">
      <c r="A161" s="86" t="n">
        <v>338</v>
      </c>
      <c r="B161" s="68" t="inlineStr">
        <is>
          <t>CDMX</t>
        </is>
      </c>
      <c r="C161" s="69" t="inlineStr">
        <is>
          <t>Láser de femtosegundo, marca Alcon, modelo LenSx</t>
        </is>
      </c>
      <c r="D161" s="68" t="inlineStr">
        <is>
          <t>2102004501X</t>
        </is>
      </c>
      <c r="E161" s="69" t="inlineStr">
        <is>
          <t>H.M.E.O. Constituyentes</t>
        </is>
      </c>
      <c r="F161" s="95" t="inlineStr">
        <is>
          <t>Servicio de mantenimiento integral para: Láser de femtosegundo, marca Alcon, modelo LenSx, serie 2102004501X;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61" s="79" t="n">
        <v>1</v>
      </c>
      <c r="H161" s="79" t="n">
        <v>2</v>
      </c>
      <c r="I161" s="291" t="n">
        <v>280000</v>
      </c>
      <c r="J161" s="291">
        <f>I161</f>
        <v/>
      </c>
      <c r="K161" s="291">
        <f>J161</f>
        <v/>
      </c>
      <c r="L161" s="291">
        <f>SUM(I161:K161)</f>
        <v/>
      </c>
      <c r="M161" s="291">
        <f>L161*0.16</f>
        <v/>
      </c>
      <c r="N161" s="291">
        <f>SUM(L161:M161)</f>
        <v/>
      </c>
      <c r="O161" s="296" t="n">
        <v>390000</v>
      </c>
      <c r="P161" s="296">
        <f>G161*O161</f>
        <v/>
      </c>
      <c r="Q161" s="296">
        <f>H161*O161</f>
        <v/>
      </c>
      <c r="R161" s="296">
        <f>SUM(P161:Q161)</f>
        <v/>
      </c>
      <c r="S161" s="296">
        <f>R161*$S$9</f>
        <v/>
      </c>
      <c r="T161" s="296">
        <f>SUM(R161:S161)</f>
        <v/>
      </c>
      <c r="U161" s="78" t="inlineStr">
        <is>
          <t>OFTALMO</t>
        </is>
      </c>
      <c r="V161" s="81" t="inlineStr">
        <is>
          <t>ALCON</t>
        </is>
      </c>
      <c r="W161" s="83" t="inlineStr">
        <is>
          <t>ADJUDICADO</t>
        </is>
      </c>
      <c r="X161" s="5" t="inlineStr">
        <is>
          <t>PROYECTADO</t>
        </is>
      </c>
    </row>
    <row r="162" ht="28.2" customHeight="1" s="227">
      <c r="A162" s="86" t="n">
        <v>351</v>
      </c>
      <c r="B162" s="68" t="inlineStr">
        <is>
          <t>CDMX</t>
        </is>
      </c>
      <c r="C162" s="69" t="inlineStr">
        <is>
          <t>Sistema de diagnóstico oftálmico avanzado, marca Nidek, modelo OPD-Scan III</t>
        </is>
      </c>
      <c r="D162" s="68" t="inlineStr">
        <is>
          <t>470023</t>
        </is>
      </c>
      <c r="E162" s="69" t="inlineStr">
        <is>
          <t>H.M.E.O. Constituyentes</t>
        </is>
      </c>
      <c r="F162" s="95" t="inlineStr">
        <is>
          <t>Servicio de mantenimiento integral para: Sistema de diagnóstico oftálmico avanzado, marca Nidek, modelo OPD-Scan III, serie 470023;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62" s="79" t="n">
        <v>1</v>
      </c>
      <c r="H162" s="79" t="n">
        <v>2</v>
      </c>
      <c r="I162" s="291" t="n">
        <v>40000</v>
      </c>
      <c r="J162" s="291">
        <f>I162</f>
        <v/>
      </c>
      <c r="K162" s="291">
        <f>J162</f>
        <v/>
      </c>
      <c r="L162" s="291">
        <f>SUM(I162:K162)</f>
        <v/>
      </c>
      <c r="M162" s="291">
        <f>L162*0.16</f>
        <v/>
      </c>
      <c r="N162" s="291">
        <f>SUM(L162:M162)</f>
        <v/>
      </c>
      <c r="O162" s="296" t="n">
        <v>150000</v>
      </c>
      <c r="P162" s="296">
        <f>G162*O162</f>
        <v/>
      </c>
      <c r="Q162" s="296">
        <f>H162*O162</f>
        <v/>
      </c>
      <c r="R162" s="296">
        <f>SUM(P162:Q162)</f>
        <v/>
      </c>
      <c r="S162" s="296">
        <f>R162*$S$9</f>
        <v/>
      </c>
      <c r="T162" s="296">
        <f>SUM(R162:S162)</f>
        <v/>
      </c>
      <c r="U162" s="78" t="inlineStr">
        <is>
          <t>OFTALMO</t>
        </is>
      </c>
      <c r="V162" s="81" t="inlineStr">
        <is>
          <t>S4</t>
        </is>
      </c>
      <c r="W162" s="83" t="inlineStr">
        <is>
          <t>ADJUDICADO</t>
        </is>
      </c>
      <c r="X162" s="5" t="inlineStr">
        <is>
          <t>PROYECTADO</t>
        </is>
      </c>
    </row>
    <row r="163" ht="28.2" customHeight="1" s="227">
      <c r="A163" s="92" t="n">
        <v>353</v>
      </c>
      <c r="B163" s="68" t="inlineStr">
        <is>
          <t>CDMX</t>
        </is>
      </c>
      <c r="C163" s="69" t="inlineStr">
        <is>
          <t>Rayos X portátil, marca Carestream, modelo DRX Revolution</t>
        </is>
      </c>
      <c r="D163" s="68" t="inlineStr">
        <is>
          <t>21F0363</t>
        </is>
      </c>
      <c r="E163" s="69" t="inlineStr">
        <is>
          <t>U.M.C.E. Tlalpan</t>
        </is>
      </c>
      <c r="F163" s="95" t="inlineStr">
        <is>
          <t>Servicio de mantenimiento integral para: Rayos X portátil, marca Carestream, modelo DRX Revolution, serie 21F0363; ubicado en U.M.C.E. Tlalpan,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63" s="79" t="n">
        <v>1</v>
      </c>
      <c r="H163" s="81" t="n">
        <v>2</v>
      </c>
      <c r="I163" s="291" t="n"/>
      <c r="J163" s="291">
        <f>I163</f>
        <v/>
      </c>
      <c r="K163" s="291">
        <f>J163</f>
        <v/>
      </c>
      <c r="L163" s="291" t="n"/>
      <c r="M163" s="291" t="n"/>
      <c r="N163" s="291" t="n"/>
      <c r="O163" s="296" t="n">
        <v>250000</v>
      </c>
      <c r="P163" s="296">
        <f>G163*O163</f>
        <v/>
      </c>
      <c r="Q163" s="296">
        <f>H163*O163</f>
        <v/>
      </c>
      <c r="R163" s="296">
        <f>SUM(P163:Q163)</f>
        <v/>
      </c>
      <c r="S163" s="296">
        <f>R163*$S$9</f>
        <v/>
      </c>
      <c r="T163" s="296">
        <f>SUM(R163:S163)</f>
        <v/>
      </c>
      <c r="U163" s="78" t="inlineStr">
        <is>
          <t>IMAGEN</t>
        </is>
      </c>
      <c r="V163" s="85" t="n"/>
      <c r="W163" s="103" t="inlineStr">
        <is>
          <t>ADJUDICADO</t>
        </is>
      </c>
      <c r="X163" s="5" t="inlineStr">
        <is>
          <t>NO PROYECTADO</t>
        </is>
      </c>
    </row>
    <row r="164" ht="28.2" customHeight="1" s="227">
      <c r="A164" s="92" t="n">
        <v>354</v>
      </c>
      <c r="B164" s="68" t="inlineStr">
        <is>
          <t>TAMAULIPAS</t>
        </is>
      </c>
      <c r="C164" s="69" t="inlineStr">
        <is>
          <t>Rayos X portátil, marca Carestream, modelo DRX Revolution</t>
        </is>
      </c>
      <c r="D164" s="68" t="inlineStr">
        <is>
          <t>MM00296</t>
        </is>
      </c>
      <c r="E164" s="69" t="inlineStr">
        <is>
          <t>U.M.C.E. Reynosa</t>
        </is>
      </c>
      <c r="F164" s="95" t="inlineStr">
        <is>
          <t>Servicio de mantenimiento integral para: Rayos X portátil, marca Carestream, modelo DRX Revolution, serie MM00296;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G164" s="79" t="n">
        <v>1</v>
      </c>
      <c r="H164" s="81" t="n">
        <v>2</v>
      </c>
      <c r="I164" s="291" t="n"/>
      <c r="J164" s="291">
        <f>I164</f>
        <v/>
      </c>
      <c r="K164" s="291">
        <f>J164</f>
        <v/>
      </c>
      <c r="L164" s="291" t="n"/>
      <c r="M164" s="291" t="n"/>
      <c r="N164" s="291" t="n"/>
      <c r="O164" s="296" t="n">
        <v>250000</v>
      </c>
      <c r="P164" s="296">
        <f>G164*O164</f>
        <v/>
      </c>
      <c r="Q164" s="296">
        <f>H164*O164</f>
        <v/>
      </c>
      <c r="R164" s="296">
        <f>SUM(P164:Q164)</f>
        <v/>
      </c>
      <c r="S164" s="296">
        <f>R164*$S$9</f>
        <v/>
      </c>
      <c r="T164" s="296">
        <f>SUM(R164:S164)</f>
        <v/>
      </c>
      <c r="U164" s="78" t="inlineStr">
        <is>
          <t>IMAGEN</t>
        </is>
      </c>
      <c r="V164" s="85" t="n"/>
      <c r="W164" s="91" t="inlineStr">
        <is>
          <t>NO ADJUDICADO</t>
        </is>
      </c>
      <c r="X164" s="5" t="inlineStr">
        <is>
          <t>PROYECTADO</t>
        </is>
      </c>
    </row>
    <row r="165" ht="28.2" customHeight="1" s="227">
      <c r="A165" s="92" t="n">
        <v>355</v>
      </c>
      <c r="B165" s="68" t="inlineStr">
        <is>
          <t>OAXACA</t>
        </is>
      </c>
      <c r="C165" s="69" t="inlineStr">
        <is>
          <t>Sistema de digitalización de imágenes, marca Carestream, modelo Digitalizador: Direct</t>
        </is>
      </c>
      <c r="D165" s="68" t="inlineStr">
        <is>
          <t>Pendiente</t>
        </is>
      </c>
      <c r="E165" s="69" t="inlineStr">
        <is>
          <t>H.M.Z. Ixcotel</t>
        </is>
      </c>
      <c r="F165" s="95" t="inlineStr">
        <is>
          <t>Servicio de mantenimiento integral para: Sistema de digitalización de imágenes, marca Carestream, modelo Digitalizador: Direct, serie Pendiente;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65" s="79" t="n">
        <v>1</v>
      </c>
      <c r="H165" s="81" t="n">
        <v>2</v>
      </c>
      <c r="I165" s="291" t="n"/>
      <c r="J165" s="291">
        <f>I165</f>
        <v/>
      </c>
      <c r="K165" s="291">
        <f>J165</f>
        <v/>
      </c>
      <c r="L165" s="291" t="n"/>
      <c r="M165" s="291" t="n"/>
      <c r="N165" s="291" t="n"/>
      <c r="O165" s="296" t="n">
        <v>225000</v>
      </c>
      <c r="P165" s="296">
        <f>G165*O165</f>
        <v/>
      </c>
      <c r="Q165" s="296">
        <f>H165*O165</f>
        <v/>
      </c>
      <c r="R165" s="296">
        <f>SUM(P165:Q165)</f>
        <v/>
      </c>
      <c r="S165" s="296">
        <f>R165*$S$9</f>
        <v/>
      </c>
      <c r="T165" s="296">
        <f>SUM(R165:S165)</f>
        <v/>
      </c>
      <c r="U165" s="78" t="inlineStr">
        <is>
          <t>IMAGEN</t>
        </is>
      </c>
      <c r="V165" s="85" t="n"/>
      <c r="W165" s="91" t="inlineStr">
        <is>
          <t>NO ADJUDICADO</t>
        </is>
      </c>
      <c r="X165" s="5" t="inlineStr">
        <is>
          <t>PROYECTADO</t>
        </is>
      </c>
    </row>
    <row r="166" ht="28.2" customHeight="1" s="227">
      <c r="A166" s="92" t="n">
        <v>356</v>
      </c>
      <c r="B166" s="68" t="inlineStr">
        <is>
          <t>SINALOA</t>
        </is>
      </c>
      <c r="C166" s="69" t="inlineStr">
        <is>
          <t>Microscopio, marca Carl Zeiss, modelo OPMI</t>
        </is>
      </c>
      <c r="D166" s="68" t="inlineStr">
        <is>
          <t>6628503641</t>
        </is>
      </c>
      <c r="E166" s="69" t="inlineStr">
        <is>
          <t>H.M.R.E. Mazatlán</t>
        </is>
      </c>
      <c r="F166" s="95" t="inlineStr">
        <is>
          <t>Servicio de mantenimiento integral para: Microscopio, marca Carl Zeiss, modelo OPMI, serie 6628503641;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66" s="79" t="n">
        <v>1</v>
      </c>
      <c r="H166" s="81" t="n">
        <v>2</v>
      </c>
      <c r="I166" s="291" t="inlineStr">
        <is>
          <t>NO</t>
        </is>
      </c>
      <c r="J166" s="291">
        <f>I166</f>
        <v/>
      </c>
      <c r="K166" s="291">
        <f>J166</f>
        <v/>
      </c>
      <c r="L166" s="291" t="n"/>
      <c r="M166" s="291" t="n"/>
      <c r="N166" s="291" t="n"/>
      <c r="O166" s="296" t="n">
        <v>250000</v>
      </c>
      <c r="P166" s="296">
        <f>G166*O166</f>
        <v/>
      </c>
      <c r="Q166" s="296">
        <f>H166*O166</f>
        <v/>
      </c>
      <c r="R166" s="296">
        <f>SUM(P166:Q166)</f>
        <v/>
      </c>
      <c r="S166" s="296">
        <f>R166*$S$9</f>
        <v/>
      </c>
      <c r="T166" s="296">
        <f>SUM(R166:S166)</f>
        <v/>
      </c>
      <c r="U166" s="78" t="inlineStr">
        <is>
          <t>OFTALMO</t>
        </is>
      </c>
      <c r="V166" s="81" t="inlineStr">
        <is>
          <t>ZEISS</t>
        </is>
      </c>
      <c r="W166" s="91" t="inlineStr">
        <is>
          <t>NO ADJUDICADO</t>
        </is>
      </c>
      <c r="X166" s="5" t="inlineStr">
        <is>
          <t>PROYECTADO</t>
        </is>
      </c>
    </row>
    <row r="167" ht="28.2" customHeight="1" s="227">
      <c r="A167" s="86" t="n">
        <v>357</v>
      </c>
      <c r="B167" s="68" t="inlineStr">
        <is>
          <t>NUEVO LEON</t>
        </is>
      </c>
      <c r="C167" s="69" t="inlineStr">
        <is>
          <t>Topógrafo corneal, marca Zeiss, modelo Atlas 9000</t>
        </is>
      </c>
      <c r="D167" s="68" t="inlineStr">
        <is>
          <t>9000-2972</t>
        </is>
      </c>
      <c r="E167" s="69" t="inlineStr">
        <is>
          <t>H.M.R.E. Monterrey</t>
        </is>
      </c>
      <c r="F167" s="95" t="inlineStr">
        <is>
          <t>Servicio de mantenimiento integral para: Topógrafo corneal, marca Zeiss, modelo Atlas 9000, serie 9000-2972;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67" s="79" t="n">
        <v>1</v>
      </c>
      <c r="H167" s="81" t="n">
        <v>2</v>
      </c>
      <c r="I167" s="291" t="n">
        <v>130000</v>
      </c>
      <c r="J167" s="291">
        <f>I167</f>
        <v/>
      </c>
      <c r="K167" s="291">
        <f>J167</f>
        <v/>
      </c>
      <c r="L167" s="291">
        <f>SUM(I167:K167)</f>
        <v/>
      </c>
      <c r="M167" s="291">
        <f>L167*0.16</f>
        <v/>
      </c>
      <c r="N167" s="291">
        <f>SUM(L167:M167)</f>
        <v/>
      </c>
      <c r="O167" s="296" t="n">
        <v>270000</v>
      </c>
      <c r="P167" s="296">
        <f>G167*O167</f>
        <v/>
      </c>
      <c r="Q167" s="296">
        <f>H167*O167</f>
        <v/>
      </c>
      <c r="R167" s="296">
        <f>SUM(P167:Q167)</f>
        <v/>
      </c>
      <c r="S167" s="296">
        <f>R167*$S$9</f>
        <v/>
      </c>
      <c r="T167" s="296">
        <f>SUM(R167:S167)</f>
        <v/>
      </c>
      <c r="U167" s="78" t="inlineStr">
        <is>
          <t>OFTALMO</t>
        </is>
      </c>
      <c r="V167" s="81" t="inlineStr">
        <is>
          <t>ZEISS</t>
        </is>
      </c>
      <c r="W167" s="83" t="inlineStr">
        <is>
          <t>ADJUDICADO</t>
        </is>
      </c>
      <c r="X167" s="5" t="inlineStr">
        <is>
          <t>PROYECTADO</t>
        </is>
      </c>
    </row>
    <row r="168" ht="28.2" customHeight="1" s="227">
      <c r="A168" s="86" t="n">
        <v>358</v>
      </c>
      <c r="B168" s="68" t="inlineStr">
        <is>
          <t>JALISCO</t>
        </is>
      </c>
      <c r="C168" s="69" t="inlineStr">
        <is>
          <t>Microscopio, marca Carl Zeiss, modelo OPMI Visu 160</t>
        </is>
      </c>
      <c r="D168" s="68" t="inlineStr">
        <is>
          <t>6213404030</t>
        </is>
      </c>
      <c r="E168" s="69" t="inlineStr">
        <is>
          <t>H.M.R.E. Guadalajara</t>
        </is>
      </c>
      <c r="F168" s="95" t="inlineStr">
        <is>
          <t>Servicio de mantenimiento integral para: Microscopio, marca Carl Zeiss, modelo OPMI Visu 160, serie 6213404030;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68" s="79" t="n">
        <v>1</v>
      </c>
      <c r="H168" s="81" t="n">
        <v>2</v>
      </c>
      <c r="I168" s="291" t="n">
        <v>30000</v>
      </c>
      <c r="J168" s="291">
        <f>I168</f>
        <v/>
      </c>
      <c r="K168" s="291">
        <f>J168</f>
        <v/>
      </c>
      <c r="L168" s="291">
        <f>SUM(I168:K168)</f>
        <v/>
      </c>
      <c r="M168" s="291">
        <f>L168*0.16</f>
        <v/>
      </c>
      <c r="N168" s="291">
        <f>SUM(L168:M168)</f>
        <v/>
      </c>
      <c r="O168" s="296" t="n">
        <v>55000</v>
      </c>
      <c r="P168" s="296">
        <f>G168*O168</f>
        <v/>
      </c>
      <c r="Q168" s="296">
        <f>H168*O168</f>
        <v/>
      </c>
      <c r="R168" s="296">
        <f>SUM(P168:Q168)</f>
        <v/>
      </c>
      <c r="S168" s="296">
        <f>R168*$S$9</f>
        <v/>
      </c>
      <c r="T168" s="296">
        <f>SUM(R168:S168)</f>
        <v/>
      </c>
      <c r="U168" s="78" t="inlineStr">
        <is>
          <t>OFTALMO</t>
        </is>
      </c>
      <c r="V168" s="81" t="inlineStr">
        <is>
          <t>ZEISS</t>
        </is>
      </c>
      <c r="W168" s="83" t="inlineStr">
        <is>
          <t>ADJUDICADO</t>
        </is>
      </c>
      <c r="X168" s="5" t="inlineStr">
        <is>
          <t>PROYECTADO</t>
        </is>
      </c>
    </row>
    <row r="169" ht="28.2" customHeight="1" s="227">
      <c r="A169" s="92" t="n">
        <v>359</v>
      </c>
      <c r="B169" s="68" t="inlineStr">
        <is>
          <t>EDO DE MEX</t>
        </is>
      </c>
      <c r="C169" s="69" t="inlineStr">
        <is>
          <t>Campímetro, marca Carl Zeiss, modelo Humphrey 750</t>
        </is>
      </c>
      <c r="D169" s="68" t="inlineStr">
        <is>
          <t>11974</t>
        </is>
      </c>
      <c r="E169" s="69" t="inlineStr">
        <is>
          <t>H.M.R. Santa Lucía</t>
        </is>
      </c>
      <c r="F169" s="95" t="inlineStr">
        <is>
          <t>Servicio de mantenimiento integral para: Campímetro, marca Carl Zeiss, modelo Humphrey 750, serie 11974;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69" s="79" t="n">
        <v>1</v>
      </c>
      <c r="H169" s="81" t="n">
        <v>2</v>
      </c>
      <c r="I169" s="291" t="inlineStr">
        <is>
          <t>NO</t>
        </is>
      </c>
      <c r="J169" s="291">
        <f>I169</f>
        <v/>
      </c>
      <c r="K169" s="291">
        <f>J169</f>
        <v/>
      </c>
      <c r="L169" s="291" t="n"/>
      <c r="M169" s="291" t="n"/>
      <c r="N169" s="291" t="n"/>
      <c r="O169" s="296" t="n">
        <v>250000</v>
      </c>
      <c r="P169" s="296">
        <f>G169*O169</f>
        <v/>
      </c>
      <c r="Q169" s="296">
        <f>H169*O169</f>
        <v/>
      </c>
      <c r="R169" s="296">
        <f>SUM(P169:Q169)</f>
        <v/>
      </c>
      <c r="S169" s="296">
        <f>R169*$S$9</f>
        <v/>
      </c>
      <c r="T169" s="296">
        <f>SUM(R169:S169)</f>
        <v/>
      </c>
      <c r="U169" s="78" t="inlineStr">
        <is>
          <t>OFTALMO</t>
        </is>
      </c>
      <c r="V169" s="81" t="inlineStr">
        <is>
          <t>ZEISS</t>
        </is>
      </c>
      <c r="W169" s="91" t="inlineStr">
        <is>
          <t>NO ADJUDICADO</t>
        </is>
      </c>
      <c r="X169" s="5" t="inlineStr">
        <is>
          <t>PROYECTADO</t>
        </is>
      </c>
    </row>
    <row r="170" ht="28.2" customHeight="1" s="227">
      <c r="A170" s="92" t="n">
        <v>360</v>
      </c>
      <c r="B170" s="68" t="inlineStr">
        <is>
          <t>CHIAPAS</t>
        </is>
      </c>
      <c r="C170" s="69" t="inlineStr">
        <is>
          <t>Campímetro, marca Carl Zeiss Meditec, modelo Humphrey Matrix 800</t>
        </is>
      </c>
      <c r="D170" s="68" t="inlineStr">
        <is>
          <t>56000002990</t>
        </is>
      </c>
      <c r="E170" s="69" t="inlineStr">
        <is>
          <t>H.M.R. Tuxtla Gutiérrez</t>
        </is>
      </c>
      <c r="F170" s="95" t="inlineStr">
        <is>
          <t>Servicio de mantenimiento integral para: Campímetro, marca Carl Zeiss Meditec, modelo Humphrey Matrix 800, serie 56000002990;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70" s="79" t="n">
        <v>1</v>
      </c>
      <c r="H170" s="81" t="n">
        <v>2</v>
      </c>
      <c r="I170" s="291" t="inlineStr">
        <is>
          <t>NO</t>
        </is>
      </c>
      <c r="J170" s="291">
        <f>I170</f>
        <v/>
      </c>
      <c r="K170" s="291">
        <f>J170</f>
        <v/>
      </c>
      <c r="L170" s="291" t="n"/>
      <c r="M170" s="291" t="n"/>
      <c r="N170" s="291" t="n"/>
      <c r="O170" s="296" t="n">
        <v>250000</v>
      </c>
      <c r="P170" s="296">
        <f>G170*O170</f>
        <v/>
      </c>
      <c r="Q170" s="296">
        <f>H170*O170</f>
        <v/>
      </c>
      <c r="R170" s="296">
        <f>SUM(P170:Q170)</f>
        <v/>
      </c>
      <c r="S170" s="296">
        <f>R170*$S$9</f>
        <v/>
      </c>
      <c r="T170" s="296">
        <f>SUM(R170:S170)</f>
        <v/>
      </c>
      <c r="U170" s="78" t="inlineStr">
        <is>
          <t>OFTALMO</t>
        </is>
      </c>
      <c r="V170" s="81" t="inlineStr">
        <is>
          <t>ZEISS</t>
        </is>
      </c>
      <c r="W170" s="91" t="inlineStr">
        <is>
          <t>NO ADJUDICADO</t>
        </is>
      </c>
      <c r="X170" s="5" t="inlineStr">
        <is>
          <t>PROYECTADO</t>
        </is>
      </c>
    </row>
    <row r="171" ht="28.2" customHeight="1" s="227">
      <c r="A171" s="92" t="n">
        <v>361</v>
      </c>
      <c r="B171" s="68" t="inlineStr">
        <is>
          <t>CHIAPAS</t>
        </is>
      </c>
      <c r="C171" s="69" t="inlineStr">
        <is>
          <t>Microscopio , marca Carl Zeiss, modelo OPMI Visu 160</t>
        </is>
      </c>
      <c r="D171" s="68" t="inlineStr">
        <is>
          <t>6629120864</t>
        </is>
      </c>
      <c r="E171" s="69" t="inlineStr">
        <is>
          <t>H.M.R. Tuxtla Gutiérrez</t>
        </is>
      </c>
      <c r="F171" s="95" t="inlineStr">
        <is>
          <t>Servicio de mantenimiento integral para: Microscopio , marca Carl Zeiss, modelo OPMI Visu 160, serie 6629120864;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71" s="79" t="n">
        <v>1</v>
      </c>
      <c r="H171" s="81" t="n">
        <v>2</v>
      </c>
      <c r="I171" s="291" t="inlineStr">
        <is>
          <t>NO</t>
        </is>
      </c>
      <c r="J171" s="291">
        <f>I171</f>
        <v/>
      </c>
      <c r="K171" s="291">
        <f>J171</f>
        <v/>
      </c>
      <c r="L171" s="291" t="n"/>
      <c r="M171" s="291" t="n"/>
      <c r="N171" s="291" t="n"/>
      <c r="O171" s="296" t="n">
        <v>250000</v>
      </c>
      <c r="P171" s="296">
        <f>G171*O171</f>
        <v/>
      </c>
      <c r="Q171" s="296">
        <f>H171*O171</f>
        <v/>
      </c>
      <c r="R171" s="296">
        <f>SUM(P171:Q171)</f>
        <v/>
      </c>
      <c r="S171" s="296">
        <f>R171*$S$9</f>
        <v/>
      </c>
      <c r="T171" s="296">
        <f>SUM(R171:S171)</f>
        <v/>
      </c>
      <c r="U171" s="78" t="inlineStr">
        <is>
          <t>OFTALMO</t>
        </is>
      </c>
      <c r="V171" s="81" t="inlineStr">
        <is>
          <t>ZEISS</t>
        </is>
      </c>
      <c r="W171" s="91" t="inlineStr">
        <is>
          <t>NO ADJUDICADO</t>
        </is>
      </c>
      <c r="X171" s="5" t="inlineStr">
        <is>
          <t>PROYECTADO</t>
        </is>
      </c>
    </row>
    <row r="172" ht="28.2" customHeight="1" s="227">
      <c r="A172" s="92" t="n">
        <v>362</v>
      </c>
      <c r="B172" s="68" t="inlineStr">
        <is>
          <t>BAJA CALIFORNIA</t>
        </is>
      </c>
      <c r="C172" s="69" t="inlineStr">
        <is>
          <t>Microscopio, marca Carl Zeiss, modelo OPMI Visu 210</t>
        </is>
      </c>
      <c r="D172" s="68" t="inlineStr">
        <is>
          <t>662950</t>
        </is>
      </c>
      <c r="E172" s="69" t="inlineStr">
        <is>
          <t>H.M.R. La Paz</t>
        </is>
      </c>
      <c r="F172" s="95" t="inlineStr">
        <is>
          <t>Servicio de mantenimiento integral para: Microscopio, marca Carl Zeiss, modelo OPMI Visu 210, serie 662950;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72" s="79" t="n">
        <v>1</v>
      </c>
      <c r="H172" s="81" t="n">
        <v>2</v>
      </c>
      <c r="I172" s="291" t="inlineStr">
        <is>
          <t>NO</t>
        </is>
      </c>
      <c r="J172" s="291">
        <f>I172</f>
        <v/>
      </c>
      <c r="K172" s="291">
        <f>J172</f>
        <v/>
      </c>
      <c r="L172" s="291" t="n"/>
      <c r="M172" s="291" t="n"/>
      <c r="N172" s="291" t="n"/>
      <c r="O172" s="296" t="n">
        <v>250000</v>
      </c>
      <c r="P172" s="296">
        <f>G172*O172</f>
        <v/>
      </c>
      <c r="Q172" s="296">
        <f>H172*O172</f>
        <v/>
      </c>
      <c r="R172" s="296">
        <f>SUM(P172:Q172)</f>
        <v/>
      </c>
      <c r="S172" s="296">
        <f>R172*$S$9</f>
        <v/>
      </c>
      <c r="T172" s="296">
        <f>SUM(R172:S172)</f>
        <v/>
      </c>
      <c r="U172" s="78" t="inlineStr">
        <is>
          <t>OFTALMO</t>
        </is>
      </c>
      <c r="V172" s="81" t="inlineStr">
        <is>
          <t>ZEISS</t>
        </is>
      </c>
      <c r="W172" s="91" t="inlineStr">
        <is>
          <t>NO ADJUDICADO</t>
        </is>
      </c>
      <c r="X172" s="5" t="inlineStr">
        <is>
          <t>PROYECTADO</t>
        </is>
      </c>
    </row>
    <row r="173" ht="28.2" customHeight="1" s="227">
      <c r="A173" s="86" t="n">
        <v>363</v>
      </c>
      <c r="B173" s="68" t="inlineStr">
        <is>
          <t>TABASCO</t>
        </is>
      </c>
      <c r="C173" s="69" t="inlineStr">
        <is>
          <t>Campímetro, marca Carl Zeiss Meditec, modelo Humphrey 740I</t>
        </is>
      </c>
      <c r="D173" s="68" t="inlineStr">
        <is>
          <t>740I-14200</t>
        </is>
      </c>
      <c r="E173" s="69" t="inlineStr">
        <is>
          <t>H.M.Z. Villahermosa</t>
        </is>
      </c>
      <c r="F173" s="95" t="inlineStr">
        <is>
          <t>Servicio de mantenimiento integral para: Campímetro, marca Carl Zeiss Meditec, modelo Humphrey 740I, serie 740I-14200; ubicado en H.M.Z. Villahermosa, Tab.
Consistente en 1 evento de mantenimiento preventivo por semestre y todos los mantenimientos correctivos que se requieran para mantener, conservar y/o recuperar la operatividad del equipo al 100% durante el periodo de cobertura.</t>
        </is>
      </c>
      <c r="G173" s="79" t="n">
        <v>1</v>
      </c>
      <c r="H173" s="81" t="n">
        <v>2</v>
      </c>
      <c r="I173" s="291" t="n">
        <v>100000</v>
      </c>
      <c r="J173" s="291">
        <f>I173</f>
        <v/>
      </c>
      <c r="K173" s="291">
        <f>J173</f>
        <v/>
      </c>
      <c r="L173" s="291">
        <f>SUM(I173:K173)</f>
        <v/>
      </c>
      <c r="M173" s="291">
        <f>L173*0.16</f>
        <v/>
      </c>
      <c r="N173" s="291">
        <f>SUM(L173:M173)</f>
        <v/>
      </c>
      <c r="O173" s="296" t="n">
        <v>195000</v>
      </c>
      <c r="P173" s="296">
        <f>G173*O173</f>
        <v/>
      </c>
      <c r="Q173" s="296">
        <f>H173*O173</f>
        <v/>
      </c>
      <c r="R173" s="296">
        <f>SUM(P173:Q173)</f>
        <v/>
      </c>
      <c r="S173" s="296">
        <f>R173*$S$9</f>
        <v/>
      </c>
      <c r="T173" s="296">
        <f>SUM(R173:S173)</f>
        <v/>
      </c>
      <c r="U173" s="78" t="inlineStr">
        <is>
          <t>OFTALMO</t>
        </is>
      </c>
      <c r="V173" s="81" t="inlineStr">
        <is>
          <t>ZEISS</t>
        </is>
      </c>
      <c r="W173" s="83" t="inlineStr">
        <is>
          <t>ADJUDICADO</t>
        </is>
      </c>
      <c r="X173" s="5" t="inlineStr">
        <is>
          <t>PROYECTADO</t>
        </is>
      </c>
    </row>
    <row r="174" ht="28.2" customHeight="1" s="227">
      <c r="A174" s="86" t="n">
        <v>367</v>
      </c>
      <c r="B174" s="68" t="inlineStr">
        <is>
          <t>CHIHUAHUA</t>
        </is>
      </c>
      <c r="C174" s="69" t="inlineStr">
        <is>
          <t>Equipo de rayos X móvil, marca Primax, modelo Raybow dR</t>
        </is>
      </c>
      <c r="D174" s="68" t="inlineStr">
        <is>
          <t>10076715</t>
        </is>
      </c>
      <c r="E174" s="69" t="inlineStr">
        <is>
          <t>H.M.Z. Santa Gertrudis</t>
        </is>
      </c>
      <c r="F174" s="95" t="inlineStr">
        <is>
          <t>Servicio de mantenimiento integral para: Equipo de rayos X móvil, marca Primax, modelo Raybow dR, serie 10076715; ubicado en H.M.Z. Santa Gertrudis, Chih.
Consistente en 1 evento de mantenimiento preventivo por semestre y todos los mantenimientos correctivos que se requieran para mantener, conservar y/o recuperar la operatividad del equipo al 100% durante el periodo de cobertura.</t>
        </is>
      </c>
      <c r="G174" s="79" t="n">
        <v>1</v>
      </c>
      <c r="H174" s="81" t="n">
        <v>2</v>
      </c>
      <c r="I174" s="291" t="n">
        <v>100000</v>
      </c>
      <c r="J174" s="291">
        <f>I174</f>
        <v/>
      </c>
      <c r="K174" s="291">
        <f>J174</f>
        <v/>
      </c>
      <c r="L174" s="291">
        <f>SUM(I174:K174)</f>
        <v/>
      </c>
      <c r="M174" s="291">
        <f>L174*0.16</f>
        <v/>
      </c>
      <c r="N174" s="291">
        <f>SUM(L174:M174)</f>
        <v/>
      </c>
      <c r="O174" s="296" t="n">
        <v>250000</v>
      </c>
      <c r="P174" s="296">
        <f>G174*O174</f>
        <v/>
      </c>
      <c r="Q174" s="296">
        <f>H174*O174</f>
        <v/>
      </c>
      <c r="R174" s="296">
        <f>SUM(P174:Q174)</f>
        <v/>
      </c>
      <c r="S174" s="296">
        <f>R174*$S$9</f>
        <v/>
      </c>
      <c r="T174" s="296">
        <f>SUM(R174:S174)</f>
        <v/>
      </c>
      <c r="U174" s="78" t="inlineStr">
        <is>
          <t>IMAGEN</t>
        </is>
      </c>
      <c r="V174" s="85" t="n"/>
      <c r="W174" s="83" t="inlineStr">
        <is>
          <t>ADJUDICADO</t>
        </is>
      </c>
      <c r="X174" s="5" t="inlineStr">
        <is>
          <t>PROYECTADO</t>
        </is>
      </c>
    </row>
    <row r="175" ht="28.2" customHeight="1" s="227">
      <c r="A175" s="92" t="n">
        <v>368</v>
      </c>
      <c r="B175" s="68" t="inlineStr">
        <is>
          <t>BAJA CALIFORNIA SUR</t>
        </is>
      </c>
      <c r="C175" s="69" t="inlineStr">
        <is>
          <t>Equipo de rayos X móvil, marca Primax Internacional, modelo Raybow dR</t>
        </is>
      </c>
      <c r="D175" s="68" t="inlineStr">
        <is>
          <t>10106715</t>
        </is>
      </c>
      <c r="E175" s="69" t="inlineStr">
        <is>
          <t>H.M.Z. Guerrero Negro</t>
        </is>
      </c>
      <c r="F175" s="95" t="inlineStr">
        <is>
          <t>Servicio de mantenimiento integral para: Equipo de rayos X móvil, marca Primax Internacional, modelo Raybow dR, serie 10106715; ubicado en H.M.Z. Guerrero Negro, B.C.S..
Consistente en 1 evento de mantenimiento preventivo por semestre y todos los mantenimientos correctivos que se requieran para mantener, conservar y/o recuperar la operatividad del equipo al 100% durante el periodo de cobertura.</t>
        </is>
      </c>
      <c r="G175" s="79" t="n">
        <v>1</v>
      </c>
      <c r="H175" s="81" t="n">
        <v>2</v>
      </c>
      <c r="I175" s="291" t="n"/>
      <c r="J175" s="291">
        <f>I175</f>
        <v/>
      </c>
      <c r="K175" s="291">
        <f>J175</f>
        <v/>
      </c>
      <c r="L175" s="291" t="n"/>
      <c r="M175" s="291" t="n"/>
      <c r="N175" s="291" t="n"/>
      <c r="O175" s="296" t="n">
        <v>300000</v>
      </c>
      <c r="P175" s="296">
        <f>G175*O175</f>
        <v/>
      </c>
      <c r="Q175" s="296">
        <f>H175*O175</f>
        <v/>
      </c>
      <c r="R175" s="296">
        <f>SUM(P175:Q175)</f>
        <v/>
      </c>
      <c r="S175" s="296">
        <f>R175*$S$9</f>
        <v/>
      </c>
      <c r="T175" s="296">
        <f>SUM(R175:S175)</f>
        <v/>
      </c>
      <c r="U175" s="78" t="inlineStr">
        <is>
          <t>IMAGEN</t>
        </is>
      </c>
      <c r="V175" s="85" t="n"/>
      <c r="W175" s="91" t="inlineStr">
        <is>
          <t>NO ADJUDICADO</t>
        </is>
      </c>
      <c r="X175" s="5" t="inlineStr">
        <is>
          <t>PROYECTADO</t>
        </is>
      </c>
    </row>
    <row r="176" ht="28.2" customHeight="1" s="227">
      <c r="A176" s="92" t="n">
        <v>369</v>
      </c>
      <c r="B176" s="68" t="inlineStr">
        <is>
          <t>TAMAULIPAS</t>
        </is>
      </c>
      <c r="C176" s="69" t="inlineStr">
        <is>
          <t>Equipo de rayos X móvil, marca Primax, modelo Raybow dR</t>
        </is>
      </c>
      <c r="D176" s="68" t="inlineStr">
        <is>
          <t>10116715</t>
        </is>
      </c>
      <c r="E176" s="69" t="inlineStr">
        <is>
          <t>U.M.C.E. Reynosa</t>
        </is>
      </c>
      <c r="F176" s="95" t="inlineStr">
        <is>
          <t>Servicio de mantenimiento integral para: Equipo de rayos X móvil, marca Primax, modelo Raybow dR, serie 10116715;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G176" s="79" t="n">
        <v>1</v>
      </c>
      <c r="H176" s="81" t="n">
        <v>2</v>
      </c>
      <c r="I176" s="291" t="n"/>
      <c r="J176" s="291">
        <f>I176</f>
        <v/>
      </c>
      <c r="K176" s="291">
        <f>J176</f>
        <v/>
      </c>
      <c r="L176" s="291" t="n"/>
      <c r="M176" s="291" t="n"/>
      <c r="N176" s="291" t="n"/>
      <c r="O176" s="296" t="n">
        <v>300000</v>
      </c>
      <c r="P176" s="296">
        <f>G176*O176</f>
        <v/>
      </c>
      <c r="Q176" s="296">
        <f>H176*O176</f>
        <v/>
      </c>
      <c r="R176" s="296">
        <f>SUM(P176:Q176)</f>
        <v/>
      </c>
      <c r="S176" s="296">
        <f>R176*$S$9</f>
        <v/>
      </c>
      <c r="T176" s="296">
        <f>SUM(R176:S176)</f>
        <v/>
      </c>
      <c r="U176" s="78" t="inlineStr">
        <is>
          <t>IMAGEN</t>
        </is>
      </c>
      <c r="V176" s="85" t="n"/>
      <c r="W176" s="103" t="inlineStr">
        <is>
          <t>ADJUDICADO</t>
        </is>
      </c>
      <c r="X176" s="5" t="inlineStr">
        <is>
          <t>NO PROYECTADO</t>
        </is>
      </c>
    </row>
    <row r="177" ht="124.95" customHeight="1" s="227" thickBot="1">
      <c r="G177" s="32">
        <f>SUM(G14:G176)</f>
        <v/>
      </c>
      <c r="H177" s="89">
        <f>SUM(H14:H176)</f>
        <v/>
      </c>
      <c r="I177" s="291" t="n"/>
      <c r="J177" s="291" t="n"/>
      <c r="K177" s="291" t="n"/>
      <c r="L177" s="297" t="n"/>
      <c r="M177" s="297" t="n"/>
      <c r="N177" s="297" t="n"/>
      <c r="P177" s="294" t="n"/>
      <c r="Q177" s="294" t="n"/>
      <c r="R177" s="298">
        <f>SUM(R14:R176)</f>
        <v/>
      </c>
      <c r="S177" s="298">
        <f>R177*$S$9</f>
        <v/>
      </c>
      <c r="T177" s="298">
        <f>SUM(R177:S177)</f>
        <v/>
      </c>
    </row>
    <row r="178" ht="124.95" customHeight="1" s="227" thickBot="1">
      <c r="G178" s="295">
        <f>SUM(G177:H177)</f>
        <v/>
      </c>
      <c r="H178" s="254" t="n"/>
      <c r="I178" s="267" t="n"/>
      <c r="J178" s="267" t="n"/>
      <c r="K178" s="267" t="n"/>
      <c r="L178" s="99" t="n"/>
      <c r="M178" s="100" t="n"/>
      <c r="N178" s="101" t="n"/>
      <c r="R178" s="99" t="n"/>
      <c r="S178" s="100" t="n"/>
      <c r="T178" s="101" t="n"/>
    </row>
    <row r="179" ht="15.75" customHeight="1" s="227">
      <c r="F179" s="34" t="n"/>
      <c r="I179" s="267" t="n"/>
      <c r="J179" s="267" t="n"/>
      <c r="K179" s="267" t="n"/>
      <c r="L179" s="267" t="n"/>
      <c r="M179" s="267" t="n"/>
      <c r="N179" s="267" t="n"/>
    </row>
    <row r="180" ht="15.75" customHeight="1" s="227">
      <c r="F180" s="6" t="n"/>
      <c r="I180" s="267" t="n"/>
      <c r="J180" s="267" t="n"/>
      <c r="K180" s="267" t="n"/>
      <c r="L180" s="267" t="n"/>
      <c r="M180" s="267" t="n"/>
      <c r="N180" s="267" t="n"/>
    </row>
    <row r="181">
      <c r="I181" s="267" t="n"/>
      <c r="J181" s="267" t="n"/>
      <c r="K181" s="267" t="n"/>
      <c r="L181" s="267" t="n"/>
      <c r="M181" s="267" t="n"/>
      <c r="N181" s="267" t="n"/>
    </row>
    <row r="182" ht="135.75" customHeight="1" s="227">
      <c r="F182" s="35" t="n"/>
      <c r="I182" s="267" t="n"/>
      <c r="J182" s="267" t="n"/>
      <c r="K182" s="267" t="n"/>
      <c r="L182" s="267" t="n"/>
      <c r="M182" s="267" t="n"/>
      <c r="N182" s="267" t="n"/>
    </row>
    <row r="183">
      <c r="I183" s="267" t="n"/>
      <c r="J183" s="267" t="n"/>
      <c r="K183" s="267" t="n"/>
      <c r="L183" s="267" t="n"/>
      <c r="M183" s="267" t="n"/>
      <c r="N183" s="267" t="n"/>
    </row>
    <row r="184">
      <c r="I184" s="267" t="n"/>
      <c r="J184" s="267" t="n"/>
      <c r="K184" s="267" t="n"/>
      <c r="L184" s="267" t="n"/>
      <c r="M184" s="267" t="n"/>
      <c r="N184" s="267" t="n"/>
    </row>
    <row r="185">
      <c r="F185" s="35" t="n"/>
      <c r="I185" s="267" t="n"/>
      <c r="J185" s="267" t="n"/>
      <c r="K185" s="267" t="n"/>
      <c r="L185" s="267" t="n"/>
      <c r="M185" s="267" t="n"/>
      <c r="N185" s="267" t="n"/>
    </row>
    <row r="186">
      <c r="F186" s="35" t="n"/>
      <c r="I186" s="267" t="n"/>
      <c r="J186" s="267" t="n"/>
      <c r="K186" s="267" t="n"/>
      <c r="L186" s="267" t="n"/>
      <c r="M186" s="267" t="n"/>
      <c r="N186" s="267" t="n"/>
    </row>
    <row r="187">
      <c r="I187" s="267" t="n"/>
      <c r="J187" s="267" t="n"/>
      <c r="K187" s="267" t="n"/>
      <c r="L187" s="267" t="n"/>
      <c r="M187" s="267" t="n"/>
      <c r="N187" s="267" t="n"/>
    </row>
    <row r="188">
      <c r="F188" s="36" t="n"/>
      <c r="I188" s="267" t="n"/>
      <c r="J188" s="267" t="n"/>
      <c r="K188" s="267" t="n"/>
      <c r="L188" s="267" t="n"/>
      <c r="M188" s="267" t="n"/>
      <c r="N188" s="267" t="n"/>
    </row>
    <row r="189">
      <c r="F189" s="35" t="n"/>
      <c r="I189" s="267" t="n"/>
      <c r="J189" s="267" t="n"/>
      <c r="K189" s="267" t="n"/>
      <c r="L189" s="267" t="n"/>
      <c r="M189" s="267" t="n"/>
      <c r="N189" s="267" t="n"/>
    </row>
    <row r="190" ht="15.75" customHeight="1" s="227">
      <c r="F190" s="37" t="n"/>
      <c r="I190" s="267" t="n"/>
      <c r="J190" s="267" t="n"/>
      <c r="K190" s="267" t="n"/>
      <c r="L190" s="267" t="n"/>
      <c r="M190" s="267" t="n"/>
      <c r="N190" s="267" t="n"/>
    </row>
    <row r="191">
      <c r="I191" s="267" t="n"/>
      <c r="J191" s="267" t="n"/>
      <c r="K191" s="267" t="n"/>
      <c r="L191" s="267" t="n"/>
      <c r="M191" s="267" t="n"/>
      <c r="N191" s="267" t="n"/>
    </row>
    <row r="192">
      <c r="I192" s="267" t="n"/>
      <c r="J192" s="267" t="n"/>
      <c r="K192" s="267" t="n"/>
      <c r="L192" s="267" t="n"/>
      <c r="M192" s="267" t="n"/>
      <c r="N192" s="267" t="n"/>
    </row>
    <row r="193">
      <c r="I193" s="267" t="n"/>
      <c r="J193" s="267" t="n"/>
      <c r="K193" s="267" t="n"/>
      <c r="L193" s="267" t="n"/>
      <c r="M193" s="267" t="n"/>
      <c r="N193" s="267" t="n"/>
    </row>
    <row r="194">
      <c r="I194" s="267" t="n"/>
      <c r="J194" s="267" t="n"/>
      <c r="K194" s="267" t="n"/>
      <c r="L194" s="267" t="n"/>
      <c r="M194" s="267" t="n"/>
      <c r="N194" s="267" t="n"/>
    </row>
    <row r="195">
      <c r="I195" s="267" t="n"/>
      <c r="J195" s="267" t="n"/>
      <c r="K195" s="267" t="n"/>
      <c r="L195" s="267" t="n"/>
      <c r="M195" s="267" t="n"/>
      <c r="N195" s="267" t="n"/>
    </row>
    <row r="196">
      <c r="I196" s="267" t="n"/>
      <c r="J196" s="267" t="n"/>
      <c r="K196" s="267" t="n"/>
      <c r="L196" s="267" t="n"/>
      <c r="M196" s="267" t="n"/>
      <c r="N196" s="267" t="n"/>
    </row>
    <row r="197">
      <c r="I197" s="267" t="n"/>
      <c r="J197" s="267" t="n"/>
      <c r="K197" s="267" t="n"/>
      <c r="L197" s="267" t="n"/>
      <c r="M197" s="267" t="n"/>
      <c r="N197" s="267" t="n"/>
    </row>
    <row r="198">
      <c r="I198" s="267" t="n"/>
      <c r="J198" s="267" t="n"/>
      <c r="K198" s="267" t="n"/>
      <c r="L198" s="267" t="n"/>
      <c r="M198" s="267" t="n"/>
      <c r="N198" s="267" t="n"/>
    </row>
    <row r="199">
      <c r="I199" s="267" t="n"/>
      <c r="J199" s="267" t="n"/>
      <c r="K199" s="267" t="n"/>
      <c r="L199" s="267" t="n"/>
      <c r="M199" s="267" t="n"/>
      <c r="N199" s="267" t="n"/>
    </row>
    <row r="200">
      <c r="I200" s="267" t="n"/>
      <c r="J200" s="267" t="n"/>
      <c r="K200" s="267" t="n"/>
      <c r="L200" s="267" t="n"/>
      <c r="M200" s="267" t="n"/>
      <c r="N200" s="267" t="n"/>
    </row>
    <row r="201">
      <c r="I201" s="267" t="n"/>
      <c r="J201" s="267" t="n"/>
      <c r="K201" s="267" t="n"/>
      <c r="L201" s="267" t="n"/>
      <c r="M201" s="267" t="n"/>
      <c r="N201" s="267" t="n"/>
    </row>
    <row r="202">
      <c r="I202" s="267" t="n"/>
      <c r="J202" s="267" t="n"/>
      <c r="K202" s="267" t="n"/>
      <c r="L202" s="267" t="n"/>
      <c r="M202" s="267" t="n"/>
      <c r="N202" s="267" t="n"/>
    </row>
    <row r="203">
      <c r="I203" s="267" t="n"/>
      <c r="J203" s="267" t="n"/>
      <c r="K203" s="267" t="n"/>
      <c r="L203" s="267" t="n"/>
      <c r="M203" s="267" t="n"/>
      <c r="N203" s="267" t="n"/>
    </row>
    <row r="204">
      <c r="I204" s="267" t="n"/>
      <c r="J204" s="267" t="n"/>
      <c r="K204" s="267" t="n"/>
      <c r="L204" s="267" t="n"/>
      <c r="M204" s="267" t="n"/>
      <c r="N204" s="267" t="n"/>
    </row>
    <row r="205">
      <c r="I205" s="267" t="n"/>
      <c r="J205" s="267" t="n"/>
      <c r="K205" s="267" t="n"/>
      <c r="L205" s="267" t="n"/>
      <c r="M205" s="267" t="n"/>
      <c r="N205" s="267" t="n"/>
    </row>
    <row r="206">
      <c r="I206" s="267" t="n"/>
      <c r="J206" s="267" t="n"/>
      <c r="K206" s="267" t="n"/>
      <c r="L206" s="267" t="n"/>
      <c r="M206" s="267" t="n"/>
      <c r="N206" s="267" t="n"/>
    </row>
    <row r="207">
      <c r="I207" s="267" t="n"/>
      <c r="J207" s="267" t="n"/>
      <c r="K207" s="267" t="n"/>
      <c r="L207" s="267" t="n"/>
      <c r="M207" s="267" t="n"/>
      <c r="N207" s="267" t="n"/>
    </row>
    <row r="208">
      <c r="I208" s="267" t="n"/>
      <c r="J208" s="267" t="n"/>
      <c r="K208" s="267" t="n"/>
      <c r="L208" s="267" t="n"/>
      <c r="M208" s="267" t="n"/>
      <c r="N208" s="267" t="n"/>
    </row>
    <row r="209">
      <c r="I209" s="267" t="n"/>
      <c r="J209" s="267" t="n"/>
      <c r="K209" s="267" t="n"/>
      <c r="L209" s="267" t="n"/>
      <c r="M209" s="267" t="n"/>
      <c r="N209" s="267" t="n"/>
    </row>
    <row r="210">
      <c r="I210" s="267" t="n"/>
      <c r="J210" s="267" t="n"/>
      <c r="K210" s="267" t="n"/>
      <c r="L210" s="267" t="n"/>
      <c r="M210" s="267" t="n"/>
      <c r="N210" s="267" t="n"/>
    </row>
    <row r="211">
      <c r="I211" s="267" t="n"/>
      <c r="J211" s="267" t="n"/>
      <c r="K211" s="267" t="n"/>
      <c r="L211" s="267" t="n"/>
      <c r="M211" s="267" t="n"/>
      <c r="N211" s="267" t="n"/>
    </row>
    <row r="212">
      <c r="I212" s="267" t="n"/>
      <c r="J212" s="267" t="n"/>
      <c r="K212" s="267" t="n"/>
      <c r="L212" s="267" t="n"/>
      <c r="M212" s="267" t="n"/>
      <c r="N212" s="267" t="n"/>
    </row>
    <row r="213">
      <c r="I213" s="267" t="n"/>
      <c r="J213" s="267" t="n"/>
      <c r="K213" s="267" t="n"/>
      <c r="L213" s="267" t="n"/>
      <c r="M213" s="267" t="n"/>
      <c r="N213" s="267" t="n"/>
    </row>
    <row r="214">
      <c r="I214" s="267" t="n"/>
      <c r="J214" s="267" t="n"/>
      <c r="K214" s="267" t="n"/>
      <c r="L214" s="267" t="n"/>
      <c r="M214" s="267" t="n"/>
      <c r="N214" s="267" t="n"/>
    </row>
    <row r="215">
      <c r="I215" s="267" t="n"/>
      <c r="J215" s="267" t="n"/>
      <c r="K215" s="267" t="n"/>
      <c r="L215" s="267" t="n"/>
      <c r="M215" s="267" t="n"/>
      <c r="N215" s="267" t="n"/>
    </row>
    <row r="216">
      <c r="I216" s="267" t="n"/>
      <c r="J216" s="267" t="n"/>
      <c r="K216" s="267" t="n"/>
      <c r="L216" s="267" t="n"/>
      <c r="M216" s="267" t="n"/>
      <c r="N216" s="267" t="n"/>
    </row>
    <row r="217">
      <c r="I217" s="267" t="n"/>
      <c r="J217" s="267" t="n"/>
      <c r="K217" s="267" t="n"/>
      <c r="L217" s="267" t="n"/>
      <c r="M217" s="267" t="n"/>
      <c r="N217" s="267" t="n"/>
    </row>
    <row r="218">
      <c r="I218" s="267" t="n"/>
      <c r="J218" s="267" t="n"/>
      <c r="K218" s="267" t="n"/>
      <c r="L218" s="267" t="n"/>
      <c r="M218" s="267" t="n"/>
      <c r="N218" s="267" t="n"/>
    </row>
    <row r="219">
      <c r="I219" s="267" t="n"/>
      <c r="J219" s="267" t="n"/>
      <c r="K219" s="267" t="n"/>
      <c r="L219" s="267" t="n"/>
      <c r="M219" s="267" t="n"/>
      <c r="N219" s="267" t="n"/>
    </row>
    <row r="220">
      <c r="I220" s="267" t="n"/>
      <c r="J220" s="267" t="n"/>
      <c r="K220" s="267" t="n"/>
      <c r="L220" s="267" t="n"/>
      <c r="M220" s="267" t="n"/>
      <c r="N220" s="267" t="n"/>
    </row>
    <row r="221">
      <c r="I221" s="267" t="n"/>
      <c r="J221" s="267" t="n"/>
      <c r="K221" s="267" t="n"/>
      <c r="L221" s="267" t="n"/>
      <c r="M221" s="267" t="n"/>
      <c r="N221" s="267" t="n"/>
    </row>
    <row r="222">
      <c r="I222" s="267" t="n"/>
      <c r="J222" s="267" t="n"/>
      <c r="K222" s="267" t="n"/>
      <c r="L222" s="267" t="n"/>
      <c r="M222" s="267" t="n"/>
      <c r="N222" s="267" t="n"/>
    </row>
    <row r="223">
      <c r="I223" s="267" t="n"/>
      <c r="J223" s="267" t="n"/>
      <c r="K223" s="267" t="n"/>
      <c r="L223" s="267" t="n"/>
      <c r="M223" s="267" t="n"/>
      <c r="N223" s="267" t="n"/>
    </row>
    <row r="224">
      <c r="I224" s="267" t="n"/>
      <c r="J224" s="267" t="n"/>
      <c r="K224" s="267" t="n"/>
      <c r="L224" s="267" t="n"/>
      <c r="M224" s="267" t="n"/>
      <c r="N224" s="267" t="n"/>
    </row>
    <row r="225">
      <c r="I225" s="267" t="n"/>
      <c r="J225" s="267" t="n"/>
      <c r="K225" s="267" t="n"/>
      <c r="L225" s="267" t="n"/>
      <c r="M225" s="267" t="n"/>
      <c r="N225" s="267" t="n"/>
    </row>
    <row r="226">
      <c r="I226" s="267" t="n"/>
      <c r="J226" s="267" t="n"/>
      <c r="K226" s="267" t="n"/>
      <c r="L226" s="267" t="n"/>
      <c r="M226" s="267" t="n"/>
      <c r="N226" s="267" t="n"/>
    </row>
    <row r="227">
      <c r="I227" s="267" t="n"/>
      <c r="J227" s="267" t="n"/>
      <c r="K227" s="267" t="n"/>
      <c r="L227" s="267" t="n"/>
      <c r="M227" s="267" t="n"/>
      <c r="N227" s="267" t="n"/>
    </row>
    <row r="228">
      <c r="I228" s="267" t="n"/>
      <c r="J228" s="267" t="n"/>
      <c r="K228" s="267" t="n"/>
      <c r="L228" s="267" t="n"/>
      <c r="M228" s="267" t="n"/>
      <c r="N228" s="267" t="n"/>
    </row>
    <row r="229">
      <c r="I229" s="267" t="n"/>
      <c r="J229" s="267" t="n"/>
      <c r="K229" s="267" t="n"/>
      <c r="L229" s="267" t="n"/>
      <c r="M229" s="267" t="n"/>
      <c r="N229" s="267" t="n"/>
    </row>
    <row r="230">
      <c r="I230" s="267" t="n"/>
      <c r="J230" s="267" t="n"/>
      <c r="K230" s="267" t="n"/>
      <c r="L230" s="267" t="n"/>
      <c r="M230" s="267" t="n"/>
      <c r="N230" s="267" t="n"/>
    </row>
    <row r="231">
      <c r="I231" s="267" t="n"/>
      <c r="J231" s="267" t="n"/>
      <c r="K231" s="267" t="n"/>
      <c r="L231" s="267" t="n"/>
      <c r="M231" s="267" t="n"/>
      <c r="N231" s="267" t="n"/>
    </row>
    <row r="232">
      <c r="I232" s="267" t="n"/>
      <c r="J232" s="267" t="n"/>
      <c r="K232" s="267" t="n"/>
      <c r="L232" s="267" t="n"/>
      <c r="M232" s="267" t="n"/>
      <c r="N232" s="267" t="n"/>
    </row>
    <row r="233">
      <c r="I233" s="267" t="n"/>
      <c r="J233" s="267" t="n"/>
      <c r="K233" s="267" t="n"/>
      <c r="L233" s="267" t="n"/>
      <c r="M233" s="267" t="n"/>
      <c r="N233" s="267" t="n"/>
    </row>
    <row r="234">
      <c r="I234" s="267" t="n"/>
      <c r="J234" s="267" t="n"/>
      <c r="K234" s="267" t="n"/>
      <c r="L234" s="267" t="n"/>
      <c r="M234" s="267" t="n"/>
      <c r="N234" s="267" t="n"/>
    </row>
    <row r="235">
      <c r="I235" s="267" t="n"/>
      <c r="J235" s="267" t="n"/>
      <c r="K235" s="267" t="n"/>
      <c r="L235" s="267" t="n"/>
      <c r="M235" s="267" t="n"/>
      <c r="N235" s="267" t="n"/>
    </row>
    <row r="236">
      <c r="I236" s="267" t="n"/>
      <c r="J236" s="267" t="n"/>
      <c r="K236" s="267" t="n"/>
      <c r="L236" s="267" t="n"/>
      <c r="M236" s="267" t="n"/>
      <c r="N236" s="267" t="n"/>
    </row>
    <row r="237">
      <c r="I237" s="267" t="n"/>
      <c r="J237" s="267" t="n"/>
      <c r="K237" s="267" t="n"/>
      <c r="L237" s="267" t="n"/>
      <c r="M237" s="267" t="n"/>
      <c r="N237" s="267" t="n"/>
    </row>
    <row r="238">
      <c r="I238" s="267" t="n"/>
      <c r="J238" s="267" t="n"/>
      <c r="K238" s="267" t="n"/>
      <c r="L238" s="267" t="n"/>
      <c r="M238" s="267" t="n"/>
      <c r="N238" s="267" t="n"/>
    </row>
    <row r="239">
      <c r="I239" s="267" t="n"/>
      <c r="J239" s="267" t="n"/>
      <c r="K239" s="267" t="n"/>
      <c r="L239" s="267" t="n"/>
      <c r="M239" s="267" t="n"/>
      <c r="N239" s="267" t="n"/>
    </row>
    <row r="240">
      <c r="I240" s="267" t="n"/>
      <c r="J240" s="267" t="n"/>
      <c r="K240" s="267" t="n"/>
      <c r="L240" s="267" t="n"/>
      <c r="M240" s="267" t="n"/>
      <c r="N240" s="267" t="n"/>
    </row>
    <row r="241">
      <c r="I241" s="267" t="n"/>
      <c r="J241" s="267" t="n"/>
      <c r="K241" s="267" t="n"/>
      <c r="L241" s="267" t="n"/>
      <c r="M241" s="267" t="n"/>
      <c r="N241" s="267" t="n"/>
    </row>
    <row r="242">
      <c r="I242" s="267" t="n"/>
      <c r="J242" s="267" t="n"/>
      <c r="K242" s="267" t="n"/>
      <c r="L242" s="267" t="n"/>
      <c r="M242" s="267" t="n"/>
      <c r="N242" s="267" t="n"/>
    </row>
    <row r="243">
      <c r="I243" s="267" t="n"/>
      <c r="J243" s="267" t="n"/>
      <c r="K243" s="267" t="n"/>
      <c r="L243" s="267" t="n"/>
      <c r="M243" s="267" t="n"/>
      <c r="N243" s="267" t="n"/>
    </row>
    <row r="244">
      <c r="I244" s="267" t="n"/>
      <c r="J244" s="267" t="n"/>
      <c r="K244" s="267" t="n"/>
      <c r="L244" s="267" t="n"/>
      <c r="M244" s="267" t="n"/>
      <c r="N244" s="267" t="n"/>
    </row>
    <row r="245">
      <c r="I245" s="267" t="n"/>
      <c r="J245" s="267" t="n"/>
      <c r="K245" s="267" t="n"/>
      <c r="L245" s="267" t="n"/>
      <c r="M245" s="267" t="n"/>
      <c r="N245" s="267" t="n"/>
    </row>
    <row r="246">
      <c r="I246" s="267" t="n"/>
      <c r="J246" s="267" t="n"/>
      <c r="K246" s="267" t="n"/>
      <c r="L246" s="267" t="n"/>
      <c r="M246" s="267" t="n"/>
      <c r="N246" s="267" t="n"/>
    </row>
    <row r="247">
      <c r="I247" s="267" t="n"/>
      <c r="J247" s="267" t="n"/>
      <c r="K247" s="267" t="n"/>
      <c r="L247" s="267" t="n"/>
      <c r="M247" s="267" t="n"/>
      <c r="N247" s="267" t="n"/>
    </row>
    <row r="248">
      <c r="I248" s="267" t="n"/>
      <c r="J248" s="267" t="n"/>
      <c r="K248" s="267" t="n"/>
      <c r="L248" s="267" t="n"/>
      <c r="M248" s="267" t="n"/>
      <c r="N248" s="267" t="n"/>
    </row>
    <row r="249">
      <c r="I249" s="267" t="n"/>
      <c r="J249" s="267" t="n"/>
      <c r="K249" s="267" t="n"/>
      <c r="L249" s="267" t="n"/>
      <c r="M249" s="267" t="n"/>
      <c r="N249" s="267" t="n"/>
    </row>
    <row r="250">
      <c r="I250" s="267" t="n"/>
      <c r="J250" s="267" t="n"/>
      <c r="K250" s="267" t="n"/>
      <c r="L250" s="267" t="n"/>
      <c r="M250" s="267" t="n"/>
      <c r="N250" s="267" t="n"/>
    </row>
    <row r="251">
      <c r="I251" s="267" t="n"/>
      <c r="J251" s="267" t="n"/>
      <c r="K251" s="267" t="n"/>
      <c r="L251" s="267" t="n"/>
      <c r="M251" s="267" t="n"/>
      <c r="N251" s="267" t="n"/>
    </row>
    <row r="252">
      <c r="I252" s="267" t="n"/>
      <c r="J252" s="267" t="n"/>
      <c r="K252" s="267" t="n"/>
      <c r="L252" s="267" t="n"/>
      <c r="M252" s="267" t="n"/>
      <c r="N252" s="267" t="n"/>
    </row>
    <row r="253">
      <c r="I253" s="267" t="n"/>
      <c r="J253" s="267" t="n"/>
      <c r="K253" s="267" t="n"/>
      <c r="L253" s="267" t="n"/>
      <c r="M253" s="267" t="n"/>
      <c r="N253" s="267" t="n"/>
    </row>
    <row r="254">
      <c r="I254" s="267" t="n"/>
      <c r="J254" s="267" t="n"/>
      <c r="K254" s="267" t="n"/>
      <c r="L254" s="267" t="n"/>
      <c r="M254" s="267" t="n"/>
      <c r="N254" s="267" t="n"/>
    </row>
    <row r="255">
      <c r="I255" s="267" t="n"/>
      <c r="J255" s="267" t="n"/>
      <c r="K255" s="267" t="n"/>
      <c r="L255" s="267" t="n"/>
      <c r="M255" s="267" t="n"/>
      <c r="N255" s="267" t="n"/>
    </row>
    <row r="256">
      <c r="I256" s="267" t="n"/>
      <c r="J256" s="267" t="n"/>
      <c r="K256" s="267" t="n"/>
      <c r="L256" s="267" t="n"/>
      <c r="M256" s="267" t="n"/>
      <c r="N256" s="267" t="n"/>
    </row>
    <row r="257">
      <c r="I257" s="267" t="n"/>
      <c r="J257" s="267" t="n"/>
      <c r="K257" s="267" t="n"/>
      <c r="L257" s="267" t="n"/>
      <c r="M257" s="267" t="n"/>
      <c r="N257" s="267" t="n"/>
    </row>
    <row r="258">
      <c r="I258" s="267" t="n"/>
      <c r="J258" s="267" t="n"/>
      <c r="K258" s="267" t="n"/>
      <c r="L258" s="267" t="n"/>
      <c r="M258" s="267" t="n"/>
      <c r="N258" s="267" t="n"/>
    </row>
    <row r="259">
      <c r="I259" s="267" t="n"/>
      <c r="J259" s="267" t="n"/>
      <c r="K259" s="267" t="n"/>
      <c r="L259" s="267" t="n"/>
      <c r="M259" s="267" t="n"/>
      <c r="N259" s="267" t="n"/>
    </row>
    <row r="260">
      <c r="I260" s="267" t="n"/>
      <c r="J260" s="267" t="n"/>
      <c r="K260" s="267" t="n"/>
      <c r="L260" s="267" t="n"/>
      <c r="M260" s="267" t="n"/>
      <c r="N260" s="267" t="n"/>
    </row>
    <row r="261">
      <c r="I261" s="267" t="n"/>
      <c r="J261" s="267" t="n"/>
      <c r="K261" s="267" t="n"/>
      <c r="L261" s="267" t="n"/>
      <c r="M261" s="267" t="n"/>
      <c r="N261" s="267" t="n"/>
    </row>
    <row r="262">
      <c r="I262" s="267" t="n"/>
      <c r="J262" s="267" t="n"/>
      <c r="K262" s="267" t="n"/>
      <c r="L262" s="267" t="n"/>
      <c r="M262" s="267" t="n"/>
      <c r="N262" s="267" t="n"/>
    </row>
    <row r="263">
      <c r="I263" s="267" t="n"/>
      <c r="J263" s="267" t="n"/>
      <c r="K263" s="267" t="n"/>
      <c r="L263" s="267" t="n"/>
      <c r="M263" s="267" t="n"/>
      <c r="N263" s="267" t="n"/>
    </row>
    <row r="264">
      <c r="I264" s="267" t="n"/>
      <c r="J264" s="267" t="n"/>
      <c r="K264" s="267" t="n"/>
      <c r="L264" s="267" t="n"/>
      <c r="M264" s="267" t="n"/>
      <c r="N264" s="267" t="n"/>
    </row>
    <row r="265">
      <c r="I265" s="267" t="n"/>
      <c r="J265" s="267" t="n"/>
      <c r="K265" s="267" t="n"/>
      <c r="L265" s="267" t="n"/>
      <c r="M265" s="267" t="n"/>
      <c r="N265" s="267" t="n"/>
    </row>
    <row r="266">
      <c r="I266" s="267" t="n"/>
      <c r="J266" s="267" t="n"/>
      <c r="K266" s="267" t="n"/>
      <c r="L266" s="267" t="n"/>
      <c r="M266" s="267" t="n"/>
      <c r="N266" s="267" t="n"/>
    </row>
    <row r="267">
      <c r="I267" s="267" t="n"/>
      <c r="J267" s="267" t="n"/>
      <c r="K267" s="267" t="n"/>
      <c r="L267" s="267" t="n"/>
      <c r="M267" s="267" t="n"/>
      <c r="N267" s="267" t="n"/>
    </row>
    <row r="268">
      <c r="I268" s="267" t="n"/>
      <c r="J268" s="267" t="n"/>
      <c r="K268" s="267" t="n"/>
      <c r="L268" s="267" t="n"/>
      <c r="M268" s="267" t="n"/>
      <c r="N268" s="267" t="n"/>
    </row>
    <row r="269">
      <c r="I269" s="267" t="n"/>
      <c r="J269" s="267" t="n"/>
      <c r="K269" s="267" t="n"/>
      <c r="L269" s="267" t="n"/>
      <c r="M269" s="267" t="n"/>
      <c r="N269" s="267" t="n"/>
    </row>
    <row r="270">
      <c r="I270" s="267" t="n"/>
      <c r="J270" s="267" t="n"/>
      <c r="K270" s="267" t="n"/>
      <c r="L270" s="267" t="n"/>
      <c r="M270" s="267" t="n"/>
      <c r="N270" s="267" t="n"/>
    </row>
    <row r="271">
      <c r="I271" s="267" t="n"/>
      <c r="J271" s="267" t="n"/>
      <c r="K271" s="267" t="n"/>
      <c r="L271" s="267" t="n"/>
      <c r="M271" s="267" t="n"/>
      <c r="N271" s="267" t="n"/>
    </row>
    <row r="272">
      <c r="I272" s="267" t="n"/>
      <c r="J272" s="267" t="n"/>
      <c r="K272" s="267" t="n"/>
      <c r="L272" s="267" t="n"/>
      <c r="M272" s="267" t="n"/>
      <c r="N272" s="267" t="n"/>
    </row>
    <row r="273">
      <c r="I273" s="267" t="n"/>
      <c r="J273" s="267" t="n"/>
      <c r="K273" s="267" t="n"/>
      <c r="L273" s="267" t="n"/>
      <c r="M273" s="267" t="n"/>
      <c r="N273" s="267" t="n"/>
    </row>
    <row r="274">
      <c r="I274" s="267" t="n"/>
      <c r="J274" s="267" t="n"/>
      <c r="K274" s="267" t="n"/>
      <c r="L274" s="267" t="n"/>
      <c r="M274" s="267" t="n"/>
      <c r="N274" s="267" t="n"/>
    </row>
    <row r="275">
      <c r="I275" s="267" t="n"/>
      <c r="J275" s="267" t="n"/>
      <c r="K275" s="267" t="n"/>
      <c r="L275" s="267" t="n"/>
      <c r="M275" s="267" t="n"/>
      <c r="N275" s="267" t="n"/>
    </row>
    <row r="276">
      <c r="I276" s="267" t="n"/>
      <c r="J276" s="267" t="n"/>
      <c r="K276" s="267" t="n"/>
      <c r="L276" s="267" t="n"/>
      <c r="M276" s="267" t="n"/>
      <c r="N276" s="267" t="n"/>
    </row>
    <row r="277">
      <c r="I277" s="267" t="n"/>
      <c r="J277" s="267" t="n"/>
      <c r="K277" s="267" t="n"/>
      <c r="L277" s="267" t="n"/>
      <c r="M277" s="267" t="n"/>
      <c r="N277" s="267" t="n"/>
    </row>
    <row r="278">
      <c r="I278" s="267" t="n"/>
      <c r="J278" s="267" t="n"/>
      <c r="K278" s="267" t="n"/>
      <c r="L278" s="267" t="n"/>
      <c r="M278" s="267" t="n"/>
      <c r="N278" s="267" t="n"/>
    </row>
    <row r="279">
      <c r="I279" s="267" t="n"/>
      <c r="J279" s="267" t="n"/>
      <c r="K279" s="267" t="n"/>
      <c r="L279" s="267" t="n"/>
      <c r="M279" s="267" t="n"/>
      <c r="N279" s="267" t="n"/>
    </row>
    <row r="280">
      <c r="I280" s="267" t="n"/>
      <c r="J280" s="267" t="n"/>
      <c r="K280" s="267" t="n"/>
      <c r="L280" s="267" t="n"/>
      <c r="M280" s="267" t="n"/>
      <c r="N280" s="267" t="n"/>
    </row>
    <row r="281">
      <c r="I281" s="267" t="n"/>
      <c r="J281" s="267" t="n"/>
      <c r="K281" s="267" t="n"/>
      <c r="L281" s="267" t="n"/>
      <c r="M281" s="267" t="n"/>
      <c r="N281" s="267" t="n"/>
    </row>
    <row r="282">
      <c r="I282" s="267" t="n"/>
      <c r="J282" s="267" t="n"/>
      <c r="K282" s="267" t="n"/>
      <c r="L282" s="267" t="n"/>
      <c r="M282" s="267" t="n"/>
      <c r="N282" s="267" t="n"/>
    </row>
    <row r="283">
      <c r="I283" s="267" t="n"/>
      <c r="J283" s="267" t="n"/>
      <c r="K283" s="267" t="n"/>
      <c r="L283" s="267" t="n"/>
      <c r="M283" s="267" t="n"/>
      <c r="N283" s="267" t="n"/>
    </row>
    <row r="284">
      <c r="I284" s="267" t="n"/>
      <c r="J284" s="267" t="n"/>
      <c r="K284" s="267" t="n"/>
      <c r="L284" s="267" t="n"/>
      <c r="M284" s="267" t="n"/>
      <c r="N284" s="267" t="n"/>
    </row>
    <row r="285">
      <c r="I285" s="267" t="n"/>
      <c r="J285" s="267" t="n"/>
      <c r="K285" s="267" t="n"/>
      <c r="L285" s="267" t="n"/>
      <c r="M285" s="267" t="n"/>
      <c r="N285" s="267" t="n"/>
    </row>
    <row r="286">
      <c r="I286" s="267" t="n"/>
      <c r="J286" s="267" t="n"/>
      <c r="K286" s="267" t="n"/>
      <c r="L286" s="267" t="n"/>
      <c r="M286" s="267" t="n"/>
      <c r="N286" s="267" t="n"/>
    </row>
    <row r="287">
      <c r="I287" s="267" t="n"/>
      <c r="J287" s="267" t="n"/>
      <c r="K287" s="267" t="n"/>
      <c r="L287" s="267" t="n"/>
      <c r="M287" s="267" t="n"/>
      <c r="N287" s="267" t="n"/>
    </row>
    <row r="288">
      <c r="I288" s="267" t="n"/>
      <c r="J288" s="267" t="n"/>
      <c r="K288" s="267" t="n"/>
      <c r="L288" s="267" t="n"/>
      <c r="M288" s="267" t="n"/>
      <c r="N288" s="267" t="n"/>
    </row>
    <row r="289">
      <c r="I289" s="267" t="n"/>
      <c r="J289" s="267" t="n"/>
      <c r="K289" s="267" t="n"/>
      <c r="L289" s="267" t="n"/>
      <c r="M289" s="267" t="n"/>
      <c r="N289" s="267" t="n"/>
    </row>
    <row r="290">
      <c r="I290" s="267" t="n"/>
      <c r="J290" s="267" t="n"/>
      <c r="K290" s="267" t="n"/>
      <c r="L290" s="267" t="n"/>
      <c r="M290" s="267" t="n"/>
      <c r="N290" s="267" t="n"/>
    </row>
    <row r="291">
      <c r="I291" s="267" t="n"/>
      <c r="J291" s="267" t="n"/>
      <c r="K291" s="267" t="n"/>
      <c r="L291" s="267" t="n"/>
      <c r="M291" s="267" t="n"/>
      <c r="N291" s="267" t="n"/>
    </row>
    <row r="292">
      <c r="I292" s="267" t="n"/>
      <c r="J292" s="267" t="n"/>
      <c r="K292" s="267" t="n"/>
      <c r="L292" s="267" t="n"/>
      <c r="M292" s="267" t="n"/>
      <c r="N292" s="267" t="n"/>
    </row>
    <row r="293">
      <c r="I293" s="267" t="n"/>
      <c r="J293" s="267" t="n"/>
      <c r="K293" s="267" t="n"/>
      <c r="L293" s="267" t="n"/>
      <c r="M293" s="267" t="n"/>
      <c r="N293" s="267" t="n"/>
    </row>
    <row r="294">
      <c r="I294" s="267" t="n"/>
      <c r="J294" s="267" t="n"/>
      <c r="K294" s="267" t="n"/>
      <c r="L294" s="267" t="n"/>
      <c r="M294" s="267" t="n"/>
      <c r="N294" s="267" t="n"/>
    </row>
    <row r="295">
      <c r="I295" s="267" t="n"/>
      <c r="J295" s="267" t="n"/>
      <c r="K295" s="267" t="n"/>
      <c r="L295" s="267" t="n"/>
      <c r="M295" s="267" t="n"/>
      <c r="N295" s="267" t="n"/>
    </row>
    <row r="296">
      <c r="I296" s="267" t="n"/>
      <c r="J296" s="267" t="n"/>
      <c r="K296" s="267" t="n"/>
      <c r="L296" s="267" t="n"/>
      <c r="M296" s="267" t="n"/>
      <c r="N296" s="267" t="n"/>
    </row>
    <row r="297">
      <c r="I297" s="267" t="n"/>
      <c r="J297" s="267" t="n"/>
      <c r="K297" s="267" t="n"/>
      <c r="L297" s="267" t="n"/>
      <c r="M297" s="267" t="n"/>
      <c r="N297" s="267" t="n"/>
    </row>
    <row r="298">
      <c r="I298" s="267" t="n"/>
      <c r="J298" s="267" t="n"/>
      <c r="K298" s="267" t="n"/>
      <c r="L298" s="267" t="n"/>
      <c r="M298" s="267" t="n"/>
      <c r="N298" s="267" t="n"/>
    </row>
    <row r="299">
      <c r="I299" s="267" t="n"/>
      <c r="J299" s="267" t="n"/>
      <c r="K299" s="267" t="n"/>
      <c r="L299" s="267" t="n"/>
      <c r="M299" s="267" t="n"/>
      <c r="N299" s="267" t="n"/>
    </row>
    <row r="300">
      <c r="I300" s="267" t="n"/>
      <c r="J300" s="267" t="n"/>
      <c r="K300" s="267" t="n"/>
      <c r="L300" s="267" t="n"/>
      <c r="M300" s="267" t="n"/>
      <c r="N300" s="267" t="n"/>
    </row>
    <row r="301">
      <c r="I301" s="267" t="n"/>
      <c r="J301" s="267" t="n"/>
      <c r="K301" s="267" t="n"/>
      <c r="L301" s="267" t="n"/>
      <c r="M301" s="267" t="n"/>
      <c r="N301" s="267" t="n"/>
    </row>
    <row r="302">
      <c r="I302" s="267" t="n"/>
      <c r="J302" s="267" t="n"/>
      <c r="K302" s="267" t="n"/>
      <c r="L302" s="267" t="n"/>
      <c r="M302" s="267" t="n"/>
      <c r="N302" s="267" t="n"/>
    </row>
    <row r="303">
      <c r="I303" s="267" t="n"/>
      <c r="J303" s="267" t="n"/>
      <c r="K303" s="267" t="n"/>
      <c r="L303" s="267" t="n"/>
      <c r="M303" s="267" t="n"/>
      <c r="N303" s="267" t="n"/>
    </row>
    <row r="304">
      <c r="I304" s="267" t="n"/>
      <c r="J304" s="267" t="n"/>
      <c r="K304" s="267" t="n"/>
      <c r="L304" s="267" t="n"/>
      <c r="M304" s="267" t="n"/>
      <c r="N304" s="267" t="n"/>
    </row>
    <row r="305">
      <c r="I305" s="267" t="n"/>
      <c r="J305" s="267" t="n"/>
      <c r="K305" s="267" t="n"/>
      <c r="L305" s="267" t="n"/>
      <c r="M305" s="267" t="n"/>
      <c r="N305" s="267" t="n"/>
    </row>
    <row r="306">
      <c r="I306" s="267" t="n"/>
      <c r="J306" s="267" t="n"/>
      <c r="K306" s="267" t="n"/>
      <c r="L306" s="267" t="n"/>
      <c r="M306" s="267" t="n"/>
      <c r="N306" s="267" t="n"/>
    </row>
    <row r="307">
      <c r="I307" s="267" t="n"/>
      <c r="J307" s="267" t="n"/>
      <c r="K307" s="267" t="n"/>
      <c r="L307" s="267" t="n"/>
      <c r="M307" s="267" t="n"/>
      <c r="N307" s="267" t="n"/>
    </row>
    <row r="308">
      <c r="I308" s="267" t="n"/>
      <c r="J308" s="267" t="n"/>
      <c r="K308" s="267" t="n"/>
      <c r="L308" s="267" t="n"/>
      <c r="M308" s="267" t="n"/>
      <c r="N308" s="267" t="n"/>
    </row>
    <row r="309">
      <c r="I309" s="267" t="n"/>
      <c r="J309" s="267" t="n"/>
      <c r="K309" s="267" t="n"/>
      <c r="L309" s="267" t="n"/>
      <c r="M309" s="267" t="n"/>
      <c r="N309" s="267" t="n"/>
    </row>
    <row r="310">
      <c r="I310" s="267" t="n"/>
      <c r="J310" s="267" t="n"/>
      <c r="K310" s="267" t="n"/>
      <c r="L310" s="267" t="n"/>
      <c r="M310" s="267" t="n"/>
      <c r="N310" s="267" t="n"/>
    </row>
    <row r="311">
      <c r="I311" s="267" t="n"/>
      <c r="J311" s="267" t="n"/>
      <c r="K311" s="267" t="n"/>
      <c r="L311" s="267" t="n"/>
      <c r="M311" s="267" t="n"/>
      <c r="N311" s="267" t="n"/>
    </row>
    <row r="312">
      <c r="I312" s="267" t="n"/>
      <c r="J312" s="267" t="n"/>
      <c r="K312" s="267" t="n"/>
      <c r="L312" s="267" t="n"/>
      <c r="M312" s="267" t="n"/>
      <c r="N312" s="267" t="n"/>
    </row>
    <row r="313">
      <c r="I313" s="267" t="n"/>
      <c r="J313" s="267" t="n"/>
      <c r="K313" s="267" t="n"/>
      <c r="L313" s="267" t="n"/>
      <c r="M313" s="267" t="n"/>
      <c r="N313" s="267" t="n"/>
    </row>
    <row r="314">
      <c r="I314" s="267" t="n"/>
      <c r="J314" s="267" t="n"/>
      <c r="K314" s="267" t="n"/>
      <c r="L314" s="267" t="n"/>
      <c r="M314" s="267" t="n"/>
      <c r="N314" s="267" t="n"/>
    </row>
    <row r="315">
      <c r="I315" s="267" t="n"/>
      <c r="J315" s="267" t="n"/>
      <c r="K315" s="267" t="n"/>
      <c r="L315" s="267" t="n"/>
      <c r="M315" s="267" t="n"/>
      <c r="N315" s="267" t="n"/>
    </row>
    <row r="316">
      <c r="I316" s="267" t="n"/>
      <c r="J316" s="267" t="n"/>
      <c r="K316" s="267" t="n"/>
      <c r="L316" s="267" t="n"/>
      <c r="M316" s="267" t="n"/>
      <c r="N316" s="267" t="n"/>
    </row>
    <row r="317">
      <c r="I317" s="267" t="n"/>
      <c r="J317" s="267" t="n"/>
      <c r="K317" s="267" t="n"/>
      <c r="L317" s="267" t="n"/>
      <c r="M317" s="267" t="n"/>
      <c r="N317" s="267" t="n"/>
    </row>
    <row r="318">
      <c r="I318" s="267" t="n"/>
      <c r="J318" s="267" t="n"/>
      <c r="K318" s="267" t="n"/>
      <c r="L318" s="267" t="n"/>
      <c r="M318" s="267" t="n"/>
      <c r="N318" s="267" t="n"/>
    </row>
    <row r="319">
      <c r="I319" s="267" t="n"/>
      <c r="J319" s="267" t="n"/>
      <c r="K319" s="267" t="n"/>
      <c r="L319" s="267" t="n"/>
      <c r="M319" s="267" t="n"/>
      <c r="N319" s="267" t="n"/>
    </row>
    <row r="320">
      <c r="I320" s="267" t="n"/>
      <c r="J320" s="267" t="n"/>
      <c r="K320" s="267" t="n"/>
      <c r="L320" s="267" t="n"/>
      <c r="M320" s="267" t="n"/>
      <c r="N320" s="267" t="n"/>
    </row>
    <row r="321">
      <c r="I321" s="267" t="n"/>
      <c r="J321" s="267" t="n"/>
      <c r="K321" s="267" t="n"/>
      <c r="L321" s="267" t="n"/>
      <c r="M321" s="267" t="n"/>
      <c r="N321" s="267" t="n"/>
    </row>
    <row r="322">
      <c r="I322" s="267" t="n"/>
      <c r="J322" s="267" t="n"/>
      <c r="K322" s="267" t="n"/>
      <c r="L322" s="267" t="n"/>
      <c r="M322" s="267" t="n"/>
      <c r="N322" s="267" t="n"/>
    </row>
    <row r="323">
      <c r="I323" s="267" t="n"/>
      <c r="J323" s="267" t="n"/>
      <c r="K323" s="267" t="n"/>
      <c r="L323" s="267" t="n"/>
      <c r="M323" s="267" t="n"/>
      <c r="N323" s="267" t="n"/>
    </row>
    <row r="324">
      <c r="I324" s="267" t="n"/>
      <c r="J324" s="267" t="n"/>
      <c r="K324" s="267" t="n"/>
      <c r="L324" s="267" t="n"/>
      <c r="M324" s="267" t="n"/>
      <c r="N324" s="267" t="n"/>
    </row>
    <row r="325">
      <c r="I325" s="267" t="n"/>
      <c r="J325" s="267" t="n"/>
      <c r="K325" s="267" t="n"/>
      <c r="L325" s="267" t="n"/>
      <c r="M325" s="267" t="n"/>
      <c r="N325" s="267" t="n"/>
    </row>
    <row r="326">
      <c r="I326" s="267" t="n"/>
      <c r="J326" s="267" t="n"/>
      <c r="K326" s="267" t="n"/>
      <c r="L326" s="267" t="n"/>
      <c r="M326" s="267" t="n"/>
      <c r="N326" s="267" t="n"/>
    </row>
    <row r="327">
      <c r="I327" s="267" t="n"/>
      <c r="J327" s="267" t="n"/>
      <c r="K327" s="267" t="n"/>
      <c r="L327" s="267" t="n"/>
      <c r="M327" s="267" t="n"/>
      <c r="N327" s="267" t="n"/>
    </row>
    <row r="328">
      <c r="I328" s="267" t="n"/>
      <c r="J328" s="267" t="n"/>
      <c r="K328" s="267" t="n"/>
      <c r="L328" s="267" t="n"/>
      <c r="M328" s="267" t="n"/>
      <c r="N328" s="267" t="n"/>
    </row>
    <row r="329">
      <c r="I329" s="267" t="n"/>
      <c r="J329" s="267" t="n"/>
      <c r="K329" s="267" t="n"/>
      <c r="L329" s="267" t="n"/>
      <c r="M329" s="267" t="n"/>
      <c r="N329" s="267" t="n"/>
    </row>
    <row r="330">
      <c r="I330" s="267" t="n"/>
      <c r="J330" s="267" t="n"/>
      <c r="K330" s="267" t="n"/>
      <c r="L330" s="267" t="n"/>
      <c r="M330" s="267" t="n"/>
      <c r="N330" s="267" t="n"/>
    </row>
    <row r="331">
      <c r="I331" s="267" t="n"/>
      <c r="J331" s="267" t="n"/>
      <c r="K331" s="267" t="n"/>
      <c r="L331" s="267" t="n"/>
      <c r="M331" s="267" t="n"/>
      <c r="N331" s="267" t="n"/>
    </row>
    <row r="332">
      <c r="I332" s="267" t="n"/>
      <c r="J332" s="267" t="n"/>
      <c r="K332" s="267" t="n"/>
      <c r="L332" s="267" t="n"/>
      <c r="M332" s="267" t="n"/>
      <c r="N332" s="267" t="n"/>
    </row>
    <row r="333">
      <c r="I333" s="267" t="n"/>
      <c r="J333" s="267" t="n"/>
      <c r="K333" s="267" t="n"/>
      <c r="L333" s="267" t="n"/>
      <c r="M333" s="267" t="n"/>
      <c r="N333" s="267" t="n"/>
    </row>
    <row r="334">
      <c r="I334" s="267" t="n"/>
      <c r="J334" s="267" t="n"/>
      <c r="K334" s="267" t="n"/>
      <c r="L334" s="267" t="n"/>
      <c r="M334" s="267" t="n"/>
      <c r="N334" s="267" t="n"/>
    </row>
    <row r="335">
      <c r="I335" s="267" t="n"/>
      <c r="J335" s="267" t="n"/>
      <c r="K335" s="267" t="n"/>
      <c r="L335" s="267" t="n"/>
      <c r="M335" s="267" t="n"/>
      <c r="N335" s="267" t="n"/>
    </row>
    <row r="336">
      <c r="I336" s="267" t="n"/>
      <c r="J336" s="267" t="n"/>
      <c r="K336" s="267" t="n"/>
      <c r="L336" s="267" t="n"/>
      <c r="M336" s="267" t="n"/>
      <c r="N336" s="267" t="n"/>
    </row>
    <row r="337">
      <c r="I337" s="267" t="n"/>
      <c r="J337" s="267" t="n"/>
      <c r="K337" s="267" t="n"/>
      <c r="L337" s="267" t="n"/>
      <c r="M337" s="267" t="n"/>
      <c r="N337" s="267" t="n"/>
    </row>
    <row r="338">
      <c r="I338" s="267" t="n"/>
      <c r="J338" s="267" t="n"/>
      <c r="K338" s="267" t="n"/>
      <c r="L338" s="267" t="n"/>
      <c r="M338" s="267" t="n"/>
      <c r="N338" s="267" t="n"/>
    </row>
    <row r="339">
      <c r="I339" s="267" t="n"/>
      <c r="J339" s="267" t="n"/>
      <c r="K339" s="267" t="n"/>
      <c r="L339" s="267" t="n"/>
      <c r="M339" s="267" t="n"/>
      <c r="N339" s="267" t="n"/>
    </row>
    <row r="340">
      <c r="I340" s="267" t="n"/>
      <c r="J340" s="267" t="n"/>
      <c r="K340" s="267" t="n"/>
      <c r="L340" s="267" t="n"/>
      <c r="M340" s="267" t="n"/>
      <c r="N340" s="267" t="n"/>
    </row>
    <row r="341">
      <c r="I341" s="267" t="n"/>
      <c r="J341" s="267" t="n"/>
      <c r="K341" s="267" t="n"/>
      <c r="L341" s="267" t="n"/>
      <c r="M341" s="267" t="n"/>
      <c r="N341" s="267" t="n"/>
    </row>
    <row r="342">
      <c r="I342" s="267" t="n"/>
      <c r="J342" s="267" t="n"/>
      <c r="K342" s="267" t="n"/>
      <c r="L342" s="267" t="n"/>
      <c r="M342" s="267" t="n"/>
      <c r="N342" s="267" t="n"/>
    </row>
    <row r="343">
      <c r="I343" s="267" t="n"/>
      <c r="J343" s="267" t="n"/>
      <c r="K343" s="267" t="n"/>
      <c r="L343" s="267" t="n"/>
      <c r="M343" s="267" t="n"/>
      <c r="N343" s="267" t="n"/>
    </row>
    <row r="344">
      <c r="I344" s="267" t="n"/>
      <c r="J344" s="267" t="n"/>
      <c r="K344" s="267" t="n"/>
      <c r="L344" s="267" t="n"/>
      <c r="M344" s="267" t="n"/>
      <c r="N344" s="267" t="n"/>
    </row>
    <row r="345">
      <c r="I345" s="267" t="n"/>
      <c r="J345" s="267" t="n"/>
      <c r="K345" s="267" t="n"/>
      <c r="L345" s="267" t="n"/>
      <c r="M345" s="267" t="n"/>
      <c r="N345" s="267" t="n"/>
    </row>
    <row r="346">
      <c r="I346" s="267" t="n"/>
      <c r="J346" s="267" t="n"/>
      <c r="K346" s="267" t="n"/>
      <c r="L346" s="267" t="n"/>
      <c r="M346" s="267" t="n"/>
      <c r="N346" s="267" t="n"/>
    </row>
    <row r="347">
      <c r="I347" s="267" t="n"/>
      <c r="J347" s="267" t="n"/>
      <c r="K347" s="267" t="n"/>
      <c r="L347" s="267" t="n"/>
      <c r="M347" s="267" t="n"/>
      <c r="N347" s="267" t="n"/>
    </row>
    <row r="348">
      <c r="I348" s="267" t="n"/>
      <c r="J348" s="267" t="n"/>
      <c r="K348" s="267" t="n"/>
      <c r="L348" s="267" t="n"/>
      <c r="M348" s="267" t="n"/>
      <c r="N348" s="267" t="n"/>
    </row>
    <row r="349">
      <c r="I349" s="267" t="n"/>
      <c r="J349" s="267" t="n"/>
      <c r="K349" s="267" t="n"/>
      <c r="L349" s="267" t="n"/>
      <c r="M349" s="267" t="n"/>
      <c r="N349" s="267" t="n"/>
    </row>
    <row r="350">
      <c r="I350" s="267" t="n"/>
      <c r="J350" s="267" t="n"/>
      <c r="K350" s="267" t="n"/>
      <c r="L350" s="267" t="n"/>
      <c r="M350" s="267" t="n"/>
      <c r="N350" s="267" t="n"/>
    </row>
    <row r="351">
      <c r="I351" s="267" t="n"/>
      <c r="J351" s="267" t="n"/>
      <c r="K351" s="267" t="n"/>
      <c r="L351" s="267" t="n"/>
      <c r="M351" s="267" t="n"/>
      <c r="N351" s="267" t="n"/>
    </row>
    <row r="352">
      <c r="I352" s="267" t="n"/>
      <c r="J352" s="267" t="n"/>
      <c r="K352" s="267" t="n"/>
      <c r="L352" s="267" t="n"/>
      <c r="M352" s="267" t="n"/>
      <c r="N352" s="267" t="n"/>
    </row>
    <row r="353">
      <c r="I353" s="267" t="n"/>
      <c r="J353" s="267" t="n"/>
      <c r="K353" s="267" t="n"/>
      <c r="L353" s="267" t="n"/>
      <c r="M353" s="267" t="n"/>
      <c r="N353" s="267" t="n"/>
    </row>
    <row r="354">
      <c r="I354" s="267" t="n"/>
      <c r="J354" s="267" t="n"/>
      <c r="K354" s="267" t="n"/>
      <c r="L354" s="267" t="n"/>
      <c r="M354" s="267" t="n"/>
      <c r="N354" s="267" t="n"/>
    </row>
    <row r="355">
      <c r="I355" s="267" t="n"/>
      <c r="J355" s="267" t="n"/>
      <c r="K355" s="267" t="n"/>
      <c r="L355" s="267" t="n"/>
      <c r="M355" s="267" t="n"/>
      <c r="N355" s="267" t="n"/>
    </row>
    <row r="356">
      <c r="I356" s="267" t="n"/>
      <c r="J356" s="267" t="n"/>
      <c r="K356" s="267" t="n"/>
      <c r="L356" s="267" t="n"/>
      <c r="M356" s="267" t="n"/>
      <c r="N356" s="267" t="n"/>
    </row>
    <row r="357">
      <c r="I357" s="267" t="n"/>
      <c r="J357" s="267" t="n"/>
      <c r="K357" s="267" t="n"/>
      <c r="L357" s="267" t="n"/>
      <c r="M357" s="267" t="n"/>
      <c r="N357" s="267" t="n"/>
    </row>
    <row r="358">
      <c r="I358" s="267" t="n"/>
      <c r="J358" s="267" t="n"/>
      <c r="K358" s="267" t="n"/>
      <c r="L358" s="267" t="n"/>
      <c r="M358" s="267" t="n"/>
      <c r="N358" s="267" t="n"/>
    </row>
    <row r="359">
      <c r="I359" s="267" t="n"/>
      <c r="J359" s="267" t="n"/>
      <c r="K359" s="267" t="n"/>
      <c r="L359" s="267" t="n"/>
      <c r="M359" s="267" t="n"/>
      <c r="N359" s="267" t="n"/>
    </row>
    <row r="360">
      <c r="I360" s="267" t="n"/>
      <c r="J360" s="267" t="n"/>
      <c r="K360" s="267" t="n"/>
      <c r="L360" s="267" t="n"/>
      <c r="M360" s="267" t="n"/>
      <c r="N360" s="267" t="n"/>
    </row>
    <row r="361">
      <c r="I361" s="267" t="n"/>
      <c r="J361" s="267" t="n"/>
      <c r="K361" s="267" t="n"/>
      <c r="L361" s="267" t="n"/>
      <c r="M361" s="267" t="n"/>
      <c r="N361" s="267" t="n"/>
    </row>
    <row r="362">
      <c r="I362" s="267" t="n"/>
      <c r="J362" s="267" t="n"/>
      <c r="K362" s="267" t="n"/>
      <c r="L362" s="267" t="n"/>
      <c r="M362" s="267" t="n"/>
      <c r="N362" s="267" t="n"/>
    </row>
    <row r="363">
      <c r="I363" s="267" t="n"/>
      <c r="J363" s="267" t="n"/>
      <c r="K363" s="267" t="n"/>
      <c r="L363" s="267" t="n"/>
      <c r="M363" s="267" t="n"/>
      <c r="N363" s="267" t="n"/>
    </row>
    <row r="364">
      <c r="I364" s="267" t="n"/>
      <c r="J364" s="267" t="n"/>
      <c r="K364" s="267" t="n"/>
      <c r="L364" s="267" t="n"/>
      <c r="M364" s="267" t="n"/>
      <c r="N364" s="267" t="n"/>
    </row>
    <row r="365">
      <c r="I365" s="267" t="n"/>
      <c r="J365" s="267" t="n"/>
      <c r="K365" s="267" t="n"/>
      <c r="L365" s="267" t="n"/>
      <c r="M365" s="267" t="n"/>
      <c r="N365" s="267" t="n"/>
    </row>
    <row r="366">
      <c r="I366" s="267" t="n"/>
      <c r="J366" s="267" t="n"/>
      <c r="K366" s="267" t="n"/>
      <c r="L366" s="267" t="n"/>
      <c r="M366" s="267" t="n"/>
      <c r="N366" s="267" t="n"/>
    </row>
    <row r="367">
      <c r="I367" s="267" t="n"/>
      <c r="J367" s="267" t="n"/>
      <c r="K367" s="267" t="n"/>
      <c r="L367" s="267" t="n"/>
      <c r="M367" s="267" t="n"/>
      <c r="N367" s="267" t="n"/>
    </row>
    <row r="368">
      <c r="I368" s="267" t="n"/>
      <c r="J368" s="267" t="n"/>
      <c r="K368" s="267" t="n"/>
      <c r="L368" s="267" t="n"/>
      <c r="M368" s="267" t="n"/>
      <c r="N368" s="267" t="n"/>
    </row>
    <row r="369">
      <c r="I369" s="267" t="n"/>
      <c r="J369" s="267" t="n"/>
      <c r="K369" s="267" t="n"/>
      <c r="L369" s="267" t="n"/>
      <c r="M369" s="267" t="n"/>
      <c r="N369" s="267" t="n"/>
    </row>
    <row r="370">
      <c r="I370" s="267" t="n"/>
      <c r="J370" s="267" t="n"/>
      <c r="K370" s="267" t="n"/>
      <c r="L370" s="267" t="n"/>
      <c r="M370" s="267" t="n"/>
      <c r="N370" s="267" t="n"/>
    </row>
    <row r="371">
      <c r="I371" s="267" t="n"/>
      <c r="J371" s="267" t="n"/>
      <c r="K371" s="267" t="n"/>
      <c r="L371" s="267" t="n"/>
      <c r="M371" s="267" t="n"/>
      <c r="N371" s="267" t="n"/>
    </row>
    <row r="372">
      <c r="I372" s="267" t="n"/>
      <c r="J372" s="267" t="n"/>
      <c r="K372" s="267" t="n"/>
      <c r="L372" s="267" t="n"/>
      <c r="M372" s="267" t="n"/>
      <c r="N372" s="267" t="n"/>
    </row>
    <row r="373">
      <c r="I373" s="267" t="n"/>
      <c r="J373" s="267" t="n"/>
      <c r="K373" s="267" t="n"/>
      <c r="L373" s="267" t="n"/>
      <c r="M373" s="267" t="n"/>
      <c r="N373" s="267" t="n"/>
    </row>
    <row r="374">
      <c r="I374" s="267" t="n"/>
      <c r="J374" s="267" t="n"/>
      <c r="K374" s="267" t="n"/>
      <c r="L374" s="267" t="n"/>
      <c r="M374" s="267" t="n"/>
      <c r="N374" s="267" t="n"/>
    </row>
    <row r="375">
      <c r="I375" s="267" t="n"/>
      <c r="J375" s="267" t="n"/>
      <c r="K375" s="267" t="n"/>
      <c r="L375" s="267" t="n"/>
      <c r="M375" s="267" t="n"/>
      <c r="N375" s="267" t="n"/>
    </row>
    <row r="376">
      <c r="I376" s="267" t="n"/>
      <c r="J376" s="267" t="n"/>
      <c r="K376" s="267" t="n"/>
      <c r="L376" s="267" t="n"/>
      <c r="M376" s="267" t="n"/>
      <c r="N376" s="267" t="n"/>
    </row>
    <row r="377">
      <c r="I377" s="267" t="n"/>
      <c r="J377" s="267" t="n"/>
      <c r="K377" s="267" t="n"/>
      <c r="L377" s="267" t="n"/>
      <c r="M377" s="267" t="n"/>
      <c r="N377" s="267" t="n"/>
    </row>
    <row r="378">
      <c r="I378" s="267" t="n"/>
      <c r="J378" s="267" t="n"/>
      <c r="K378" s="267" t="n"/>
      <c r="L378" s="267" t="n"/>
      <c r="M378" s="267" t="n"/>
      <c r="N378" s="267" t="n"/>
    </row>
    <row r="379">
      <c r="I379" s="267" t="n"/>
      <c r="J379" s="267" t="n"/>
      <c r="K379" s="267" t="n"/>
      <c r="L379" s="267" t="n"/>
      <c r="M379" s="267" t="n"/>
      <c r="N379" s="267" t="n"/>
    </row>
    <row r="380">
      <c r="I380" s="267" t="n"/>
      <c r="J380" s="267" t="n"/>
      <c r="K380" s="267" t="n"/>
      <c r="L380" s="267" t="n"/>
      <c r="M380" s="267" t="n"/>
      <c r="N380" s="267" t="n"/>
    </row>
    <row r="381">
      <c r="I381" s="267" t="n"/>
      <c r="J381" s="267" t="n"/>
      <c r="K381" s="267" t="n"/>
      <c r="L381" s="267" t="n"/>
      <c r="M381" s="267" t="n"/>
      <c r="N381" s="267" t="n"/>
    </row>
    <row r="382">
      <c r="I382" s="267" t="n"/>
      <c r="J382" s="267" t="n"/>
      <c r="K382" s="267" t="n"/>
      <c r="L382" s="267" t="n"/>
      <c r="M382" s="267" t="n"/>
      <c r="N382" s="267" t="n"/>
    </row>
    <row r="383">
      <c r="I383" s="267" t="n"/>
      <c r="J383" s="267" t="n"/>
      <c r="K383" s="267" t="n"/>
      <c r="L383" s="267" t="n"/>
      <c r="M383" s="267" t="n"/>
      <c r="N383" s="267" t="n"/>
    </row>
    <row r="384">
      <c r="I384" s="267" t="n"/>
      <c r="J384" s="267" t="n"/>
      <c r="K384" s="267" t="n"/>
      <c r="L384" s="267" t="n"/>
      <c r="M384" s="267" t="n"/>
      <c r="N384" s="267" t="n"/>
    </row>
    <row r="385">
      <c r="I385" s="267" t="n"/>
      <c r="J385" s="267" t="n"/>
      <c r="K385" s="267" t="n"/>
      <c r="L385" s="267" t="n"/>
      <c r="M385" s="267" t="n"/>
      <c r="N385" s="267" t="n"/>
    </row>
    <row r="386">
      <c r="I386" s="267" t="n"/>
      <c r="J386" s="267" t="n"/>
      <c r="K386" s="267" t="n"/>
      <c r="L386" s="267" t="n"/>
      <c r="M386" s="267" t="n"/>
      <c r="N386" s="267" t="n"/>
    </row>
    <row r="387">
      <c r="I387" s="267" t="n"/>
      <c r="J387" s="267" t="n"/>
      <c r="K387" s="267" t="n"/>
      <c r="L387" s="267" t="n"/>
      <c r="M387" s="267" t="n"/>
      <c r="N387" s="267" t="n"/>
    </row>
    <row r="388">
      <c r="I388" s="267" t="n"/>
      <c r="J388" s="267" t="n"/>
      <c r="K388" s="267" t="n"/>
      <c r="L388" s="267" t="n"/>
      <c r="M388" s="267" t="n"/>
      <c r="N388" s="267" t="n"/>
    </row>
    <row r="389">
      <c r="I389" s="267" t="n"/>
      <c r="J389" s="267" t="n"/>
      <c r="K389" s="267" t="n"/>
      <c r="L389" s="267" t="n"/>
      <c r="M389" s="267" t="n"/>
      <c r="N389" s="267" t="n"/>
    </row>
    <row r="390">
      <c r="I390" s="267" t="n"/>
      <c r="J390" s="267" t="n"/>
      <c r="K390" s="267" t="n"/>
      <c r="L390" s="267" t="n"/>
      <c r="M390" s="267" t="n"/>
      <c r="N390" s="267" t="n"/>
    </row>
    <row r="391">
      <c r="I391" s="267" t="n"/>
      <c r="J391" s="267" t="n"/>
      <c r="K391" s="267" t="n"/>
      <c r="L391" s="267" t="n"/>
      <c r="M391" s="267" t="n"/>
      <c r="N391" s="267" t="n"/>
    </row>
    <row r="392">
      <c r="I392" s="267" t="n"/>
      <c r="J392" s="267" t="n"/>
      <c r="K392" s="267" t="n"/>
      <c r="L392" s="267" t="n"/>
      <c r="M392" s="267" t="n"/>
      <c r="N392" s="267" t="n"/>
    </row>
    <row r="393">
      <c r="I393" s="267" t="n"/>
      <c r="J393" s="267" t="n"/>
      <c r="K393" s="267" t="n"/>
      <c r="L393" s="267" t="n"/>
      <c r="M393" s="267" t="n"/>
      <c r="N393" s="267" t="n"/>
    </row>
    <row r="394">
      <c r="I394" s="267" t="n"/>
      <c r="J394" s="267" t="n"/>
      <c r="K394" s="267" t="n"/>
      <c r="L394" s="267" t="n"/>
      <c r="M394" s="267" t="n"/>
      <c r="N394" s="267" t="n"/>
    </row>
    <row r="395">
      <c r="I395" s="267" t="n"/>
      <c r="J395" s="267" t="n"/>
      <c r="K395" s="267" t="n"/>
      <c r="L395" s="267" t="n"/>
      <c r="M395" s="267" t="n"/>
      <c r="N395" s="267" t="n"/>
    </row>
    <row r="396">
      <c r="I396" s="267" t="n"/>
      <c r="J396" s="267" t="n"/>
      <c r="K396" s="267" t="n"/>
      <c r="L396" s="267" t="n"/>
      <c r="M396" s="267" t="n"/>
      <c r="N396" s="267" t="n"/>
    </row>
    <row r="397">
      <c r="I397" s="267" t="n"/>
      <c r="J397" s="267" t="n"/>
      <c r="K397" s="267" t="n"/>
      <c r="L397" s="267" t="n"/>
      <c r="M397" s="267" t="n"/>
      <c r="N397" s="267" t="n"/>
    </row>
    <row r="398">
      <c r="I398" s="267" t="n"/>
      <c r="J398" s="267" t="n"/>
      <c r="K398" s="267" t="n"/>
      <c r="L398" s="267" t="n"/>
      <c r="M398" s="267" t="n"/>
      <c r="N398" s="267" t="n"/>
    </row>
    <row r="399">
      <c r="I399" s="267" t="n"/>
      <c r="J399" s="267" t="n"/>
      <c r="K399" s="267" t="n"/>
      <c r="L399" s="267" t="n"/>
      <c r="M399" s="267" t="n"/>
      <c r="N399" s="267" t="n"/>
    </row>
    <row r="400">
      <c r="I400" s="267" t="n"/>
      <c r="J400" s="267" t="n"/>
      <c r="K400" s="267" t="n"/>
      <c r="L400" s="267" t="n"/>
      <c r="M400" s="267" t="n"/>
      <c r="N400" s="267" t="n"/>
    </row>
    <row r="401">
      <c r="I401" s="267" t="n"/>
      <c r="J401" s="267" t="n"/>
      <c r="K401" s="267" t="n"/>
      <c r="L401" s="267" t="n"/>
      <c r="M401" s="267" t="n"/>
      <c r="N401" s="267" t="n"/>
    </row>
    <row r="402">
      <c r="I402" s="267" t="n"/>
      <c r="J402" s="267" t="n"/>
      <c r="K402" s="267" t="n"/>
      <c r="L402" s="267" t="n"/>
      <c r="M402" s="267" t="n"/>
      <c r="N402" s="267" t="n"/>
    </row>
    <row r="403">
      <c r="I403" s="267" t="n"/>
      <c r="J403" s="267" t="n"/>
      <c r="K403" s="267" t="n"/>
      <c r="L403" s="267" t="n"/>
      <c r="M403" s="267" t="n"/>
      <c r="N403" s="267" t="n"/>
    </row>
    <row r="404">
      <c r="I404" s="267" t="n"/>
      <c r="J404" s="267" t="n"/>
      <c r="K404" s="267" t="n"/>
      <c r="L404" s="267" t="n"/>
      <c r="M404" s="267" t="n"/>
      <c r="N404" s="267" t="n"/>
    </row>
    <row r="405">
      <c r="I405" s="267" t="n"/>
      <c r="J405" s="267" t="n"/>
      <c r="K405" s="267" t="n"/>
      <c r="L405" s="267" t="n"/>
      <c r="M405" s="267" t="n"/>
      <c r="N405" s="267" t="n"/>
    </row>
    <row r="406">
      <c r="I406" s="267" t="n"/>
      <c r="J406" s="267" t="n"/>
      <c r="K406" s="267" t="n"/>
      <c r="L406" s="267" t="n"/>
      <c r="M406" s="267" t="n"/>
      <c r="N406" s="267" t="n"/>
    </row>
    <row r="407">
      <c r="I407" s="267" t="n"/>
      <c r="J407" s="267" t="n"/>
      <c r="K407" s="267" t="n"/>
      <c r="L407" s="267" t="n"/>
      <c r="M407" s="267" t="n"/>
      <c r="N407" s="267" t="n"/>
    </row>
    <row r="408">
      <c r="I408" s="267" t="n"/>
      <c r="J408" s="267" t="n"/>
      <c r="K408" s="267" t="n"/>
      <c r="L408" s="267" t="n"/>
      <c r="M408" s="267" t="n"/>
      <c r="N408" s="267" t="n"/>
    </row>
    <row r="409">
      <c r="I409" s="267" t="n"/>
      <c r="J409" s="267" t="n"/>
      <c r="K409" s="267" t="n"/>
      <c r="L409" s="267" t="n"/>
      <c r="M409" s="267" t="n"/>
      <c r="N409" s="267" t="n"/>
    </row>
    <row r="410">
      <c r="I410" s="267" t="n"/>
      <c r="J410" s="267" t="n"/>
      <c r="K410" s="267" t="n"/>
      <c r="L410" s="267" t="n"/>
      <c r="M410" s="267" t="n"/>
      <c r="N410" s="267" t="n"/>
    </row>
    <row r="411">
      <c r="I411" s="267" t="n"/>
      <c r="J411" s="267" t="n"/>
      <c r="K411" s="267" t="n"/>
      <c r="L411" s="267" t="n"/>
      <c r="M411" s="267" t="n"/>
      <c r="N411" s="267" t="n"/>
    </row>
    <row r="412">
      <c r="I412" s="267" t="n"/>
      <c r="J412" s="267" t="n"/>
      <c r="K412" s="267" t="n"/>
      <c r="L412" s="267" t="n"/>
      <c r="M412" s="267" t="n"/>
      <c r="N412" s="267" t="n"/>
    </row>
    <row r="413">
      <c r="I413" s="267" t="n"/>
      <c r="J413" s="267" t="n"/>
      <c r="K413" s="267" t="n"/>
      <c r="L413" s="267" t="n"/>
      <c r="M413" s="267" t="n"/>
      <c r="N413" s="267" t="n"/>
    </row>
    <row r="414">
      <c r="I414" s="267" t="n"/>
      <c r="J414" s="267" t="n"/>
      <c r="K414" s="267" t="n"/>
      <c r="L414" s="267" t="n"/>
      <c r="M414" s="267" t="n"/>
      <c r="N414" s="267" t="n"/>
    </row>
    <row r="415">
      <c r="I415" s="267" t="n"/>
      <c r="J415" s="267" t="n"/>
      <c r="K415" s="267" t="n"/>
      <c r="L415" s="267" t="n"/>
      <c r="M415" s="267" t="n"/>
      <c r="N415" s="267" t="n"/>
    </row>
    <row r="416">
      <c r="I416" s="267" t="n"/>
      <c r="J416" s="267" t="n"/>
      <c r="K416" s="267" t="n"/>
      <c r="L416" s="267" t="n"/>
      <c r="M416" s="267" t="n"/>
      <c r="N416" s="267" t="n"/>
    </row>
    <row r="417">
      <c r="I417" s="267" t="n"/>
      <c r="J417" s="267" t="n"/>
      <c r="K417" s="267" t="n"/>
      <c r="L417" s="267" t="n"/>
      <c r="M417" s="267" t="n"/>
      <c r="N417" s="267" t="n"/>
    </row>
    <row r="418">
      <c r="I418" s="267" t="n"/>
      <c r="J418" s="267" t="n"/>
      <c r="K418" s="267" t="n"/>
      <c r="L418" s="267" t="n"/>
      <c r="M418" s="267" t="n"/>
      <c r="N418" s="267" t="n"/>
    </row>
    <row r="419">
      <c r="I419" s="267" t="n"/>
      <c r="J419" s="267" t="n"/>
      <c r="K419" s="267" t="n"/>
      <c r="L419" s="267" t="n"/>
      <c r="M419" s="267" t="n"/>
      <c r="N419" s="267" t="n"/>
    </row>
    <row r="420">
      <c r="I420" s="267" t="n"/>
      <c r="J420" s="267" t="n"/>
      <c r="K420" s="267" t="n"/>
      <c r="L420" s="267" t="n"/>
      <c r="M420" s="267" t="n"/>
      <c r="N420" s="267" t="n"/>
    </row>
    <row r="421">
      <c r="I421" s="267" t="n"/>
      <c r="J421" s="267" t="n"/>
      <c r="K421" s="267" t="n"/>
      <c r="L421" s="267" t="n"/>
      <c r="M421" s="267" t="n"/>
      <c r="N421" s="267" t="n"/>
    </row>
    <row r="422">
      <c r="I422" s="267" t="n"/>
      <c r="J422" s="267" t="n"/>
      <c r="K422" s="267" t="n"/>
      <c r="L422" s="267" t="n"/>
      <c r="M422" s="267" t="n"/>
      <c r="N422" s="267" t="n"/>
    </row>
    <row r="423">
      <c r="I423" s="267" t="n"/>
      <c r="J423" s="267" t="n"/>
      <c r="K423" s="267" t="n"/>
      <c r="L423" s="267" t="n"/>
      <c r="M423" s="267" t="n"/>
      <c r="N423" s="267" t="n"/>
    </row>
    <row r="424">
      <c r="I424" s="267" t="n"/>
      <c r="J424" s="267" t="n"/>
      <c r="K424" s="267" t="n"/>
      <c r="L424" s="267" t="n"/>
      <c r="M424" s="267" t="n"/>
      <c r="N424" s="267" t="n"/>
    </row>
    <row r="425">
      <c r="I425" s="267" t="n"/>
      <c r="J425" s="267" t="n"/>
      <c r="K425" s="267" t="n"/>
      <c r="L425" s="267" t="n"/>
      <c r="M425" s="267" t="n"/>
      <c r="N425" s="267" t="n"/>
    </row>
    <row r="426">
      <c r="I426" s="267" t="n"/>
      <c r="J426" s="267" t="n"/>
      <c r="K426" s="267" t="n"/>
      <c r="L426" s="267" t="n"/>
      <c r="M426" s="267" t="n"/>
      <c r="N426" s="267" t="n"/>
    </row>
    <row r="427">
      <c r="I427" s="267" t="n"/>
      <c r="J427" s="267" t="n"/>
      <c r="K427" s="267" t="n"/>
      <c r="L427" s="267" t="n"/>
      <c r="M427" s="267" t="n"/>
      <c r="N427" s="267" t="n"/>
    </row>
    <row r="428">
      <c r="I428" s="267" t="n"/>
      <c r="J428" s="267" t="n"/>
      <c r="K428" s="267" t="n"/>
      <c r="L428" s="267" t="n"/>
      <c r="M428" s="267" t="n"/>
      <c r="N428" s="267" t="n"/>
    </row>
    <row r="429">
      <c r="I429" s="267" t="n"/>
      <c r="J429" s="267" t="n"/>
      <c r="K429" s="267" t="n"/>
      <c r="L429" s="267" t="n"/>
      <c r="M429" s="267" t="n"/>
      <c r="N429" s="267" t="n"/>
    </row>
    <row r="430">
      <c r="I430" s="267" t="n"/>
      <c r="J430" s="267" t="n"/>
      <c r="K430" s="267" t="n"/>
      <c r="L430" s="267" t="n"/>
      <c r="M430" s="267" t="n"/>
      <c r="N430" s="267" t="n"/>
    </row>
    <row r="431">
      <c r="I431" s="267" t="n"/>
      <c r="J431" s="267" t="n"/>
      <c r="K431" s="267" t="n"/>
      <c r="L431" s="267" t="n"/>
      <c r="M431" s="267" t="n"/>
      <c r="N431" s="267" t="n"/>
    </row>
    <row r="432">
      <c r="I432" s="267" t="n"/>
      <c r="J432" s="267" t="n"/>
      <c r="K432" s="267" t="n"/>
      <c r="L432" s="267" t="n"/>
      <c r="M432" s="267" t="n"/>
      <c r="N432" s="267" t="n"/>
    </row>
    <row r="433">
      <c r="I433" s="267" t="n"/>
      <c r="J433" s="267" t="n"/>
      <c r="K433" s="267" t="n"/>
      <c r="L433" s="267" t="n"/>
      <c r="M433" s="267" t="n"/>
      <c r="N433" s="267" t="n"/>
    </row>
    <row r="434">
      <c r="I434" s="267" t="n"/>
      <c r="J434" s="267" t="n"/>
      <c r="K434" s="267" t="n"/>
      <c r="L434" s="267" t="n"/>
      <c r="M434" s="267" t="n"/>
      <c r="N434" s="267" t="n"/>
    </row>
    <row r="435">
      <c r="I435" s="267" t="n"/>
      <c r="J435" s="267" t="n"/>
      <c r="K435" s="267" t="n"/>
      <c r="L435" s="267" t="n"/>
      <c r="M435" s="267" t="n"/>
      <c r="N435" s="267" t="n"/>
    </row>
    <row r="436">
      <c r="I436" s="267" t="n"/>
      <c r="J436" s="267" t="n"/>
      <c r="K436" s="267" t="n"/>
      <c r="L436" s="267" t="n"/>
      <c r="M436" s="267" t="n"/>
      <c r="N436" s="267" t="n"/>
    </row>
    <row r="437">
      <c r="I437" s="267" t="n"/>
      <c r="J437" s="267" t="n"/>
      <c r="K437" s="267" t="n"/>
      <c r="L437" s="267" t="n"/>
      <c r="M437" s="267" t="n"/>
      <c r="N437" s="267" t="n"/>
    </row>
    <row r="438">
      <c r="I438" s="267" t="n"/>
      <c r="J438" s="267" t="n"/>
      <c r="K438" s="267" t="n"/>
      <c r="L438" s="267" t="n"/>
      <c r="M438" s="267" t="n"/>
      <c r="N438" s="267" t="n"/>
    </row>
    <row r="439">
      <c r="I439" s="267" t="n"/>
      <c r="J439" s="267" t="n"/>
      <c r="K439" s="267" t="n"/>
      <c r="L439" s="267" t="n"/>
      <c r="M439" s="267" t="n"/>
      <c r="N439" s="267" t="n"/>
    </row>
    <row r="440">
      <c r="I440" s="267" t="n"/>
      <c r="J440" s="267" t="n"/>
      <c r="K440" s="267" t="n"/>
      <c r="L440" s="267" t="n"/>
      <c r="M440" s="267" t="n"/>
      <c r="N440" s="267" t="n"/>
    </row>
    <row r="441">
      <c r="I441" s="267" t="n"/>
      <c r="J441" s="267" t="n"/>
      <c r="K441" s="267" t="n"/>
      <c r="L441" s="267" t="n"/>
      <c r="M441" s="267" t="n"/>
      <c r="N441" s="267" t="n"/>
    </row>
    <row r="442">
      <c r="I442" s="267" t="n"/>
      <c r="J442" s="267" t="n"/>
      <c r="K442" s="267" t="n"/>
      <c r="L442" s="267" t="n"/>
      <c r="M442" s="267" t="n"/>
      <c r="N442" s="267" t="n"/>
    </row>
    <row r="443">
      <c r="I443" s="267" t="n"/>
      <c r="J443" s="267" t="n"/>
      <c r="K443" s="267" t="n"/>
      <c r="L443" s="267" t="n"/>
      <c r="M443" s="267" t="n"/>
      <c r="N443" s="267" t="n"/>
    </row>
    <row r="444">
      <c r="I444" s="267" t="n"/>
      <c r="J444" s="267" t="n"/>
      <c r="K444" s="267" t="n"/>
      <c r="L444" s="267" t="n"/>
      <c r="M444" s="267" t="n"/>
      <c r="N444" s="267" t="n"/>
    </row>
    <row r="445">
      <c r="I445" s="267" t="n"/>
      <c r="J445" s="267" t="n"/>
      <c r="K445" s="267" t="n"/>
      <c r="L445" s="267" t="n"/>
      <c r="M445" s="267" t="n"/>
      <c r="N445" s="267" t="n"/>
    </row>
    <row r="446">
      <c r="I446" s="267" t="n"/>
      <c r="J446" s="267" t="n"/>
      <c r="K446" s="267" t="n"/>
      <c r="L446" s="267" t="n"/>
      <c r="M446" s="267" t="n"/>
      <c r="N446" s="267" t="n"/>
    </row>
    <row r="447">
      <c r="I447" s="267" t="n"/>
      <c r="J447" s="267" t="n"/>
      <c r="K447" s="267" t="n"/>
      <c r="L447" s="267" t="n"/>
      <c r="M447" s="267" t="n"/>
      <c r="N447" s="267" t="n"/>
    </row>
    <row r="448">
      <c r="I448" s="267" t="n"/>
      <c r="J448" s="267" t="n"/>
      <c r="K448" s="267" t="n"/>
      <c r="L448" s="267" t="n"/>
      <c r="M448" s="267" t="n"/>
      <c r="N448" s="267" t="n"/>
    </row>
    <row r="449">
      <c r="I449" s="267" t="n"/>
      <c r="J449" s="267" t="n"/>
      <c r="K449" s="267" t="n"/>
      <c r="L449" s="267" t="n"/>
      <c r="M449" s="267" t="n"/>
      <c r="N449" s="267" t="n"/>
    </row>
    <row r="450">
      <c r="I450" s="267" t="n"/>
      <c r="J450" s="267" t="n"/>
      <c r="K450" s="267" t="n"/>
      <c r="L450" s="267" t="n"/>
      <c r="M450" s="267" t="n"/>
      <c r="N450" s="267" t="n"/>
    </row>
    <row r="451">
      <c r="I451" s="267" t="n"/>
      <c r="J451" s="267" t="n"/>
      <c r="K451" s="267" t="n"/>
      <c r="L451" s="267" t="n"/>
      <c r="M451" s="267" t="n"/>
      <c r="N451" s="267" t="n"/>
    </row>
    <row r="452">
      <c r="I452" s="267" t="n"/>
      <c r="J452" s="267" t="n"/>
      <c r="K452" s="267" t="n"/>
      <c r="L452" s="267" t="n"/>
      <c r="M452" s="267" t="n"/>
      <c r="N452" s="267" t="n"/>
    </row>
    <row r="453">
      <c r="I453" s="267" t="n"/>
      <c r="J453" s="267" t="n"/>
      <c r="K453" s="267" t="n"/>
      <c r="L453" s="267" t="n"/>
      <c r="M453" s="267" t="n"/>
      <c r="N453" s="267" t="n"/>
    </row>
    <row r="454">
      <c r="I454" s="267" t="n"/>
      <c r="J454" s="267" t="n"/>
      <c r="K454" s="267" t="n"/>
      <c r="L454" s="267" t="n"/>
      <c r="M454" s="267" t="n"/>
      <c r="N454" s="267" t="n"/>
    </row>
    <row r="455">
      <c r="I455" s="267" t="n"/>
      <c r="J455" s="267" t="n"/>
      <c r="K455" s="267" t="n"/>
      <c r="L455" s="267" t="n"/>
      <c r="M455" s="267" t="n"/>
      <c r="N455" s="267" t="n"/>
    </row>
    <row r="456">
      <c r="I456" s="267" t="n"/>
      <c r="J456" s="267" t="n"/>
      <c r="K456" s="267" t="n"/>
      <c r="L456" s="267" t="n"/>
      <c r="M456" s="267" t="n"/>
      <c r="N456" s="267" t="n"/>
    </row>
    <row r="457">
      <c r="I457" s="267" t="n"/>
      <c r="J457" s="267" t="n"/>
      <c r="K457" s="267" t="n"/>
      <c r="L457" s="267" t="n"/>
      <c r="M457" s="267" t="n"/>
      <c r="N457" s="267" t="n"/>
    </row>
    <row r="458">
      <c r="I458" s="267" t="n"/>
      <c r="J458" s="267" t="n"/>
      <c r="K458" s="267" t="n"/>
      <c r="L458" s="267" t="n"/>
      <c r="M458" s="267" t="n"/>
      <c r="N458" s="267" t="n"/>
    </row>
    <row r="459">
      <c r="I459" s="267" t="n"/>
      <c r="J459" s="267" t="n"/>
      <c r="K459" s="267" t="n"/>
      <c r="L459" s="267" t="n"/>
      <c r="M459" s="267" t="n"/>
      <c r="N459" s="267" t="n"/>
    </row>
    <row r="460">
      <c r="I460" s="267" t="n"/>
      <c r="J460" s="267" t="n"/>
      <c r="K460" s="267" t="n"/>
      <c r="L460" s="267" t="n"/>
      <c r="M460" s="267" t="n"/>
      <c r="N460" s="267" t="n"/>
    </row>
    <row r="461">
      <c r="I461" s="267" t="n"/>
      <c r="J461" s="267" t="n"/>
      <c r="K461" s="267" t="n"/>
      <c r="L461" s="267" t="n"/>
      <c r="M461" s="267" t="n"/>
      <c r="N461" s="267" t="n"/>
    </row>
    <row r="462">
      <c r="I462" s="267" t="n"/>
      <c r="J462" s="267" t="n"/>
      <c r="K462" s="267" t="n"/>
      <c r="L462" s="267" t="n"/>
      <c r="M462" s="267" t="n"/>
      <c r="N462" s="267" t="n"/>
    </row>
    <row r="463">
      <c r="I463" s="267" t="n"/>
      <c r="J463" s="267" t="n"/>
      <c r="K463" s="267" t="n"/>
      <c r="L463" s="267" t="n"/>
      <c r="M463" s="267" t="n"/>
      <c r="N463" s="267" t="n"/>
    </row>
    <row r="464">
      <c r="I464" s="267" t="n"/>
      <c r="J464" s="267" t="n"/>
      <c r="K464" s="267" t="n"/>
      <c r="L464" s="267" t="n"/>
      <c r="M464" s="267" t="n"/>
      <c r="N464" s="267" t="n"/>
    </row>
    <row r="465">
      <c r="I465" s="267" t="n"/>
      <c r="J465" s="267" t="n"/>
      <c r="K465" s="267" t="n"/>
      <c r="L465" s="267" t="n"/>
      <c r="M465" s="267" t="n"/>
      <c r="N465" s="267" t="n"/>
    </row>
    <row r="466">
      <c r="I466" s="267" t="n"/>
      <c r="J466" s="267" t="n"/>
      <c r="K466" s="267" t="n"/>
      <c r="L466" s="267" t="n"/>
      <c r="M466" s="267" t="n"/>
      <c r="N466" s="267" t="n"/>
    </row>
    <row r="467">
      <c r="I467" s="267" t="n"/>
      <c r="J467" s="267" t="n"/>
      <c r="K467" s="267" t="n"/>
      <c r="L467" s="267" t="n"/>
      <c r="M467" s="267" t="n"/>
      <c r="N467" s="267" t="n"/>
    </row>
    <row r="468">
      <c r="I468" s="267" t="n"/>
      <c r="J468" s="267" t="n"/>
      <c r="K468" s="267" t="n"/>
      <c r="L468" s="267" t="n"/>
      <c r="M468" s="267" t="n"/>
      <c r="N468" s="267" t="n"/>
    </row>
    <row r="469">
      <c r="I469" s="267" t="n"/>
      <c r="J469" s="267" t="n"/>
      <c r="K469" s="267" t="n"/>
      <c r="L469" s="267" t="n"/>
      <c r="M469" s="267" t="n"/>
      <c r="N469" s="267" t="n"/>
    </row>
    <row r="470">
      <c r="I470" s="267" t="n"/>
      <c r="J470" s="267" t="n"/>
      <c r="K470" s="267" t="n"/>
      <c r="L470" s="267" t="n"/>
      <c r="M470" s="267" t="n"/>
      <c r="N470" s="267" t="n"/>
    </row>
    <row r="471">
      <c r="I471" s="267" t="n"/>
      <c r="J471" s="267" t="n"/>
      <c r="K471" s="267" t="n"/>
      <c r="L471" s="267" t="n"/>
      <c r="M471" s="267" t="n"/>
      <c r="N471" s="267" t="n"/>
    </row>
    <row r="472">
      <c r="I472" s="267" t="n"/>
      <c r="J472" s="267" t="n"/>
      <c r="K472" s="267" t="n"/>
      <c r="L472" s="267" t="n"/>
      <c r="M472" s="267" t="n"/>
      <c r="N472" s="267" t="n"/>
    </row>
    <row r="473">
      <c r="I473" s="267" t="n"/>
      <c r="J473" s="267" t="n"/>
      <c r="K473" s="267" t="n"/>
      <c r="L473" s="267" t="n"/>
      <c r="M473" s="267" t="n"/>
      <c r="N473" s="267" t="n"/>
    </row>
    <row r="474">
      <c r="I474" s="267" t="n"/>
      <c r="J474" s="267" t="n"/>
      <c r="K474" s="267" t="n"/>
      <c r="L474" s="267" t="n"/>
      <c r="M474" s="267" t="n"/>
      <c r="N474" s="267" t="n"/>
    </row>
    <row r="475">
      <c r="I475" s="267" t="n"/>
      <c r="J475" s="267" t="n"/>
      <c r="K475" s="267" t="n"/>
      <c r="L475" s="267" t="n"/>
      <c r="M475" s="267" t="n"/>
      <c r="N475" s="267" t="n"/>
    </row>
    <row r="476">
      <c r="I476" s="267" t="n"/>
      <c r="J476" s="267" t="n"/>
      <c r="K476" s="267" t="n"/>
      <c r="L476" s="267" t="n"/>
      <c r="M476" s="267" t="n"/>
      <c r="N476" s="267" t="n"/>
    </row>
    <row r="477">
      <c r="I477" s="267" t="n"/>
      <c r="J477" s="267" t="n"/>
      <c r="K477" s="267" t="n"/>
      <c r="L477" s="267" t="n"/>
      <c r="M477" s="267" t="n"/>
      <c r="N477" s="267" t="n"/>
    </row>
    <row r="478">
      <c r="I478" s="267" t="n"/>
      <c r="J478" s="267" t="n"/>
      <c r="K478" s="267" t="n"/>
      <c r="L478" s="267" t="n"/>
      <c r="M478" s="267" t="n"/>
      <c r="N478" s="267" t="n"/>
    </row>
    <row r="479">
      <c r="I479" s="267" t="n"/>
      <c r="J479" s="267" t="n"/>
      <c r="K479" s="267" t="n"/>
      <c r="L479" s="267" t="n"/>
      <c r="M479" s="267" t="n"/>
      <c r="N479" s="267" t="n"/>
    </row>
    <row r="480">
      <c r="I480" s="267" t="n"/>
      <c r="J480" s="267" t="n"/>
      <c r="K480" s="267" t="n"/>
      <c r="L480" s="267" t="n"/>
      <c r="M480" s="267" t="n"/>
      <c r="N480" s="267" t="n"/>
    </row>
    <row r="481">
      <c r="I481" s="267" t="n"/>
      <c r="J481" s="267" t="n"/>
      <c r="K481" s="267" t="n"/>
      <c r="L481" s="267" t="n"/>
      <c r="M481" s="267" t="n"/>
      <c r="N481" s="267" t="n"/>
    </row>
    <row r="482">
      <c r="I482" s="267" t="n"/>
      <c r="J482" s="267" t="n"/>
      <c r="K482" s="267" t="n"/>
      <c r="L482" s="267" t="n"/>
      <c r="M482" s="267" t="n"/>
      <c r="N482" s="267" t="n"/>
    </row>
    <row r="483">
      <c r="I483" s="267" t="n"/>
      <c r="J483" s="267" t="n"/>
      <c r="K483" s="267" t="n"/>
      <c r="L483" s="267" t="n"/>
      <c r="M483" s="267" t="n"/>
      <c r="N483" s="267" t="n"/>
    </row>
    <row r="484">
      <c r="I484" s="267" t="n"/>
      <c r="J484" s="267" t="n"/>
      <c r="K484" s="267" t="n"/>
      <c r="L484" s="267" t="n"/>
      <c r="M484" s="267" t="n"/>
      <c r="N484" s="267" t="n"/>
    </row>
    <row r="485">
      <c r="I485" s="267" t="n"/>
      <c r="J485" s="267" t="n"/>
      <c r="K485" s="267" t="n"/>
      <c r="L485" s="267" t="n"/>
      <c r="M485" s="267" t="n"/>
      <c r="N485" s="267" t="n"/>
    </row>
    <row r="486">
      <c r="I486" s="267" t="n"/>
      <c r="J486" s="267" t="n"/>
      <c r="K486" s="267" t="n"/>
      <c r="L486" s="267" t="n"/>
      <c r="M486" s="267" t="n"/>
      <c r="N486" s="267" t="n"/>
    </row>
    <row r="487">
      <c r="I487" s="267" t="n"/>
      <c r="J487" s="267" t="n"/>
      <c r="K487" s="267" t="n"/>
      <c r="L487" s="267" t="n"/>
      <c r="M487" s="267" t="n"/>
      <c r="N487" s="267" t="n"/>
    </row>
    <row r="488">
      <c r="I488" s="267" t="n"/>
      <c r="J488" s="267" t="n"/>
      <c r="K488" s="267" t="n"/>
      <c r="L488" s="267" t="n"/>
      <c r="M488" s="267" t="n"/>
      <c r="N488" s="267" t="n"/>
    </row>
    <row r="489">
      <c r="I489" s="267" t="n"/>
      <c r="J489" s="267" t="n"/>
      <c r="K489" s="267" t="n"/>
      <c r="L489" s="267" t="n"/>
      <c r="M489" s="267" t="n"/>
      <c r="N489" s="267" t="n"/>
    </row>
    <row r="490">
      <c r="I490" s="267" t="n"/>
      <c r="J490" s="267" t="n"/>
      <c r="K490" s="267" t="n"/>
      <c r="L490" s="267" t="n"/>
      <c r="M490" s="267" t="n"/>
      <c r="N490" s="267" t="n"/>
    </row>
    <row r="491">
      <c r="I491" s="267" t="n"/>
      <c r="J491" s="267" t="n"/>
      <c r="K491" s="267" t="n"/>
      <c r="L491" s="267" t="n"/>
      <c r="M491" s="267" t="n"/>
      <c r="N491" s="267" t="n"/>
    </row>
    <row r="492">
      <c r="I492" s="267" t="n"/>
      <c r="J492" s="267" t="n"/>
      <c r="K492" s="267" t="n"/>
      <c r="L492" s="267" t="n"/>
      <c r="M492" s="267" t="n"/>
      <c r="N492" s="267" t="n"/>
    </row>
    <row r="493">
      <c r="I493" s="267" t="n"/>
      <c r="J493" s="267" t="n"/>
      <c r="K493" s="267" t="n"/>
      <c r="L493" s="267" t="n"/>
      <c r="M493" s="267" t="n"/>
      <c r="N493" s="267" t="n"/>
    </row>
    <row r="494">
      <c r="I494" s="267" t="n"/>
      <c r="J494" s="267" t="n"/>
      <c r="K494" s="267" t="n"/>
      <c r="L494" s="267" t="n"/>
      <c r="M494" s="267" t="n"/>
      <c r="N494" s="267" t="n"/>
    </row>
    <row r="495">
      <c r="I495" s="267" t="n"/>
      <c r="J495" s="267" t="n"/>
      <c r="K495" s="267" t="n"/>
      <c r="L495" s="267" t="n"/>
      <c r="M495" s="267" t="n"/>
      <c r="N495" s="267" t="n"/>
    </row>
    <row r="496">
      <c r="I496" s="267" t="n"/>
      <c r="J496" s="267" t="n"/>
      <c r="K496" s="267" t="n"/>
      <c r="L496" s="267" t="n"/>
      <c r="M496" s="267" t="n"/>
      <c r="N496" s="267" t="n"/>
    </row>
    <row r="497">
      <c r="I497" s="267" t="n"/>
      <c r="J497" s="267" t="n"/>
      <c r="K497" s="267" t="n"/>
      <c r="L497" s="267" t="n"/>
      <c r="M497" s="267" t="n"/>
      <c r="N497" s="267" t="n"/>
    </row>
    <row r="498">
      <c r="I498" s="267" t="n"/>
      <c r="J498" s="267" t="n"/>
      <c r="K498" s="267" t="n"/>
      <c r="L498" s="267" t="n"/>
      <c r="M498" s="267" t="n"/>
      <c r="N498" s="267" t="n"/>
    </row>
    <row r="499">
      <c r="I499" s="267" t="n"/>
      <c r="J499" s="267" t="n"/>
      <c r="K499" s="267" t="n"/>
      <c r="L499" s="267" t="n"/>
      <c r="M499" s="267" t="n"/>
      <c r="N499" s="267" t="n"/>
    </row>
    <row r="500">
      <c r="I500" s="267" t="n"/>
      <c r="J500" s="267" t="n"/>
      <c r="K500" s="267" t="n"/>
      <c r="L500" s="267" t="n"/>
      <c r="M500" s="267" t="n"/>
      <c r="N500" s="267" t="n"/>
    </row>
    <row r="501">
      <c r="I501" s="267" t="n"/>
      <c r="J501" s="267" t="n"/>
      <c r="K501" s="267" t="n"/>
      <c r="L501" s="267" t="n"/>
      <c r="M501" s="267" t="n"/>
      <c r="N501" s="267" t="n"/>
    </row>
    <row r="502">
      <c r="I502" s="267" t="n"/>
      <c r="J502" s="267" t="n"/>
      <c r="K502" s="267" t="n"/>
      <c r="L502" s="267" t="n"/>
      <c r="M502" s="267" t="n"/>
      <c r="N502" s="267" t="n"/>
    </row>
    <row r="503">
      <c r="I503" s="267" t="n"/>
      <c r="J503" s="267" t="n"/>
      <c r="K503" s="267" t="n"/>
      <c r="L503" s="267" t="n"/>
      <c r="M503" s="267" t="n"/>
      <c r="N503" s="267" t="n"/>
    </row>
    <row r="504">
      <c r="I504" s="267" t="n"/>
      <c r="J504" s="267" t="n"/>
      <c r="K504" s="267" t="n"/>
      <c r="L504" s="267" t="n"/>
      <c r="M504" s="267" t="n"/>
      <c r="N504" s="267" t="n"/>
    </row>
    <row r="505">
      <c r="I505" s="267" t="n"/>
      <c r="J505" s="267" t="n"/>
      <c r="K505" s="267" t="n"/>
      <c r="L505" s="267" t="n"/>
      <c r="M505" s="267" t="n"/>
      <c r="N505" s="267" t="n"/>
    </row>
    <row r="506">
      <c r="I506" s="267" t="n"/>
      <c r="J506" s="267" t="n"/>
      <c r="K506" s="267" t="n"/>
      <c r="L506" s="267" t="n"/>
      <c r="M506" s="267" t="n"/>
      <c r="N506" s="267" t="n"/>
    </row>
    <row r="507">
      <c r="I507" s="267" t="n"/>
      <c r="J507" s="267" t="n"/>
      <c r="K507" s="267" t="n"/>
      <c r="L507" s="267" t="n"/>
      <c r="M507" s="267" t="n"/>
      <c r="N507" s="267" t="n"/>
    </row>
    <row r="508">
      <c r="I508" s="267" t="n"/>
      <c r="J508" s="267" t="n"/>
      <c r="K508" s="267" t="n"/>
      <c r="L508" s="267" t="n"/>
      <c r="M508" s="267" t="n"/>
      <c r="N508" s="267" t="n"/>
    </row>
    <row r="509">
      <c r="I509" s="267" t="n"/>
      <c r="J509" s="267" t="n"/>
      <c r="K509" s="267" t="n"/>
      <c r="L509" s="267" t="n"/>
      <c r="M509" s="267" t="n"/>
      <c r="N509" s="267" t="n"/>
    </row>
    <row r="510">
      <c r="I510" s="267" t="n"/>
      <c r="J510" s="267" t="n"/>
      <c r="K510" s="267" t="n"/>
      <c r="L510" s="267" t="n"/>
      <c r="M510" s="267" t="n"/>
      <c r="N510" s="267" t="n"/>
    </row>
    <row r="511">
      <c r="I511" s="267" t="n"/>
      <c r="J511" s="267" t="n"/>
      <c r="K511" s="267" t="n"/>
      <c r="L511" s="267" t="n"/>
      <c r="M511" s="267" t="n"/>
      <c r="N511" s="267" t="n"/>
    </row>
    <row r="512">
      <c r="I512" s="267" t="n"/>
      <c r="J512" s="267" t="n"/>
      <c r="K512" s="267" t="n"/>
      <c r="L512" s="267" t="n"/>
      <c r="M512" s="267" t="n"/>
      <c r="N512" s="267" t="n"/>
    </row>
    <row r="513">
      <c r="I513" s="267" t="n"/>
      <c r="J513" s="267" t="n"/>
      <c r="K513" s="267" t="n"/>
      <c r="L513" s="267" t="n"/>
      <c r="M513" s="267" t="n"/>
      <c r="N513" s="267" t="n"/>
    </row>
    <row r="514">
      <c r="I514" s="267" t="n"/>
      <c r="J514" s="267" t="n"/>
      <c r="K514" s="267" t="n"/>
      <c r="L514" s="267" t="n"/>
      <c r="M514" s="267" t="n"/>
      <c r="N514" s="267" t="n"/>
    </row>
    <row r="515">
      <c r="I515" s="267" t="n"/>
      <c r="J515" s="267" t="n"/>
      <c r="K515" s="267" t="n"/>
      <c r="L515" s="267" t="n"/>
      <c r="M515" s="267" t="n"/>
      <c r="N515" s="267" t="n"/>
    </row>
    <row r="516">
      <c r="I516" s="267" t="n"/>
      <c r="J516" s="267" t="n"/>
      <c r="K516" s="267" t="n"/>
      <c r="L516" s="267" t="n"/>
      <c r="M516" s="267" t="n"/>
      <c r="N516" s="267" t="n"/>
    </row>
    <row r="517">
      <c r="I517" s="267" t="n"/>
      <c r="J517" s="267" t="n"/>
      <c r="K517" s="267" t="n"/>
      <c r="L517" s="267" t="n"/>
      <c r="M517" s="267" t="n"/>
      <c r="N517" s="267" t="n"/>
    </row>
    <row r="518">
      <c r="I518" s="267" t="n"/>
      <c r="J518" s="267" t="n"/>
      <c r="K518" s="267" t="n"/>
      <c r="L518" s="267" t="n"/>
      <c r="M518" s="267" t="n"/>
      <c r="N518" s="267" t="n"/>
    </row>
    <row r="519">
      <c r="I519" s="267" t="n"/>
      <c r="J519" s="267" t="n"/>
      <c r="K519" s="267" t="n"/>
      <c r="L519" s="267" t="n"/>
      <c r="M519" s="267" t="n"/>
      <c r="N519" s="267" t="n"/>
    </row>
    <row r="520">
      <c r="I520" s="267" t="n"/>
      <c r="J520" s="267" t="n"/>
      <c r="K520" s="267" t="n"/>
      <c r="L520" s="267" t="n"/>
      <c r="M520" s="267" t="n"/>
      <c r="N520" s="267" t="n"/>
    </row>
    <row r="521">
      <c r="I521" s="267" t="n"/>
      <c r="J521" s="267" t="n"/>
      <c r="K521" s="267" t="n"/>
      <c r="L521" s="267" t="n"/>
      <c r="M521" s="267" t="n"/>
      <c r="N521" s="267" t="n"/>
    </row>
    <row r="522">
      <c r="I522" s="267" t="n"/>
      <c r="J522" s="267" t="n"/>
      <c r="K522" s="267" t="n"/>
      <c r="L522" s="267" t="n"/>
      <c r="M522" s="267" t="n"/>
      <c r="N522" s="267" t="n"/>
    </row>
    <row r="523">
      <c r="I523" s="267" t="n"/>
      <c r="J523" s="267" t="n"/>
      <c r="K523" s="267" t="n"/>
      <c r="L523" s="267" t="n"/>
      <c r="M523" s="267" t="n"/>
      <c r="N523" s="267" t="n"/>
    </row>
    <row r="524">
      <c r="I524" s="267" t="n"/>
      <c r="J524" s="267" t="n"/>
      <c r="K524" s="267" t="n"/>
      <c r="L524" s="267" t="n"/>
      <c r="M524" s="267" t="n"/>
      <c r="N524" s="267" t="n"/>
    </row>
    <row r="525">
      <c r="I525" s="267" t="n"/>
      <c r="J525" s="267" t="n"/>
      <c r="K525" s="267" t="n"/>
      <c r="L525" s="267" t="n"/>
      <c r="M525" s="267" t="n"/>
      <c r="N525" s="267" t="n"/>
    </row>
    <row r="526">
      <c r="I526" s="267" t="n"/>
      <c r="J526" s="267" t="n"/>
      <c r="K526" s="267" t="n"/>
      <c r="L526" s="267" t="n"/>
      <c r="M526" s="267" t="n"/>
      <c r="N526" s="267" t="n"/>
    </row>
    <row r="527">
      <c r="I527" s="267" t="n"/>
      <c r="J527" s="267" t="n"/>
      <c r="K527" s="267" t="n"/>
      <c r="L527" s="267" t="n"/>
      <c r="M527" s="267" t="n"/>
      <c r="N527" s="267" t="n"/>
    </row>
    <row r="528">
      <c r="I528" s="267" t="n"/>
      <c r="J528" s="267" t="n"/>
      <c r="K528" s="267" t="n"/>
      <c r="L528" s="267" t="n"/>
      <c r="M528" s="267" t="n"/>
      <c r="N528" s="267" t="n"/>
    </row>
    <row r="529">
      <c r="I529" s="267" t="n"/>
      <c r="J529" s="267" t="n"/>
      <c r="K529" s="267" t="n"/>
      <c r="L529" s="267" t="n"/>
      <c r="M529" s="267" t="n"/>
      <c r="N529" s="267" t="n"/>
    </row>
    <row r="530">
      <c r="I530" s="267" t="n"/>
      <c r="J530" s="267" t="n"/>
      <c r="K530" s="267" t="n"/>
      <c r="L530" s="267" t="n"/>
      <c r="M530" s="267" t="n"/>
      <c r="N530" s="267" t="n"/>
    </row>
    <row r="531">
      <c r="I531" s="267" t="n"/>
      <c r="J531" s="267" t="n"/>
      <c r="K531" s="267" t="n"/>
      <c r="L531" s="267" t="n"/>
      <c r="M531" s="267" t="n"/>
      <c r="N531" s="267" t="n"/>
    </row>
    <row r="532">
      <c r="I532" s="267" t="n"/>
      <c r="J532" s="267" t="n"/>
      <c r="K532" s="267" t="n"/>
      <c r="L532" s="267" t="n"/>
      <c r="M532" s="267" t="n"/>
      <c r="N532" s="267" t="n"/>
    </row>
    <row r="533">
      <c r="I533" s="267" t="n"/>
      <c r="J533" s="267" t="n"/>
      <c r="K533" s="267" t="n"/>
      <c r="L533" s="267" t="n"/>
      <c r="M533" s="267" t="n"/>
      <c r="N533" s="267" t="n"/>
    </row>
    <row r="534">
      <c r="I534" s="267" t="n"/>
      <c r="J534" s="267" t="n"/>
      <c r="K534" s="267" t="n"/>
      <c r="L534" s="267" t="n"/>
      <c r="M534" s="267" t="n"/>
      <c r="N534" s="267" t="n"/>
    </row>
    <row r="535">
      <c r="I535" s="267" t="n"/>
      <c r="J535" s="267" t="n"/>
      <c r="K535" s="267" t="n"/>
      <c r="L535" s="267" t="n"/>
      <c r="M535" s="267" t="n"/>
      <c r="N535" s="267" t="n"/>
    </row>
    <row r="536">
      <c r="I536" s="267" t="n"/>
      <c r="J536" s="267" t="n"/>
      <c r="K536" s="267" t="n"/>
      <c r="L536" s="267" t="n"/>
      <c r="M536" s="267" t="n"/>
      <c r="N536" s="267" t="n"/>
    </row>
    <row r="537">
      <c r="I537" s="267" t="n"/>
      <c r="J537" s="267" t="n"/>
      <c r="K537" s="267" t="n"/>
      <c r="L537" s="267" t="n"/>
      <c r="M537" s="267" t="n"/>
      <c r="N537" s="267" t="n"/>
    </row>
    <row r="538">
      <c r="I538" s="267" t="n"/>
      <c r="J538" s="267" t="n"/>
      <c r="K538" s="267" t="n"/>
      <c r="L538" s="267" t="n"/>
      <c r="M538" s="267" t="n"/>
      <c r="N538" s="267" t="n"/>
    </row>
    <row r="539">
      <c r="I539" s="267" t="n"/>
      <c r="J539" s="267" t="n"/>
      <c r="K539" s="267" t="n"/>
      <c r="L539" s="267" t="n"/>
      <c r="M539" s="267" t="n"/>
      <c r="N539" s="267" t="n"/>
    </row>
    <row r="540">
      <c r="I540" s="267" t="n"/>
      <c r="J540" s="267" t="n"/>
      <c r="K540" s="267" t="n"/>
      <c r="L540" s="267" t="n"/>
      <c r="M540" s="267" t="n"/>
      <c r="N540" s="267" t="n"/>
    </row>
    <row r="541">
      <c r="I541" s="267" t="n"/>
      <c r="J541" s="267" t="n"/>
      <c r="K541" s="267" t="n"/>
      <c r="L541" s="267" t="n"/>
      <c r="M541" s="267" t="n"/>
      <c r="N541" s="267" t="n"/>
    </row>
    <row r="542">
      <c r="I542" s="267" t="n"/>
      <c r="J542" s="267" t="n"/>
      <c r="K542" s="267" t="n"/>
      <c r="L542" s="267" t="n"/>
      <c r="M542" s="267" t="n"/>
      <c r="N542" s="267" t="n"/>
    </row>
    <row r="543">
      <c r="I543" s="267" t="n"/>
      <c r="J543" s="267" t="n"/>
      <c r="K543" s="267" t="n"/>
      <c r="L543" s="267" t="n"/>
      <c r="M543" s="267" t="n"/>
      <c r="N543" s="267" t="n"/>
    </row>
    <row r="544">
      <c r="I544" s="267" t="n"/>
      <c r="J544" s="267" t="n"/>
      <c r="K544" s="267" t="n"/>
      <c r="L544" s="267" t="n"/>
      <c r="M544" s="267" t="n"/>
      <c r="N544" s="267" t="n"/>
    </row>
    <row r="545">
      <c r="I545" s="267" t="n"/>
      <c r="J545" s="267" t="n"/>
      <c r="K545" s="267" t="n"/>
      <c r="L545" s="267" t="n"/>
      <c r="M545" s="267" t="n"/>
      <c r="N545" s="267" t="n"/>
    </row>
    <row r="546">
      <c r="I546" s="267" t="n"/>
      <c r="J546" s="267" t="n"/>
      <c r="K546" s="267" t="n"/>
      <c r="L546" s="267" t="n"/>
      <c r="M546" s="267" t="n"/>
      <c r="N546" s="267" t="n"/>
    </row>
    <row r="547">
      <c r="I547" s="267" t="n"/>
      <c r="J547" s="267" t="n"/>
      <c r="K547" s="267" t="n"/>
      <c r="L547" s="267" t="n"/>
      <c r="M547" s="267" t="n"/>
      <c r="N547" s="267" t="n"/>
    </row>
    <row r="548">
      <c r="I548" s="267" t="n"/>
      <c r="J548" s="267" t="n"/>
      <c r="K548" s="267" t="n"/>
      <c r="L548" s="267" t="n"/>
      <c r="M548" s="267" t="n"/>
      <c r="N548" s="267" t="n"/>
    </row>
    <row r="549">
      <c r="I549" s="267" t="n"/>
      <c r="J549" s="267" t="n"/>
      <c r="K549" s="267" t="n"/>
      <c r="L549" s="267" t="n"/>
      <c r="M549" s="267" t="n"/>
      <c r="N549" s="267" t="n"/>
    </row>
    <row r="550">
      <c r="I550" s="267" t="n"/>
      <c r="J550" s="267" t="n"/>
      <c r="K550" s="267" t="n"/>
      <c r="L550" s="267" t="n"/>
      <c r="M550" s="267" t="n"/>
      <c r="N550" s="267" t="n"/>
    </row>
    <row r="551">
      <c r="I551" s="267" t="n"/>
      <c r="J551" s="267" t="n"/>
      <c r="K551" s="267" t="n"/>
      <c r="L551" s="267" t="n"/>
      <c r="M551" s="267" t="n"/>
      <c r="N551" s="267" t="n"/>
    </row>
    <row r="552">
      <c r="I552" s="267" t="n"/>
      <c r="J552" s="267" t="n"/>
      <c r="K552" s="267" t="n"/>
      <c r="L552" s="267" t="n"/>
      <c r="M552" s="267" t="n"/>
      <c r="N552" s="267" t="n"/>
    </row>
    <row r="553">
      <c r="I553" s="267" t="n"/>
      <c r="J553" s="267" t="n"/>
      <c r="K553" s="267" t="n"/>
      <c r="L553" s="267" t="n"/>
      <c r="M553" s="267" t="n"/>
      <c r="N553" s="267" t="n"/>
    </row>
    <row r="554">
      <c r="I554" s="267" t="n"/>
      <c r="J554" s="267" t="n"/>
      <c r="K554" s="267" t="n"/>
      <c r="L554" s="267" t="n"/>
      <c r="M554" s="267" t="n"/>
      <c r="N554" s="267" t="n"/>
    </row>
    <row r="555">
      <c r="I555" s="267" t="n"/>
      <c r="J555" s="267" t="n"/>
      <c r="K555" s="267" t="n"/>
      <c r="L555" s="267" t="n"/>
      <c r="M555" s="267" t="n"/>
      <c r="N555" s="267" t="n"/>
    </row>
    <row r="556">
      <c r="I556" s="267" t="n"/>
      <c r="J556" s="267" t="n"/>
      <c r="K556" s="267" t="n"/>
      <c r="L556" s="267" t="n"/>
      <c r="M556" s="267" t="n"/>
      <c r="N556" s="267" t="n"/>
    </row>
    <row r="557">
      <c r="I557" s="267" t="n"/>
      <c r="J557" s="267" t="n"/>
      <c r="K557" s="267" t="n"/>
      <c r="L557" s="267" t="n"/>
      <c r="M557" s="267" t="n"/>
      <c r="N557" s="267" t="n"/>
    </row>
    <row r="558">
      <c r="I558" s="267" t="n"/>
      <c r="J558" s="267" t="n"/>
      <c r="K558" s="267" t="n"/>
      <c r="L558" s="267" t="n"/>
      <c r="M558" s="267" t="n"/>
      <c r="N558" s="267" t="n"/>
    </row>
    <row r="559">
      <c r="I559" s="267" t="n"/>
      <c r="J559" s="267" t="n"/>
      <c r="K559" s="267" t="n"/>
      <c r="L559" s="267" t="n"/>
      <c r="M559" s="267" t="n"/>
      <c r="N559" s="267" t="n"/>
    </row>
    <row r="560">
      <c r="I560" s="267" t="n"/>
      <c r="J560" s="267" t="n"/>
      <c r="K560" s="267" t="n"/>
      <c r="L560" s="267" t="n"/>
      <c r="M560" s="267" t="n"/>
      <c r="N560" s="267" t="n"/>
    </row>
    <row r="561">
      <c r="I561" s="267" t="n"/>
      <c r="J561" s="267" t="n"/>
      <c r="K561" s="267" t="n"/>
      <c r="L561" s="267" t="n"/>
      <c r="M561" s="267" t="n"/>
      <c r="N561" s="267" t="n"/>
    </row>
    <row r="562">
      <c r="I562" s="267" t="n"/>
      <c r="J562" s="267" t="n"/>
      <c r="K562" s="267" t="n"/>
      <c r="L562" s="267" t="n"/>
      <c r="M562" s="267" t="n"/>
      <c r="N562" s="267" t="n"/>
    </row>
    <row r="563">
      <c r="I563" s="267" t="n"/>
      <c r="J563" s="267" t="n"/>
      <c r="K563" s="267" t="n"/>
      <c r="L563" s="267" t="n"/>
      <c r="M563" s="267" t="n"/>
      <c r="N563" s="267" t="n"/>
    </row>
    <row r="564">
      <c r="I564" s="267" t="n"/>
      <c r="J564" s="267" t="n"/>
      <c r="K564" s="267" t="n"/>
      <c r="L564" s="267" t="n"/>
      <c r="M564" s="267" t="n"/>
      <c r="N564" s="267" t="n"/>
    </row>
    <row r="565">
      <c r="I565" s="267" t="n"/>
      <c r="J565" s="267" t="n"/>
      <c r="K565" s="267" t="n"/>
      <c r="L565" s="267" t="n"/>
      <c r="M565" s="267" t="n"/>
      <c r="N565" s="267" t="n"/>
    </row>
    <row r="566">
      <c r="I566" s="267" t="n"/>
      <c r="J566" s="267" t="n"/>
      <c r="K566" s="267" t="n"/>
      <c r="L566" s="267" t="n"/>
      <c r="M566" s="267" t="n"/>
      <c r="N566" s="267" t="n"/>
    </row>
    <row r="567">
      <c r="I567" s="267" t="n"/>
      <c r="J567" s="267" t="n"/>
      <c r="K567" s="267" t="n"/>
      <c r="L567" s="267" t="n"/>
      <c r="M567" s="267" t="n"/>
      <c r="N567" s="267" t="n"/>
    </row>
    <row r="568">
      <c r="I568" s="267" t="n"/>
      <c r="J568" s="267" t="n"/>
      <c r="K568" s="267" t="n"/>
      <c r="L568" s="267" t="n"/>
      <c r="M568" s="267" t="n"/>
      <c r="N568" s="267" t="n"/>
    </row>
    <row r="569">
      <c r="I569" s="267" t="n"/>
      <c r="J569" s="267" t="n"/>
      <c r="K569" s="267" t="n"/>
      <c r="L569" s="267" t="n"/>
      <c r="M569" s="267" t="n"/>
      <c r="N569" s="267" t="n"/>
    </row>
    <row r="570">
      <c r="I570" s="267" t="n"/>
      <c r="J570" s="267" t="n"/>
      <c r="K570" s="267" t="n"/>
      <c r="L570" s="267" t="n"/>
      <c r="M570" s="267" t="n"/>
      <c r="N570" s="267" t="n"/>
    </row>
    <row r="571">
      <c r="I571" s="267" t="n"/>
      <c r="J571" s="267" t="n"/>
      <c r="K571" s="267" t="n"/>
      <c r="L571" s="267" t="n"/>
      <c r="M571" s="267" t="n"/>
      <c r="N571" s="267" t="n"/>
    </row>
    <row r="572">
      <c r="I572" s="267" t="n"/>
      <c r="J572" s="267" t="n"/>
      <c r="K572" s="267" t="n"/>
      <c r="L572" s="267" t="n"/>
      <c r="M572" s="267" t="n"/>
      <c r="N572" s="267" t="n"/>
    </row>
    <row r="573">
      <c r="I573" s="267" t="n"/>
      <c r="J573" s="267" t="n"/>
      <c r="K573" s="267" t="n"/>
      <c r="L573" s="267" t="n"/>
      <c r="M573" s="267" t="n"/>
      <c r="N573" s="267" t="n"/>
    </row>
    <row r="574">
      <c r="I574" s="267" t="n"/>
      <c r="J574" s="267" t="n"/>
      <c r="K574" s="267" t="n"/>
      <c r="L574" s="267" t="n"/>
      <c r="M574" s="267" t="n"/>
      <c r="N574" s="267" t="n"/>
    </row>
    <row r="575">
      <c r="I575" s="267" t="n"/>
      <c r="J575" s="267" t="n"/>
      <c r="K575" s="267" t="n"/>
      <c r="L575" s="267" t="n"/>
      <c r="M575" s="267" t="n"/>
      <c r="N575" s="267" t="n"/>
    </row>
    <row r="576">
      <c r="I576" s="267" t="n"/>
      <c r="J576" s="267" t="n"/>
      <c r="K576" s="267" t="n"/>
      <c r="L576" s="267" t="n"/>
      <c r="M576" s="267" t="n"/>
      <c r="N576" s="267" t="n"/>
    </row>
    <row r="577">
      <c r="I577" s="267" t="n"/>
      <c r="J577" s="267" t="n"/>
      <c r="K577" s="267" t="n"/>
      <c r="L577" s="267" t="n"/>
      <c r="M577" s="267" t="n"/>
      <c r="N577" s="267" t="n"/>
    </row>
    <row r="578">
      <c r="I578" s="267" t="n"/>
      <c r="J578" s="267" t="n"/>
      <c r="K578" s="267" t="n"/>
      <c r="L578" s="267" t="n"/>
      <c r="M578" s="267" t="n"/>
      <c r="N578" s="267" t="n"/>
    </row>
    <row r="579">
      <c r="I579" s="267" t="n"/>
      <c r="J579" s="267" t="n"/>
      <c r="K579" s="267" t="n"/>
      <c r="L579" s="267" t="n"/>
      <c r="M579" s="267" t="n"/>
      <c r="N579" s="267" t="n"/>
    </row>
    <row r="580">
      <c r="I580" s="267" t="n"/>
      <c r="J580" s="267" t="n"/>
      <c r="K580" s="267" t="n"/>
      <c r="L580" s="267" t="n"/>
      <c r="M580" s="267" t="n"/>
      <c r="N580" s="267" t="n"/>
    </row>
    <row r="581">
      <c r="I581" s="267" t="n"/>
      <c r="J581" s="267" t="n"/>
      <c r="K581" s="267" t="n"/>
      <c r="L581" s="267" t="n"/>
      <c r="M581" s="267" t="n"/>
      <c r="N581" s="267" t="n"/>
    </row>
    <row r="582">
      <c r="I582" s="267" t="n"/>
      <c r="J582" s="267" t="n"/>
      <c r="K582" s="267" t="n"/>
      <c r="L582" s="267" t="n"/>
      <c r="M582" s="267" t="n"/>
      <c r="N582" s="267" t="n"/>
    </row>
    <row r="583">
      <c r="I583" s="267" t="n"/>
      <c r="J583" s="267" t="n"/>
      <c r="K583" s="267" t="n"/>
      <c r="L583" s="267" t="n"/>
      <c r="M583" s="267" t="n"/>
      <c r="N583" s="267" t="n"/>
    </row>
    <row r="584">
      <c r="I584" s="267" t="n"/>
      <c r="J584" s="267" t="n"/>
      <c r="K584" s="267" t="n"/>
      <c r="L584" s="267" t="n"/>
      <c r="M584" s="267" t="n"/>
      <c r="N584" s="267" t="n"/>
    </row>
    <row r="585">
      <c r="I585" s="267" t="n"/>
      <c r="J585" s="267" t="n"/>
      <c r="K585" s="267" t="n"/>
      <c r="L585" s="267" t="n"/>
      <c r="M585" s="267" t="n"/>
      <c r="N585" s="267" t="n"/>
    </row>
    <row r="586">
      <c r="I586" s="267" t="n"/>
      <c r="J586" s="267" t="n"/>
      <c r="K586" s="267" t="n"/>
      <c r="L586" s="267" t="n"/>
      <c r="M586" s="267" t="n"/>
      <c r="N586" s="267" t="n"/>
    </row>
    <row r="587">
      <c r="I587" s="267" t="n"/>
      <c r="J587" s="267" t="n"/>
      <c r="K587" s="267" t="n"/>
      <c r="L587" s="267" t="n"/>
      <c r="M587" s="267" t="n"/>
      <c r="N587" s="267" t="n"/>
    </row>
    <row r="588">
      <c r="I588" s="267" t="n"/>
      <c r="J588" s="267" t="n"/>
      <c r="K588" s="267" t="n"/>
      <c r="L588" s="267" t="n"/>
      <c r="M588" s="267" t="n"/>
      <c r="N588" s="267" t="n"/>
    </row>
    <row r="589">
      <c r="I589" s="267" t="n"/>
      <c r="J589" s="267" t="n"/>
      <c r="K589" s="267" t="n"/>
      <c r="L589" s="267" t="n"/>
      <c r="M589" s="267" t="n"/>
      <c r="N589" s="267" t="n"/>
    </row>
    <row r="590">
      <c r="I590" s="267" t="n"/>
      <c r="J590" s="267" t="n"/>
      <c r="K590" s="267" t="n"/>
      <c r="L590" s="267" t="n"/>
      <c r="M590" s="267" t="n"/>
      <c r="N590" s="267" t="n"/>
    </row>
    <row r="591">
      <c r="I591" s="267" t="n"/>
      <c r="J591" s="267" t="n"/>
      <c r="K591" s="267" t="n"/>
      <c r="L591" s="267" t="n"/>
      <c r="M591" s="267" t="n"/>
      <c r="N591" s="267" t="n"/>
    </row>
    <row r="592">
      <c r="I592" s="267" t="n"/>
      <c r="J592" s="267" t="n"/>
      <c r="K592" s="267" t="n"/>
      <c r="L592" s="267" t="n"/>
      <c r="M592" s="267" t="n"/>
      <c r="N592" s="267" t="n"/>
    </row>
    <row r="593">
      <c r="I593" s="267" t="n"/>
      <c r="J593" s="267" t="n"/>
      <c r="K593" s="267" t="n"/>
      <c r="L593" s="267" t="n"/>
      <c r="M593" s="267" t="n"/>
      <c r="N593" s="267" t="n"/>
    </row>
    <row r="594">
      <c r="I594" s="267" t="n"/>
      <c r="J594" s="267" t="n"/>
      <c r="K594" s="267" t="n"/>
      <c r="L594" s="267" t="n"/>
      <c r="M594" s="267" t="n"/>
      <c r="N594" s="267" t="n"/>
    </row>
    <row r="595">
      <c r="I595" s="267" t="n"/>
      <c r="J595" s="267" t="n"/>
      <c r="K595" s="267" t="n"/>
      <c r="L595" s="267" t="n"/>
      <c r="M595" s="267" t="n"/>
      <c r="N595" s="267" t="n"/>
    </row>
    <row r="596">
      <c r="I596" s="267" t="n"/>
      <c r="J596" s="267" t="n"/>
      <c r="K596" s="267" t="n"/>
      <c r="L596" s="267" t="n"/>
      <c r="M596" s="267" t="n"/>
      <c r="N596" s="267" t="n"/>
    </row>
    <row r="597">
      <c r="I597" s="267" t="n"/>
      <c r="J597" s="267" t="n"/>
      <c r="K597" s="267" t="n"/>
      <c r="L597" s="267" t="n"/>
      <c r="M597" s="267" t="n"/>
      <c r="N597" s="267" t="n"/>
    </row>
    <row r="598">
      <c r="I598" s="267" t="n"/>
      <c r="J598" s="267" t="n"/>
      <c r="K598" s="267" t="n"/>
      <c r="L598" s="267" t="n"/>
      <c r="M598" s="267" t="n"/>
      <c r="N598" s="267" t="n"/>
    </row>
    <row r="599">
      <c r="I599" s="267" t="n"/>
      <c r="J599" s="267" t="n"/>
      <c r="K599" s="267" t="n"/>
      <c r="L599" s="267" t="n"/>
      <c r="M599" s="267" t="n"/>
      <c r="N599" s="267" t="n"/>
    </row>
    <row r="600">
      <c r="I600" s="267" t="n"/>
      <c r="J600" s="267" t="n"/>
      <c r="K600" s="267" t="n"/>
      <c r="L600" s="267" t="n"/>
      <c r="M600" s="267" t="n"/>
      <c r="N600" s="267" t="n"/>
    </row>
    <row r="601">
      <c r="I601" s="267" t="n"/>
      <c r="J601" s="267" t="n"/>
      <c r="K601" s="267" t="n"/>
      <c r="L601" s="267" t="n"/>
      <c r="M601" s="267" t="n"/>
      <c r="N601" s="267" t="n"/>
    </row>
    <row r="602">
      <c r="I602" s="267" t="n"/>
      <c r="J602" s="267" t="n"/>
      <c r="K602" s="267" t="n"/>
      <c r="L602" s="267" t="n"/>
      <c r="M602" s="267" t="n"/>
      <c r="N602" s="267" t="n"/>
    </row>
    <row r="603">
      <c r="I603" s="267" t="n"/>
      <c r="J603" s="267" t="n"/>
      <c r="K603" s="267" t="n"/>
      <c r="L603" s="267" t="n"/>
      <c r="M603" s="267" t="n"/>
      <c r="N603" s="267" t="n"/>
    </row>
    <row r="604">
      <c r="I604" s="267" t="n"/>
      <c r="J604" s="267" t="n"/>
      <c r="K604" s="267" t="n"/>
      <c r="L604" s="267" t="n"/>
      <c r="M604" s="267" t="n"/>
      <c r="N604" s="267" t="n"/>
    </row>
    <row r="605">
      <c r="I605" s="267" t="n"/>
      <c r="J605" s="267" t="n"/>
      <c r="K605" s="267" t="n"/>
      <c r="L605" s="267" t="n"/>
      <c r="M605" s="267" t="n"/>
      <c r="N605" s="267" t="n"/>
    </row>
    <row r="606">
      <c r="I606" s="267" t="n"/>
      <c r="J606" s="267" t="n"/>
      <c r="K606" s="267" t="n"/>
      <c r="L606" s="267" t="n"/>
      <c r="M606" s="267" t="n"/>
      <c r="N606" s="267" t="n"/>
    </row>
    <row r="607">
      <c r="I607" s="267" t="n"/>
      <c r="J607" s="267" t="n"/>
      <c r="K607" s="267" t="n"/>
      <c r="L607" s="267" t="n"/>
      <c r="M607" s="267" t="n"/>
      <c r="N607" s="267" t="n"/>
    </row>
    <row r="608">
      <c r="I608" s="267" t="n"/>
      <c r="J608" s="267" t="n"/>
      <c r="K608" s="267" t="n"/>
      <c r="L608" s="267" t="n"/>
      <c r="M608" s="267" t="n"/>
      <c r="N608" s="267" t="n"/>
    </row>
    <row r="609">
      <c r="I609" s="267" t="n"/>
      <c r="J609" s="267" t="n"/>
      <c r="K609" s="267" t="n"/>
      <c r="L609" s="267" t="n"/>
      <c r="M609" s="267" t="n"/>
      <c r="N609" s="267" t="n"/>
    </row>
    <row r="610">
      <c r="I610" s="267" t="n"/>
      <c r="J610" s="267" t="n"/>
      <c r="K610" s="267" t="n"/>
      <c r="L610" s="267" t="n"/>
      <c r="M610" s="267" t="n"/>
      <c r="N610" s="267" t="n"/>
    </row>
    <row r="611">
      <c r="I611" s="267" t="n"/>
      <c r="J611" s="267" t="n"/>
      <c r="K611" s="267" t="n"/>
      <c r="L611" s="267" t="n"/>
      <c r="M611" s="267" t="n"/>
      <c r="N611" s="267" t="n"/>
    </row>
    <row r="612">
      <c r="I612" s="267" t="n"/>
      <c r="J612" s="267" t="n"/>
      <c r="K612" s="267" t="n"/>
      <c r="L612" s="267" t="n"/>
      <c r="M612" s="267" t="n"/>
      <c r="N612" s="267" t="n"/>
    </row>
    <row r="613">
      <c r="I613" s="267" t="n"/>
      <c r="J613" s="267" t="n"/>
      <c r="K613" s="267" t="n"/>
      <c r="L613" s="267" t="n"/>
      <c r="M613" s="267" t="n"/>
      <c r="N613" s="267" t="n"/>
    </row>
    <row r="614">
      <c r="I614" s="267" t="n"/>
      <c r="J614" s="267" t="n"/>
      <c r="K614" s="267" t="n"/>
      <c r="L614" s="267" t="n"/>
      <c r="M614" s="267" t="n"/>
      <c r="N614" s="267" t="n"/>
    </row>
    <row r="615">
      <c r="I615" s="267" t="n"/>
      <c r="J615" s="267" t="n"/>
      <c r="K615" s="267" t="n"/>
      <c r="L615" s="267" t="n"/>
      <c r="M615" s="267" t="n"/>
      <c r="N615" s="267" t="n"/>
    </row>
    <row r="616">
      <c r="I616" s="267" t="n"/>
      <c r="J616" s="267" t="n"/>
      <c r="K616" s="267" t="n"/>
      <c r="L616" s="267" t="n"/>
      <c r="M616" s="267" t="n"/>
      <c r="N616" s="267" t="n"/>
    </row>
    <row r="617">
      <c r="I617" s="267" t="n"/>
      <c r="J617" s="267" t="n"/>
      <c r="K617" s="267" t="n"/>
      <c r="L617" s="267" t="n"/>
      <c r="M617" s="267" t="n"/>
      <c r="N617" s="267" t="n"/>
    </row>
    <row r="618">
      <c r="I618" s="267" t="n"/>
      <c r="J618" s="267" t="n"/>
      <c r="K618" s="267" t="n"/>
      <c r="L618" s="267" t="n"/>
      <c r="M618" s="267" t="n"/>
      <c r="N618" s="267" t="n"/>
    </row>
    <row r="619">
      <c r="I619" s="267" t="n"/>
      <c r="J619" s="267" t="n"/>
      <c r="K619" s="267" t="n"/>
      <c r="L619" s="267" t="n"/>
      <c r="M619" s="267" t="n"/>
      <c r="N619" s="267" t="n"/>
    </row>
    <row r="620">
      <c r="I620" s="267" t="n"/>
      <c r="J620" s="267" t="n"/>
      <c r="K620" s="267" t="n"/>
      <c r="L620" s="267" t="n"/>
      <c r="M620" s="267" t="n"/>
      <c r="N620" s="267" t="n"/>
    </row>
    <row r="621">
      <c r="I621" s="267" t="n"/>
      <c r="J621" s="267" t="n"/>
      <c r="K621" s="267" t="n"/>
      <c r="L621" s="267" t="n"/>
      <c r="M621" s="267" t="n"/>
      <c r="N621" s="267" t="n"/>
    </row>
    <row r="622">
      <c r="I622" s="267" t="n"/>
      <c r="J622" s="267" t="n"/>
      <c r="K622" s="267" t="n"/>
      <c r="L622" s="267" t="n"/>
      <c r="M622" s="267" t="n"/>
      <c r="N622" s="267" t="n"/>
    </row>
    <row r="623">
      <c r="I623" s="267" t="n"/>
      <c r="J623" s="267" t="n"/>
      <c r="K623" s="267" t="n"/>
      <c r="L623" s="267" t="n"/>
      <c r="M623" s="267" t="n"/>
      <c r="N623" s="267" t="n"/>
    </row>
    <row r="624">
      <c r="I624" s="267" t="n"/>
      <c r="J624" s="267" t="n"/>
      <c r="K624" s="267" t="n"/>
      <c r="L624" s="267" t="n"/>
      <c r="M624" s="267" t="n"/>
      <c r="N624" s="267" t="n"/>
    </row>
    <row r="625">
      <c r="I625" s="267" t="n"/>
      <c r="J625" s="267" t="n"/>
      <c r="K625" s="267" t="n"/>
      <c r="L625" s="267" t="n"/>
      <c r="M625" s="267" t="n"/>
      <c r="N625" s="267" t="n"/>
    </row>
    <row r="626">
      <c r="I626" s="267" t="n"/>
      <c r="J626" s="267" t="n"/>
      <c r="K626" s="267" t="n"/>
      <c r="L626" s="267" t="n"/>
      <c r="M626" s="267" t="n"/>
      <c r="N626" s="267" t="n"/>
    </row>
    <row r="627">
      <c r="I627" s="267" t="n"/>
      <c r="J627" s="267" t="n"/>
      <c r="K627" s="267" t="n"/>
      <c r="L627" s="267" t="n"/>
      <c r="M627" s="267" t="n"/>
      <c r="N627" s="267" t="n"/>
    </row>
    <row r="628">
      <c r="I628" s="267" t="n"/>
      <c r="J628" s="267" t="n"/>
      <c r="K628" s="267" t="n"/>
      <c r="L628" s="267" t="n"/>
      <c r="M628" s="267" t="n"/>
      <c r="N628" s="267" t="n"/>
    </row>
    <row r="629">
      <c r="I629" s="267" t="n"/>
      <c r="J629" s="267" t="n"/>
      <c r="K629" s="267" t="n"/>
      <c r="L629" s="267" t="n"/>
      <c r="M629" s="267" t="n"/>
      <c r="N629" s="267" t="n"/>
    </row>
    <row r="630">
      <c r="I630" s="267" t="n"/>
      <c r="J630" s="267" t="n"/>
      <c r="K630" s="267" t="n"/>
      <c r="L630" s="267" t="n"/>
      <c r="M630" s="267" t="n"/>
      <c r="N630" s="267" t="n"/>
    </row>
    <row r="631">
      <c r="I631" s="267" t="n"/>
      <c r="J631" s="267" t="n"/>
      <c r="K631" s="267" t="n"/>
      <c r="L631" s="267" t="n"/>
      <c r="M631" s="267" t="n"/>
      <c r="N631" s="267" t="n"/>
    </row>
    <row r="632">
      <c r="I632" s="267" t="n"/>
      <c r="J632" s="267" t="n"/>
      <c r="K632" s="267" t="n"/>
      <c r="L632" s="267" t="n"/>
      <c r="M632" s="267" t="n"/>
      <c r="N632" s="267" t="n"/>
    </row>
    <row r="633">
      <c r="I633" s="267" t="n"/>
      <c r="J633" s="267" t="n"/>
      <c r="K633" s="267" t="n"/>
      <c r="L633" s="267" t="n"/>
      <c r="M633" s="267" t="n"/>
      <c r="N633" s="267" t="n"/>
    </row>
    <row r="634">
      <c r="I634" s="267" t="n"/>
      <c r="J634" s="267" t="n"/>
      <c r="K634" s="267" t="n"/>
      <c r="L634" s="267" t="n"/>
      <c r="M634" s="267" t="n"/>
      <c r="N634" s="267" t="n"/>
    </row>
    <row r="635">
      <c r="I635" s="267" t="n"/>
      <c r="J635" s="267" t="n"/>
      <c r="K635" s="267" t="n"/>
      <c r="L635" s="267" t="n"/>
      <c r="M635" s="267" t="n"/>
      <c r="N635" s="267" t="n"/>
    </row>
    <row r="636">
      <c r="I636" s="267" t="n"/>
      <c r="J636" s="267" t="n"/>
      <c r="K636" s="267" t="n"/>
      <c r="L636" s="267" t="n"/>
      <c r="M636" s="267" t="n"/>
      <c r="N636" s="267" t="n"/>
    </row>
    <row r="637">
      <c r="I637" s="267" t="n"/>
      <c r="J637" s="267" t="n"/>
      <c r="K637" s="267" t="n"/>
      <c r="L637" s="267" t="n"/>
      <c r="M637" s="267" t="n"/>
      <c r="N637" s="267" t="n"/>
    </row>
    <row r="638">
      <c r="I638" s="267" t="n"/>
      <c r="J638" s="267" t="n"/>
      <c r="K638" s="267" t="n"/>
      <c r="L638" s="267" t="n"/>
      <c r="M638" s="267" t="n"/>
      <c r="N638" s="267" t="n"/>
    </row>
    <row r="639">
      <c r="I639" s="267" t="n"/>
      <c r="J639" s="267" t="n"/>
      <c r="K639" s="267" t="n"/>
      <c r="L639" s="267" t="n"/>
      <c r="M639" s="267" t="n"/>
      <c r="N639" s="267" t="n"/>
    </row>
    <row r="640">
      <c r="I640" s="267" t="n"/>
      <c r="J640" s="267" t="n"/>
      <c r="K640" s="267" t="n"/>
      <c r="L640" s="267" t="n"/>
      <c r="M640" s="267" t="n"/>
      <c r="N640" s="267" t="n"/>
    </row>
    <row r="641">
      <c r="I641" s="267" t="n"/>
      <c r="J641" s="267" t="n"/>
      <c r="K641" s="267" t="n"/>
      <c r="L641" s="267" t="n"/>
      <c r="M641" s="267" t="n"/>
      <c r="N641" s="267" t="n"/>
    </row>
    <row r="642">
      <c r="I642" s="267" t="n"/>
      <c r="J642" s="267" t="n"/>
      <c r="K642" s="267" t="n"/>
      <c r="L642" s="267" t="n"/>
      <c r="M642" s="267" t="n"/>
      <c r="N642" s="267" t="n"/>
    </row>
    <row r="643">
      <c r="I643" s="267" t="n"/>
      <c r="J643" s="267" t="n"/>
      <c r="K643" s="267" t="n"/>
      <c r="L643" s="267" t="n"/>
      <c r="M643" s="267" t="n"/>
      <c r="N643" s="267" t="n"/>
    </row>
    <row r="644">
      <c r="I644" s="267" t="n"/>
      <c r="J644" s="267" t="n"/>
      <c r="K644" s="267" t="n"/>
      <c r="L644" s="267" t="n"/>
      <c r="M644" s="267" t="n"/>
      <c r="N644" s="267" t="n"/>
    </row>
    <row r="645">
      <c r="I645" s="267" t="n"/>
      <c r="J645" s="267" t="n"/>
      <c r="K645" s="267" t="n"/>
      <c r="L645" s="267" t="n"/>
      <c r="M645" s="267" t="n"/>
      <c r="N645" s="267" t="n"/>
    </row>
    <row r="646">
      <c r="I646" s="267" t="n"/>
      <c r="J646" s="267" t="n"/>
      <c r="K646" s="267" t="n"/>
      <c r="L646" s="267" t="n"/>
      <c r="M646" s="267" t="n"/>
      <c r="N646" s="267" t="n"/>
    </row>
    <row r="647">
      <c r="I647" s="267" t="n"/>
      <c r="J647" s="267" t="n"/>
      <c r="K647" s="267" t="n"/>
      <c r="L647" s="267" t="n"/>
      <c r="M647" s="267" t="n"/>
      <c r="N647" s="267" t="n"/>
    </row>
    <row r="648">
      <c r="I648" s="267" t="n"/>
      <c r="J648" s="267" t="n"/>
      <c r="K648" s="267" t="n"/>
      <c r="L648" s="267" t="n"/>
      <c r="M648" s="267" t="n"/>
      <c r="N648" s="267" t="n"/>
    </row>
    <row r="649">
      <c r="I649" s="267" t="n"/>
      <c r="J649" s="267" t="n"/>
      <c r="K649" s="267" t="n"/>
      <c r="L649" s="267" t="n"/>
      <c r="M649" s="267" t="n"/>
      <c r="N649" s="267" t="n"/>
    </row>
    <row r="650">
      <c r="I650" s="267" t="n"/>
      <c r="J650" s="267" t="n"/>
      <c r="K650" s="267" t="n"/>
      <c r="L650" s="267" t="n"/>
      <c r="M650" s="267" t="n"/>
      <c r="N650" s="267" t="n"/>
    </row>
    <row r="651">
      <c r="I651" s="267" t="n"/>
      <c r="J651" s="267" t="n"/>
      <c r="K651" s="267" t="n"/>
      <c r="L651" s="267" t="n"/>
      <c r="M651" s="267" t="n"/>
      <c r="N651" s="267" t="n"/>
    </row>
    <row r="652">
      <c r="I652" s="267" t="n"/>
      <c r="J652" s="267" t="n"/>
      <c r="K652" s="267" t="n"/>
      <c r="L652" s="267" t="n"/>
      <c r="M652" s="267" t="n"/>
      <c r="N652" s="267" t="n"/>
    </row>
    <row r="653">
      <c r="I653" s="267" t="n"/>
      <c r="J653" s="267" t="n"/>
      <c r="K653" s="267" t="n"/>
      <c r="L653" s="267" t="n"/>
      <c r="M653" s="267" t="n"/>
      <c r="N653" s="267" t="n"/>
    </row>
    <row r="654">
      <c r="I654" s="267" t="n"/>
      <c r="J654" s="267" t="n"/>
      <c r="K654" s="267" t="n"/>
      <c r="L654" s="267" t="n"/>
      <c r="M654" s="267" t="n"/>
      <c r="N654" s="267" t="n"/>
    </row>
    <row r="655">
      <c r="I655" s="267" t="n"/>
      <c r="J655" s="267" t="n"/>
      <c r="K655" s="267" t="n"/>
      <c r="L655" s="267" t="n"/>
      <c r="M655" s="267" t="n"/>
      <c r="N655" s="267" t="n"/>
    </row>
    <row r="656">
      <c r="I656" s="267" t="n"/>
      <c r="J656" s="267" t="n"/>
      <c r="K656" s="267" t="n"/>
      <c r="L656" s="267" t="n"/>
      <c r="M656" s="267" t="n"/>
      <c r="N656" s="267" t="n"/>
    </row>
    <row r="657">
      <c r="I657" s="267" t="n"/>
      <c r="J657" s="267" t="n"/>
      <c r="K657" s="267" t="n"/>
      <c r="L657" s="267" t="n"/>
      <c r="M657" s="267" t="n"/>
      <c r="N657" s="267" t="n"/>
    </row>
    <row r="658">
      <c r="I658" s="267" t="n"/>
      <c r="J658" s="267" t="n"/>
      <c r="K658" s="267" t="n"/>
      <c r="L658" s="267" t="n"/>
      <c r="M658" s="267" t="n"/>
      <c r="N658" s="267" t="n"/>
    </row>
    <row r="659">
      <c r="I659" s="267" t="n"/>
      <c r="J659" s="267" t="n"/>
      <c r="K659" s="267" t="n"/>
      <c r="L659" s="267" t="n"/>
      <c r="M659" s="267" t="n"/>
      <c r="N659" s="267" t="n"/>
    </row>
    <row r="660">
      <c r="I660" s="267" t="n"/>
      <c r="J660" s="267" t="n"/>
      <c r="K660" s="267" t="n"/>
      <c r="L660" s="267" t="n"/>
      <c r="M660" s="267" t="n"/>
      <c r="N660" s="267" t="n"/>
    </row>
    <row r="661">
      <c r="I661" s="267" t="n"/>
      <c r="J661" s="267" t="n"/>
      <c r="K661" s="267" t="n"/>
      <c r="L661" s="267" t="n"/>
      <c r="M661" s="267" t="n"/>
      <c r="N661" s="267" t="n"/>
    </row>
    <row r="662">
      <c r="I662" s="267" t="n"/>
      <c r="J662" s="267" t="n"/>
      <c r="K662" s="267" t="n"/>
      <c r="L662" s="267" t="n"/>
      <c r="M662" s="267" t="n"/>
      <c r="N662" s="267" t="n"/>
    </row>
    <row r="663">
      <c r="I663" s="267" t="n"/>
      <c r="J663" s="267" t="n"/>
      <c r="K663" s="267" t="n"/>
      <c r="L663" s="267" t="n"/>
      <c r="M663" s="267" t="n"/>
      <c r="N663" s="267" t="n"/>
    </row>
    <row r="664">
      <c r="I664" s="267" t="n"/>
      <c r="J664" s="267" t="n"/>
      <c r="K664" s="267" t="n"/>
      <c r="L664" s="267" t="n"/>
      <c r="M664" s="267" t="n"/>
      <c r="N664" s="267" t="n"/>
    </row>
    <row r="665">
      <c r="I665" s="267" t="n"/>
      <c r="J665" s="267" t="n"/>
      <c r="K665" s="267" t="n"/>
      <c r="L665" s="267" t="n"/>
      <c r="M665" s="267" t="n"/>
      <c r="N665" s="267" t="n"/>
    </row>
    <row r="666">
      <c r="I666" s="267" t="n"/>
      <c r="J666" s="267" t="n"/>
      <c r="K666" s="267" t="n"/>
      <c r="L666" s="267" t="n"/>
      <c r="M666" s="267" t="n"/>
      <c r="N666" s="267" t="n"/>
    </row>
    <row r="667">
      <c r="I667" s="267" t="n"/>
      <c r="J667" s="267" t="n"/>
      <c r="K667" s="267" t="n"/>
      <c r="L667" s="267" t="n"/>
      <c r="M667" s="267" t="n"/>
      <c r="N667" s="267" t="n"/>
    </row>
    <row r="668">
      <c r="I668" s="267" t="n"/>
      <c r="J668" s="267" t="n"/>
      <c r="K668" s="267" t="n"/>
      <c r="L668" s="267" t="n"/>
      <c r="M668" s="267" t="n"/>
      <c r="N668" s="267" t="n"/>
    </row>
    <row r="669">
      <c r="I669" s="267" t="n"/>
      <c r="J669" s="267" t="n"/>
      <c r="K669" s="267" t="n"/>
      <c r="L669" s="267" t="n"/>
      <c r="M669" s="267" t="n"/>
      <c r="N669" s="267" t="n"/>
    </row>
    <row r="670">
      <c r="I670" s="267" t="n"/>
      <c r="J670" s="267" t="n"/>
      <c r="K670" s="267" t="n"/>
      <c r="L670" s="267" t="n"/>
      <c r="M670" s="267" t="n"/>
      <c r="N670" s="267" t="n"/>
    </row>
    <row r="671">
      <c r="I671" s="267" t="n"/>
      <c r="J671" s="267" t="n"/>
      <c r="K671" s="267" t="n"/>
      <c r="L671" s="267" t="n"/>
      <c r="M671" s="267" t="n"/>
      <c r="N671" s="267" t="n"/>
    </row>
    <row r="672">
      <c r="I672" s="267" t="n"/>
      <c r="J672" s="267" t="n"/>
      <c r="K672" s="267" t="n"/>
      <c r="L672" s="267" t="n"/>
      <c r="M672" s="267" t="n"/>
      <c r="N672" s="267" t="n"/>
    </row>
    <row r="673">
      <c r="I673" s="267" t="n"/>
      <c r="J673" s="267" t="n"/>
      <c r="K673" s="267" t="n"/>
      <c r="L673" s="267" t="n"/>
      <c r="M673" s="267" t="n"/>
      <c r="N673" s="267" t="n"/>
    </row>
    <row r="674">
      <c r="I674" s="267" t="n"/>
      <c r="J674" s="267" t="n"/>
      <c r="K674" s="267" t="n"/>
      <c r="L674" s="267" t="n"/>
      <c r="M674" s="267" t="n"/>
      <c r="N674" s="267" t="n"/>
    </row>
    <row r="675">
      <c r="I675" s="267" t="n"/>
      <c r="J675" s="267" t="n"/>
      <c r="K675" s="267" t="n"/>
      <c r="L675" s="267" t="n"/>
      <c r="M675" s="267" t="n"/>
      <c r="N675" s="267" t="n"/>
    </row>
    <row r="676">
      <c r="I676" s="267" t="n"/>
      <c r="J676" s="267" t="n"/>
      <c r="K676" s="267" t="n"/>
      <c r="L676" s="267" t="n"/>
      <c r="M676" s="267" t="n"/>
      <c r="N676" s="267" t="n"/>
    </row>
    <row r="677">
      <c r="I677" s="267" t="n"/>
      <c r="J677" s="267" t="n"/>
      <c r="K677" s="267" t="n"/>
      <c r="L677" s="267" t="n"/>
      <c r="M677" s="267" t="n"/>
      <c r="N677" s="267" t="n"/>
    </row>
    <row r="678">
      <c r="I678" s="267" t="n"/>
      <c r="J678" s="267" t="n"/>
      <c r="K678" s="267" t="n"/>
      <c r="L678" s="267" t="n"/>
      <c r="M678" s="267" t="n"/>
      <c r="N678" s="267" t="n"/>
    </row>
    <row r="679">
      <c r="I679" s="267" t="n"/>
      <c r="J679" s="267" t="n"/>
      <c r="K679" s="267" t="n"/>
      <c r="L679" s="267" t="n"/>
      <c r="M679" s="267" t="n"/>
      <c r="N679" s="267" t="n"/>
    </row>
    <row r="680">
      <c r="I680" s="267" t="n"/>
      <c r="J680" s="267" t="n"/>
      <c r="K680" s="267" t="n"/>
      <c r="L680" s="267" t="n"/>
      <c r="M680" s="267" t="n"/>
      <c r="N680" s="267" t="n"/>
    </row>
    <row r="681">
      <c r="I681" s="267" t="n"/>
      <c r="J681" s="267" t="n"/>
      <c r="K681" s="267" t="n"/>
      <c r="L681" s="267" t="n"/>
      <c r="M681" s="267" t="n"/>
      <c r="N681" s="267" t="n"/>
    </row>
    <row r="682">
      <c r="I682" s="267" t="n"/>
      <c r="J682" s="267" t="n"/>
      <c r="K682" s="267" t="n"/>
      <c r="L682" s="267" t="n"/>
      <c r="M682" s="267" t="n"/>
      <c r="N682" s="267" t="n"/>
    </row>
    <row r="683">
      <c r="I683" s="267" t="n"/>
      <c r="J683" s="267" t="n"/>
      <c r="K683" s="267" t="n"/>
      <c r="L683" s="267" t="n"/>
      <c r="M683" s="267" t="n"/>
      <c r="N683" s="267" t="n"/>
    </row>
    <row r="684">
      <c r="I684" s="267" t="n"/>
      <c r="J684" s="267" t="n"/>
      <c r="K684" s="267" t="n"/>
      <c r="L684" s="267" t="n"/>
      <c r="M684" s="267" t="n"/>
      <c r="N684" s="267" t="n"/>
    </row>
    <row r="685">
      <c r="I685" s="267" t="n"/>
      <c r="J685" s="267" t="n"/>
      <c r="K685" s="267" t="n"/>
      <c r="L685" s="267" t="n"/>
      <c r="M685" s="267" t="n"/>
      <c r="N685" s="267" t="n"/>
    </row>
    <row r="686">
      <c r="I686" s="267" t="n"/>
      <c r="J686" s="267" t="n"/>
      <c r="K686" s="267" t="n"/>
      <c r="L686" s="267" t="n"/>
      <c r="M686" s="267" t="n"/>
      <c r="N686" s="267" t="n"/>
    </row>
    <row r="687">
      <c r="I687" s="267" t="n"/>
      <c r="J687" s="267" t="n"/>
      <c r="K687" s="267" t="n"/>
      <c r="L687" s="267" t="n"/>
      <c r="M687" s="267" t="n"/>
      <c r="N687" s="267" t="n"/>
    </row>
    <row r="688">
      <c r="I688" s="267" t="n"/>
      <c r="J688" s="267" t="n"/>
      <c r="K688" s="267" t="n"/>
      <c r="L688" s="267" t="n"/>
      <c r="M688" s="267" t="n"/>
      <c r="N688" s="267" t="n"/>
    </row>
    <row r="689">
      <c r="I689" s="267" t="n"/>
      <c r="J689" s="267" t="n"/>
      <c r="K689" s="267" t="n"/>
      <c r="L689" s="267" t="n"/>
      <c r="M689" s="267" t="n"/>
      <c r="N689" s="267" t="n"/>
    </row>
    <row r="690">
      <c r="I690" s="267" t="n"/>
      <c r="J690" s="267" t="n"/>
      <c r="K690" s="267" t="n"/>
      <c r="L690" s="267" t="n"/>
      <c r="M690" s="267" t="n"/>
      <c r="N690" s="267" t="n"/>
    </row>
    <row r="691">
      <c r="I691" s="267" t="n"/>
      <c r="J691" s="267" t="n"/>
      <c r="K691" s="267" t="n"/>
      <c r="L691" s="267" t="n"/>
      <c r="M691" s="267" t="n"/>
      <c r="N691" s="267" t="n"/>
    </row>
    <row r="692">
      <c r="I692" s="267" t="n"/>
      <c r="J692" s="267" t="n"/>
      <c r="K692" s="267" t="n"/>
      <c r="L692" s="267" t="n"/>
      <c r="M692" s="267" t="n"/>
      <c r="N692" s="267" t="n"/>
    </row>
    <row r="693">
      <c r="I693" s="267" t="n"/>
      <c r="J693" s="267" t="n"/>
      <c r="K693" s="267" t="n"/>
      <c r="L693" s="267" t="n"/>
      <c r="M693" s="267" t="n"/>
      <c r="N693" s="267" t="n"/>
    </row>
    <row r="694">
      <c r="I694" s="267" t="n"/>
      <c r="J694" s="267" t="n"/>
      <c r="K694" s="267" t="n"/>
      <c r="L694" s="267" t="n"/>
      <c r="M694" s="267" t="n"/>
      <c r="N694" s="267" t="n"/>
    </row>
    <row r="695">
      <c r="I695" s="267" t="n"/>
      <c r="J695" s="267" t="n"/>
      <c r="K695" s="267" t="n"/>
      <c r="L695" s="267" t="n"/>
      <c r="M695" s="267" t="n"/>
      <c r="N695" s="267" t="n"/>
    </row>
    <row r="696">
      <c r="I696" s="267" t="n"/>
      <c r="J696" s="267" t="n"/>
      <c r="K696" s="267" t="n"/>
      <c r="L696" s="267" t="n"/>
      <c r="M696" s="267" t="n"/>
      <c r="N696" s="267" t="n"/>
    </row>
    <row r="697">
      <c r="I697" s="267" t="n"/>
      <c r="J697" s="267" t="n"/>
      <c r="K697" s="267" t="n"/>
      <c r="L697" s="267" t="n"/>
      <c r="M697" s="267" t="n"/>
      <c r="N697" s="267" t="n"/>
    </row>
    <row r="698">
      <c r="I698" s="267" t="n"/>
      <c r="J698" s="267" t="n"/>
      <c r="K698" s="267" t="n"/>
      <c r="L698" s="267" t="n"/>
      <c r="M698" s="267" t="n"/>
      <c r="N698" s="267" t="n"/>
    </row>
    <row r="699">
      <c r="I699" s="267" t="n"/>
      <c r="J699" s="267" t="n"/>
      <c r="K699" s="267" t="n"/>
      <c r="L699" s="267" t="n"/>
      <c r="M699" s="267" t="n"/>
      <c r="N699" s="267" t="n"/>
    </row>
    <row r="700">
      <c r="I700" s="267" t="n"/>
      <c r="J700" s="267" t="n"/>
      <c r="K700" s="267" t="n"/>
      <c r="L700" s="267" t="n"/>
      <c r="M700" s="267" t="n"/>
      <c r="N700" s="267" t="n"/>
    </row>
    <row r="701">
      <c r="I701" s="267" t="n"/>
      <c r="J701" s="267" t="n"/>
      <c r="K701" s="267" t="n"/>
      <c r="L701" s="267" t="n"/>
      <c r="M701" s="267" t="n"/>
      <c r="N701" s="267" t="n"/>
    </row>
    <row r="702">
      <c r="I702" s="267" t="n"/>
      <c r="J702" s="267" t="n"/>
      <c r="K702" s="267" t="n"/>
      <c r="L702" s="267" t="n"/>
      <c r="M702" s="267" t="n"/>
      <c r="N702" s="267" t="n"/>
    </row>
    <row r="703">
      <c r="I703" s="267" t="n"/>
      <c r="J703" s="267" t="n"/>
      <c r="K703" s="267" t="n"/>
      <c r="L703" s="267" t="n"/>
      <c r="M703" s="267" t="n"/>
      <c r="N703" s="267" t="n"/>
    </row>
    <row r="704">
      <c r="I704" s="267" t="n"/>
      <c r="J704" s="267" t="n"/>
      <c r="K704" s="267" t="n"/>
      <c r="L704" s="267" t="n"/>
      <c r="M704" s="267" t="n"/>
      <c r="N704" s="267" t="n"/>
    </row>
    <row r="705">
      <c r="I705" s="267" t="n"/>
      <c r="J705" s="267" t="n"/>
      <c r="K705" s="267" t="n"/>
      <c r="L705" s="267" t="n"/>
      <c r="M705" s="267" t="n"/>
      <c r="N705" s="267" t="n"/>
    </row>
    <row r="706">
      <c r="I706" s="267" t="n"/>
      <c r="J706" s="267" t="n"/>
      <c r="K706" s="267" t="n"/>
      <c r="L706" s="267" t="n"/>
      <c r="M706" s="267" t="n"/>
      <c r="N706" s="267" t="n"/>
    </row>
    <row r="707">
      <c r="I707" s="267" t="n"/>
      <c r="J707" s="267" t="n"/>
      <c r="K707" s="267" t="n"/>
      <c r="L707" s="267" t="n"/>
      <c r="M707" s="267" t="n"/>
      <c r="N707" s="267" t="n"/>
    </row>
    <row r="708">
      <c r="I708" s="267" t="n"/>
      <c r="J708" s="267" t="n"/>
      <c r="K708" s="267" t="n"/>
      <c r="L708" s="267" t="n"/>
      <c r="M708" s="267" t="n"/>
      <c r="N708" s="267" t="n"/>
    </row>
    <row r="709">
      <c r="I709" s="267" t="n"/>
      <c r="J709" s="267" t="n"/>
      <c r="K709" s="267" t="n"/>
      <c r="L709" s="267" t="n"/>
      <c r="M709" s="267" t="n"/>
      <c r="N709" s="267" t="n"/>
    </row>
    <row r="710">
      <c r="I710" s="267" t="n"/>
      <c r="J710" s="267" t="n"/>
      <c r="K710" s="267" t="n"/>
      <c r="L710" s="267" t="n"/>
      <c r="M710" s="267" t="n"/>
      <c r="N710" s="267" t="n"/>
    </row>
    <row r="711">
      <c r="I711" s="267" t="n"/>
      <c r="J711" s="267" t="n"/>
      <c r="K711" s="267" t="n"/>
      <c r="L711" s="267" t="n"/>
      <c r="M711" s="267" t="n"/>
      <c r="N711" s="267" t="n"/>
    </row>
    <row r="712">
      <c r="I712" s="267" t="n"/>
      <c r="J712" s="267" t="n"/>
      <c r="K712" s="267" t="n"/>
      <c r="L712" s="267" t="n"/>
      <c r="M712" s="267" t="n"/>
      <c r="N712" s="267" t="n"/>
    </row>
    <row r="713">
      <c r="I713" s="267" t="n"/>
      <c r="J713" s="267" t="n"/>
      <c r="K713" s="267" t="n"/>
      <c r="L713" s="267" t="n"/>
      <c r="M713" s="267" t="n"/>
      <c r="N713" s="267" t="n"/>
    </row>
    <row r="714">
      <c r="I714" s="267" t="n"/>
      <c r="J714" s="267" t="n"/>
      <c r="K714" s="267" t="n"/>
      <c r="L714" s="267" t="n"/>
      <c r="M714" s="267" t="n"/>
      <c r="N714" s="267" t="n"/>
    </row>
    <row r="715">
      <c r="I715" s="267" t="n"/>
      <c r="J715" s="267" t="n"/>
      <c r="K715" s="267" t="n"/>
      <c r="L715" s="267" t="n"/>
      <c r="M715" s="267" t="n"/>
      <c r="N715" s="267" t="n"/>
    </row>
    <row r="716">
      <c r="I716" s="267" t="n"/>
      <c r="J716" s="267" t="n"/>
      <c r="K716" s="267" t="n"/>
      <c r="L716" s="267" t="n"/>
      <c r="M716" s="267" t="n"/>
      <c r="N716" s="267" t="n"/>
    </row>
    <row r="717">
      <c r="I717" s="267" t="n"/>
      <c r="J717" s="267" t="n"/>
      <c r="K717" s="267" t="n"/>
      <c r="L717" s="267" t="n"/>
      <c r="M717" s="267" t="n"/>
      <c r="N717" s="267" t="n"/>
    </row>
    <row r="718">
      <c r="I718" s="267" t="n"/>
      <c r="J718" s="267" t="n"/>
      <c r="K718" s="267" t="n"/>
      <c r="L718" s="267" t="n"/>
      <c r="M718" s="267" t="n"/>
      <c r="N718" s="267" t="n"/>
    </row>
    <row r="719">
      <c r="I719" s="267" t="n"/>
      <c r="J719" s="267" t="n"/>
      <c r="K719" s="267" t="n"/>
      <c r="L719" s="267" t="n"/>
      <c r="M719" s="267" t="n"/>
      <c r="N719" s="267" t="n"/>
    </row>
    <row r="720">
      <c r="I720" s="267" t="n"/>
      <c r="J720" s="267" t="n"/>
      <c r="K720" s="267" t="n"/>
      <c r="L720" s="267" t="n"/>
      <c r="M720" s="267" t="n"/>
      <c r="N720" s="267" t="n"/>
    </row>
    <row r="721">
      <c r="I721" s="267" t="n"/>
      <c r="J721" s="267" t="n"/>
      <c r="K721" s="267" t="n"/>
      <c r="L721" s="267" t="n"/>
      <c r="M721" s="267" t="n"/>
      <c r="N721" s="267" t="n"/>
    </row>
    <row r="722">
      <c r="I722" s="267" t="n"/>
      <c r="J722" s="267" t="n"/>
      <c r="K722" s="267" t="n"/>
      <c r="L722" s="267" t="n"/>
      <c r="M722" s="267" t="n"/>
      <c r="N722" s="267" t="n"/>
    </row>
    <row r="723">
      <c r="I723" s="267" t="n"/>
      <c r="J723" s="267" t="n"/>
      <c r="K723" s="267" t="n"/>
      <c r="L723" s="267" t="n"/>
      <c r="M723" s="267" t="n"/>
      <c r="N723" s="267" t="n"/>
    </row>
    <row r="724">
      <c r="I724" s="267" t="n"/>
      <c r="J724" s="267" t="n"/>
      <c r="K724" s="267" t="n"/>
      <c r="L724" s="267" t="n"/>
      <c r="M724" s="267" t="n"/>
      <c r="N724" s="267" t="n"/>
    </row>
    <row r="725">
      <c r="I725" s="267" t="n"/>
      <c r="J725" s="267" t="n"/>
      <c r="K725" s="267" t="n"/>
      <c r="L725" s="267" t="n"/>
      <c r="M725" s="267" t="n"/>
      <c r="N725" s="267" t="n"/>
    </row>
    <row r="726">
      <c r="I726" s="267" t="n"/>
      <c r="J726" s="267" t="n"/>
      <c r="K726" s="267" t="n"/>
      <c r="L726" s="267" t="n"/>
      <c r="M726" s="267" t="n"/>
      <c r="N726" s="267" t="n"/>
    </row>
    <row r="727">
      <c r="I727" s="267" t="n"/>
      <c r="J727" s="267" t="n"/>
      <c r="K727" s="267" t="n"/>
      <c r="L727" s="267" t="n"/>
      <c r="M727" s="267" t="n"/>
      <c r="N727" s="267" t="n"/>
    </row>
    <row r="728">
      <c r="I728" s="267" t="n"/>
      <c r="J728" s="267" t="n"/>
      <c r="K728" s="267" t="n"/>
      <c r="L728" s="267" t="n"/>
      <c r="M728" s="267" t="n"/>
      <c r="N728" s="267" t="n"/>
    </row>
    <row r="729">
      <c r="I729" s="267" t="n"/>
      <c r="J729" s="267" t="n"/>
      <c r="K729" s="267" t="n"/>
      <c r="L729" s="267" t="n"/>
      <c r="M729" s="267" t="n"/>
      <c r="N729" s="267" t="n"/>
    </row>
    <row r="730">
      <c r="I730" s="267" t="n"/>
      <c r="J730" s="267" t="n"/>
      <c r="K730" s="267" t="n"/>
      <c r="L730" s="267" t="n"/>
      <c r="M730" s="267" t="n"/>
      <c r="N730" s="267" t="n"/>
    </row>
    <row r="731">
      <c r="I731" s="267" t="n"/>
      <c r="J731" s="267" t="n"/>
      <c r="K731" s="267" t="n"/>
      <c r="L731" s="267" t="n"/>
      <c r="M731" s="267" t="n"/>
      <c r="N731" s="267" t="n"/>
    </row>
    <row r="732">
      <c r="I732" s="267" t="n"/>
      <c r="J732" s="267" t="n"/>
      <c r="K732" s="267" t="n"/>
      <c r="L732" s="267" t="n"/>
      <c r="M732" s="267" t="n"/>
      <c r="N732" s="267" t="n"/>
    </row>
    <row r="733">
      <c r="I733" s="267" t="n"/>
      <c r="J733" s="267" t="n"/>
      <c r="K733" s="267" t="n"/>
      <c r="L733" s="267" t="n"/>
      <c r="M733" s="267" t="n"/>
      <c r="N733" s="267" t="n"/>
    </row>
    <row r="734">
      <c r="I734" s="267" t="n"/>
      <c r="J734" s="267" t="n"/>
      <c r="K734" s="267" t="n"/>
      <c r="L734" s="267" t="n"/>
      <c r="M734" s="267" t="n"/>
      <c r="N734" s="267" t="n"/>
    </row>
    <row r="735">
      <c r="I735" s="267" t="n"/>
      <c r="J735" s="267" t="n"/>
      <c r="K735" s="267" t="n"/>
      <c r="L735" s="267" t="n"/>
      <c r="M735" s="267" t="n"/>
      <c r="N735" s="267" t="n"/>
    </row>
    <row r="736">
      <c r="I736" s="267" t="n"/>
      <c r="J736" s="267" t="n"/>
      <c r="K736" s="267" t="n"/>
      <c r="L736" s="267" t="n"/>
      <c r="M736" s="267" t="n"/>
      <c r="N736" s="267" t="n"/>
    </row>
    <row r="737">
      <c r="I737" s="267" t="n"/>
      <c r="J737" s="267" t="n"/>
      <c r="K737" s="267" t="n"/>
      <c r="L737" s="267" t="n"/>
      <c r="M737" s="267" t="n"/>
      <c r="N737" s="267" t="n"/>
    </row>
    <row r="738">
      <c r="I738" s="267" t="n"/>
      <c r="J738" s="267" t="n"/>
      <c r="K738" s="267" t="n"/>
      <c r="L738" s="267" t="n"/>
      <c r="M738" s="267" t="n"/>
      <c r="N738" s="267" t="n"/>
    </row>
    <row r="739">
      <c r="I739" s="267" t="n"/>
      <c r="J739" s="267" t="n"/>
      <c r="K739" s="267" t="n"/>
      <c r="L739" s="267" t="n"/>
      <c r="M739" s="267" t="n"/>
      <c r="N739" s="267" t="n"/>
    </row>
    <row r="740">
      <c r="I740" s="267" t="n"/>
      <c r="J740" s="267" t="n"/>
      <c r="K740" s="267" t="n"/>
      <c r="L740" s="267" t="n"/>
      <c r="M740" s="267" t="n"/>
      <c r="N740" s="267" t="n"/>
    </row>
    <row r="741">
      <c r="I741" s="267" t="n"/>
      <c r="J741" s="267" t="n"/>
      <c r="K741" s="267" t="n"/>
      <c r="L741" s="267" t="n"/>
      <c r="M741" s="267" t="n"/>
      <c r="N741" s="267" t="n"/>
    </row>
    <row r="742">
      <c r="I742" s="267" t="n"/>
      <c r="J742" s="267" t="n"/>
      <c r="K742" s="267" t="n"/>
      <c r="L742" s="267" t="n"/>
      <c r="M742" s="267" t="n"/>
      <c r="N742" s="267" t="n"/>
    </row>
    <row r="743">
      <c r="I743" s="267" t="n"/>
      <c r="J743" s="267" t="n"/>
      <c r="K743" s="267" t="n"/>
      <c r="L743" s="267" t="n"/>
      <c r="M743" s="267" t="n"/>
      <c r="N743" s="267" t="n"/>
    </row>
    <row r="744">
      <c r="I744" s="267" t="n"/>
      <c r="J744" s="267" t="n"/>
      <c r="K744" s="267" t="n"/>
      <c r="L744" s="267" t="n"/>
      <c r="M744" s="267" t="n"/>
      <c r="N744" s="267" t="n"/>
    </row>
    <row r="745">
      <c r="I745" s="267" t="n"/>
      <c r="J745" s="267" t="n"/>
      <c r="K745" s="267" t="n"/>
      <c r="L745" s="267" t="n"/>
      <c r="M745" s="267" t="n"/>
      <c r="N745" s="267" t="n"/>
    </row>
    <row r="746">
      <c r="I746" s="267" t="n"/>
      <c r="J746" s="267" t="n"/>
      <c r="K746" s="267" t="n"/>
      <c r="L746" s="267" t="n"/>
      <c r="M746" s="267" t="n"/>
      <c r="N746" s="267" t="n"/>
    </row>
    <row r="747">
      <c r="I747" s="267" t="n"/>
      <c r="J747" s="267" t="n"/>
      <c r="K747" s="267" t="n"/>
      <c r="L747" s="267" t="n"/>
      <c r="M747" s="267" t="n"/>
      <c r="N747" s="267" t="n"/>
    </row>
    <row r="748">
      <c r="I748" s="267" t="n"/>
      <c r="J748" s="267" t="n"/>
      <c r="K748" s="267" t="n"/>
      <c r="L748" s="267" t="n"/>
      <c r="M748" s="267" t="n"/>
      <c r="N748" s="267" t="n"/>
    </row>
    <row r="749">
      <c r="I749" s="267" t="n"/>
      <c r="J749" s="267" t="n"/>
      <c r="K749" s="267" t="n"/>
      <c r="L749" s="267" t="n"/>
      <c r="M749" s="267" t="n"/>
      <c r="N749" s="267" t="n"/>
    </row>
    <row r="750">
      <c r="I750" s="267" t="n"/>
      <c r="J750" s="267" t="n"/>
      <c r="K750" s="267" t="n"/>
      <c r="L750" s="267" t="n"/>
      <c r="M750" s="267" t="n"/>
      <c r="N750" s="267" t="n"/>
    </row>
    <row r="751">
      <c r="I751" s="267" t="n"/>
      <c r="J751" s="267" t="n"/>
      <c r="K751" s="267" t="n"/>
      <c r="L751" s="267" t="n"/>
      <c r="M751" s="267" t="n"/>
      <c r="N751" s="267" t="n"/>
    </row>
    <row r="752">
      <c r="I752" s="267" t="n"/>
      <c r="J752" s="267" t="n"/>
      <c r="K752" s="267" t="n"/>
      <c r="L752" s="267" t="n"/>
      <c r="M752" s="267" t="n"/>
      <c r="N752" s="267" t="n"/>
    </row>
    <row r="753">
      <c r="I753" s="267" t="n"/>
      <c r="J753" s="267" t="n"/>
      <c r="K753" s="267" t="n"/>
      <c r="L753" s="267" t="n"/>
      <c r="M753" s="267" t="n"/>
      <c r="N753" s="267" t="n"/>
    </row>
    <row r="754">
      <c r="I754" s="267" t="n"/>
      <c r="J754" s="267" t="n"/>
      <c r="K754" s="267" t="n"/>
      <c r="L754" s="267" t="n"/>
      <c r="M754" s="267" t="n"/>
      <c r="N754" s="267" t="n"/>
    </row>
    <row r="755">
      <c r="I755" s="267" t="n"/>
      <c r="J755" s="267" t="n"/>
      <c r="K755" s="267" t="n"/>
      <c r="L755" s="267" t="n"/>
      <c r="M755" s="267" t="n"/>
      <c r="N755" s="267" t="n"/>
    </row>
    <row r="756">
      <c r="I756" s="267" t="n"/>
      <c r="J756" s="267" t="n"/>
      <c r="K756" s="267" t="n"/>
      <c r="L756" s="267" t="n"/>
      <c r="M756" s="267" t="n"/>
      <c r="N756" s="267" t="n"/>
    </row>
    <row r="757">
      <c r="I757" s="267" t="n"/>
      <c r="J757" s="267" t="n"/>
      <c r="K757" s="267" t="n"/>
      <c r="L757" s="267" t="n"/>
      <c r="M757" s="267" t="n"/>
      <c r="N757" s="267" t="n"/>
    </row>
    <row r="758">
      <c r="I758" s="267" t="n"/>
      <c r="J758" s="267" t="n"/>
      <c r="K758" s="267" t="n"/>
      <c r="L758" s="267" t="n"/>
      <c r="M758" s="267" t="n"/>
      <c r="N758" s="267" t="n"/>
    </row>
    <row r="759">
      <c r="I759" s="267" t="n"/>
      <c r="J759" s="267" t="n"/>
      <c r="K759" s="267" t="n"/>
      <c r="L759" s="267" t="n"/>
      <c r="M759" s="267" t="n"/>
      <c r="N759" s="267" t="n"/>
    </row>
    <row r="760">
      <c r="I760" s="267" t="n"/>
      <c r="J760" s="267" t="n"/>
      <c r="K760" s="267" t="n"/>
      <c r="L760" s="267" t="n"/>
      <c r="M760" s="267" t="n"/>
      <c r="N760" s="267" t="n"/>
    </row>
    <row r="761">
      <c r="I761" s="267" t="n"/>
      <c r="J761" s="267" t="n"/>
      <c r="K761" s="267" t="n"/>
      <c r="L761" s="267" t="n"/>
      <c r="M761" s="267" t="n"/>
      <c r="N761" s="267" t="n"/>
    </row>
    <row r="762">
      <c r="I762" s="267" t="n"/>
      <c r="J762" s="267" t="n"/>
      <c r="K762" s="267" t="n"/>
      <c r="L762" s="267" t="n"/>
      <c r="M762" s="267" t="n"/>
      <c r="N762" s="267" t="n"/>
    </row>
    <row r="763">
      <c r="I763" s="267" t="n"/>
      <c r="J763" s="267" t="n"/>
      <c r="K763" s="267" t="n"/>
      <c r="L763" s="267" t="n"/>
      <c r="M763" s="267" t="n"/>
      <c r="N763" s="267" t="n"/>
    </row>
    <row r="764">
      <c r="I764" s="267" t="n"/>
      <c r="J764" s="267" t="n"/>
      <c r="K764" s="267" t="n"/>
      <c r="L764" s="267" t="n"/>
      <c r="M764" s="267" t="n"/>
      <c r="N764" s="267" t="n"/>
    </row>
    <row r="765">
      <c r="I765" s="267" t="n"/>
      <c r="J765" s="267" t="n"/>
      <c r="K765" s="267" t="n"/>
      <c r="L765" s="267" t="n"/>
      <c r="M765" s="267" t="n"/>
      <c r="N765" s="267" t="n"/>
    </row>
    <row r="766">
      <c r="I766" s="267" t="n"/>
      <c r="J766" s="267" t="n"/>
      <c r="K766" s="267" t="n"/>
      <c r="L766" s="267" t="n"/>
      <c r="M766" s="267" t="n"/>
      <c r="N766" s="267" t="n"/>
    </row>
    <row r="767">
      <c r="I767" s="267" t="n"/>
      <c r="J767" s="267" t="n"/>
      <c r="K767" s="267" t="n"/>
      <c r="L767" s="267" t="n"/>
      <c r="M767" s="267" t="n"/>
      <c r="N767" s="267" t="n"/>
    </row>
    <row r="768">
      <c r="I768" s="267" t="n"/>
      <c r="J768" s="267" t="n"/>
      <c r="K768" s="267" t="n"/>
      <c r="L768" s="267" t="n"/>
      <c r="M768" s="267" t="n"/>
      <c r="N768" s="267" t="n"/>
    </row>
    <row r="769">
      <c r="I769" s="267" t="n"/>
      <c r="J769" s="267" t="n"/>
      <c r="K769" s="267" t="n"/>
      <c r="L769" s="267" t="n"/>
      <c r="M769" s="267" t="n"/>
      <c r="N769" s="267" t="n"/>
    </row>
    <row r="770">
      <c r="I770" s="267" t="n"/>
      <c r="J770" s="267" t="n"/>
      <c r="K770" s="267" t="n"/>
      <c r="L770" s="267" t="n"/>
      <c r="M770" s="267" t="n"/>
      <c r="N770" s="267" t="n"/>
    </row>
    <row r="771">
      <c r="I771" s="267" t="n"/>
      <c r="J771" s="267" t="n"/>
      <c r="K771" s="267" t="n"/>
      <c r="L771" s="267" t="n"/>
      <c r="M771" s="267" t="n"/>
      <c r="N771" s="267" t="n"/>
    </row>
    <row r="772">
      <c r="I772" s="267" t="n"/>
      <c r="J772" s="267" t="n"/>
      <c r="K772" s="267" t="n"/>
      <c r="L772" s="267" t="n"/>
      <c r="M772" s="267" t="n"/>
      <c r="N772" s="267" t="n"/>
    </row>
    <row r="773">
      <c r="I773" s="267" t="n"/>
      <c r="J773" s="267" t="n"/>
      <c r="K773" s="267" t="n"/>
      <c r="L773" s="267" t="n"/>
      <c r="M773" s="267" t="n"/>
      <c r="N773" s="267" t="n"/>
    </row>
    <row r="774">
      <c r="I774" s="267" t="n"/>
      <c r="J774" s="267" t="n"/>
      <c r="K774" s="267" t="n"/>
      <c r="L774" s="267" t="n"/>
      <c r="M774" s="267" t="n"/>
      <c r="N774" s="267" t="n"/>
    </row>
    <row r="775">
      <c r="I775" s="267" t="n"/>
      <c r="J775" s="267" t="n"/>
      <c r="K775" s="267" t="n"/>
      <c r="L775" s="267" t="n"/>
      <c r="M775" s="267" t="n"/>
      <c r="N775" s="267" t="n"/>
    </row>
    <row r="776">
      <c r="I776" s="267" t="n"/>
      <c r="J776" s="267" t="n"/>
      <c r="K776" s="267" t="n"/>
      <c r="L776" s="267" t="n"/>
      <c r="M776" s="267" t="n"/>
      <c r="N776" s="267" t="n"/>
    </row>
    <row r="777">
      <c r="I777" s="267" t="n"/>
      <c r="J777" s="267" t="n"/>
      <c r="K777" s="267" t="n"/>
      <c r="L777" s="267" t="n"/>
      <c r="M777" s="267" t="n"/>
      <c r="N777" s="267" t="n"/>
    </row>
    <row r="778">
      <c r="I778" s="267" t="n"/>
      <c r="J778" s="267" t="n"/>
      <c r="K778" s="267" t="n"/>
      <c r="L778" s="267" t="n"/>
      <c r="M778" s="267" t="n"/>
      <c r="N778" s="267" t="n"/>
    </row>
    <row r="779">
      <c r="I779" s="267" t="n"/>
      <c r="J779" s="267" t="n"/>
      <c r="K779" s="267" t="n"/>
      <c r="L779" s="267" t="n"/>
      <c r="M779" s="267" t="n"/>
      <c r="N779" s="267" t="n"/>
    </row>
    <row r="780">
      <c r="I780" s="267" t="n"/>
      <c r="J780" s="267" t="n"/>
      <c r="K780" s="267" t="n"/>
      <c r="L780" s="267" t="n"/>
      <c r="M780" s="267" t="n"/>
      <c r="N780" s="267" t="n"/>
    </row>
    <row r="781">
      <c r="I781" s="267" t="n"/>
      <c r="J781" s="267" t="n"/>
      <c r="K781" s="267" t="n"/>
      <c r="L781" s="267" t="n"/>
      <c r="M781" s="267" t="n"/>
      <c r="N781" s="267" t="n"/>
    </row>
    <row r="782">
      <c r="I782" s="267" t="n"/>
      <c r="J782" s="267" t="n"/>
      <c r="K782" s="267" t="n"/>
      <c r="L782" s="267" t="n"/>
      <c r="M782" s="267" t="n"/>
      <c r="N782" s="267" t="n"/>
    </row>
    <row r="783">
      <c r="I783" s="267" t="n"/>
      <c r="J783" s="267" t="n"/>
      <c r="K783" s="267" t="n"/>
      <c r="L783" s="267" t="n"/>
      <c r="M783" s="267" t="n"/>
      <c r="N783" s="267" t="n"/>
    </row>
    <row r="784">
      <c r="I784" s="267" t="n"/>
      <c r="J784" s="267" t="n"/>
      <c r="K784" s="267" t="n"/>
      <c r="L784" s="267" t="n"/>
      <c r="M784" s="267" t="n"/>
      <c r="N784" s="267" t="n"/>
    </row>
    <row r="785">
      <c r="I785" s="267" t="n"/>
      <c r="J785" s="267" t="n"/>
      <c r="K785" s="267" t="n"/>
      <c r="L785" s="267" t="n"/>
      <c r="M785" s="267" t="n"/>
      <c r="N785" s="267" t="n"/>
    </row>
    <row r="786">
      <c r="I786" s="267" t="n"/>
      <c r="J786" s="267" t="n"/>
      <c r="K786" s="267" t="n"/>
      <c r="L786" s="267" t="n"/>
      <c r="M786" s="267" t="n"/>
      <c r="N786" s="267" t="n"/>
    </row>
    <row r="787">
      <c r="I787" s="267" t="n"/>
      <c r="J787" s="267" t="n"/>
      <c r="K787" s="267" t="n"/>
      <c r="L787" s="267" t="n"/>
      <c r="M787" s="267" t="n"/>
      <c r="N787" s="267" t="n"/>
    </row>
    <row r="788">
      <c r="I788" s="267" t="n"/>
      <c r="J788" s="267" t="n"/>
      <c r="K788" s="267" t="n"/>
      <c r="L788" s="267" t="n"/>
      <c r="M788" s="267" t="n"/>
      <c r="N788" s="267" t="n"/>
    </row>
    <row r="789">
      <c r="I789" s="267" t="n"/>
      <c r="J789" s="267" t="n"/>
      <c r="K789" s="267" t="n"/>
      <c r="L789" s="267" t="n"/>
      <c r="M789" s="267" t="n"/>
      <c r="N789" s="267" t="n"/>
    </row>
    <row r="790">
      <c r="I790" s="267" t="n"/>
      <c r="J790" s="267" t="n"/>
      <c r="K790" s="267" t="n"/>
      <c r="L790" s="267" t="n"/>
      <c r="M790" s="267" t="n"/>
      <c r="N790" s="267" t="n"/>
    </row>
    <row r="791">
      <c r="I791" s="267" t="n"/>
      <c r="J791" s="267" t="n"/>
      <c r="K791" s="267" t="n"/>
      <c r="L791" s="267" t="n"/>
      <c r="M791" s="267" t="n"/>
      <c r="N791" s="267" t="n"/>
    </row>
    <row r="792">
      <c r="I792" s="267" t="n"/>
      <c r="J792" s="267" t="n"/>
      <c r="K792" s="267" t="n"/>
      <c r="L792" s="267" t="n"/>
      <c r="M792" s="267" t="n"/>
      <c r="N792" s="267" t="n"/>
    </row>
    <row r="793">
      <c r="I793" s="267" t="n"/>
      <c r="J793" s="267" t="n"/>
      <c r="K793" s="267" t="n"/>
      <c r="L793" s="267" t="n"/>
      <c r="M793" s="267" t="n"/>
      <c r="N793" s="267" t="n"/>
    </row>
    <row r="794">
      <c r="I794" s="267" t="n"/>
      <c r="J794" s="267" t="n"/>
      <c r="K794" s="267" t="n"/>
      <c r="L794" s="267" t="n"/>
      <c r="M794" s="267" t="n"/>
      <c r="N794" s="267" t="n"/>
    </row>
    <row r="795">
      <c r="I795" s="267" t="n"/>
      <c r="J795" s="267" t="n"/>
      <c r="K795" s="267" t="n"/>
      <c r="L795" s="267" t="n"/>
      <c r="M795" s="267" t="n"/>
      <c r="N795" s="267" t="n"/>
    </row>
    <row r="796">
      <c r="I796" s="267" t="n"/>
      <c r="J796" s="267" t="n"/>
      <c r="K796" s="267" t="n"/>
      <c r="L796" s="267" t="n"/>
      <c r="M796" s="267" t="n"/>
      <c r="N796" s="267" t="n"/>
    </row>
    <row r="797">
      <c r="I797" s="267" t="n"/>
      <c r="J797" s="267" t="n"/>
      <c r="K797" s="267" t="n"/>
      <c r="L797" s="267" t="n"/>
      <c r="M797" s="267" t="n"/>
      <c r="N797" s="267" t="n"/>
    </row>
    <row r="798">
      <c r="I798" s="267" t="n"/>
      <c r="J798" s="267" t="n"/>
      <c r="K798" s="267" t="n"/>
      <c r="L798" s="267" t="n"/>
      <c r="M798" s="267" t="n"/>
      <c r="N798" s="267" t="n"/>
    </row>
    <row r="799">
      <c r="I799" s="267" t="n"/>
      <c r="J799" s="267" t="n"/>
      <c r="K799" s="267" t="n"/>
      <c r="L799" s="267" t="n"/>
      <c r="M799" s="267" t="n"/>
      <c r="N799" s="267" t="n"/>
    </row>
    <row r="800">
      <c r="I800" s="267" t="n"/>
      <c r="J800" s="267" t="n"/>
      <c r="K800" s="267" t="n"/>
      <c r="L800" s="267" t="n"/>
      <c r="M800" s="267" t="n"/>
      <c r="N800" s="267" t="n"/>
    </row>
    <row r="801">
      <c r="I801" s="267" t="n"/>
      <c r="J801" s="267" t="n"/>
      <c r="K801" s="267" t="n"/>
      <c r="L801" s="267" t="n"/>
      <c r="M801" s="267" t="n"/>
      <c r="N801" s="267" t="n"/>
    </row>
    <row r="802">
      <c r="I802" s="267" t="n"/>
      <c r="J802" s="267" t="n"/>
      <c r="K802" s="267" t="n"/>
      <c r="L802" s="267" t="n"/>
      <c r="M802" s="267" t="n"/>
      <c r="N802" s="267" t="n"/>
    </row>
    <row r="803">
      <c r="I803" s="267" t="n"/>
      <c r="J803" s="267" t="n"/>
      <c r="K803" s="267" t="n"/>
      <c r="L803" s="267" t="n"/>
      <c r="M803" s="267" t="n"/>
      <c r="N803" s="267" t="n"/>
    </row>
    <row r="804">
      <c r="I804" s="267" t="n"/>
      <c r="J804" s="267" t="n"/>
      <c r="K804" s="267" t="n"/>
      <c r="L804" s="267" t="n"/>
      <c r="M804" s="267" t="n"/>
      <c r="N804" s="267" t="n"/>
    </row>
    <row r="805">
      <c r="I805" s="267" t="n"/>
      <c r="J805" s="267" t="n"/>
      <c r="K805" s="267" t="n"/>
      <c r="L805" s="267" t="n"/>
      <c r="M805" s="267" t="n"/>
      <c r="N805" s="267" t="n"/>
    </row>
    <row r="806">
      <c r="I806" s="267" t="n"/>
      <c r="J806" s="267" t="n"/>
      <c r="K806" s="267" t="n"/>
      <c r="L806" s="267" t="n"/>
      <c r="M806" s="267" t="n"/>
      <c r="N806" s="267" t="n"/>
    </row>
    <row r="807">
      <c r="I807" s="267" t="n"/>
      <c r="J807" s="267" t="n"/>
      <c r="K807" s="267" t="n"/>
      <c r="L807" s="267" t="n"/>
      <c r="M807" s="267" t="n"/>
      <c r="N807" s="267" t="n"/>
    </row>
    <row r="808">
      <c r="I808" s="267" t="n"/>
      <c r="J808" s="267" t="n"/>
      <c r="K808" s="267" t="n"/>
      <c r="L808" s="267" t="n"/>
      <c r="M808" s="267" t="n"/>
      <c r="N808" s="267" t="n"/>
    </row>
    <row r="809">
      <c r="I809" s="267" t="n"/>
      <c r="J809" s="267" t="n"/>
      <c r="K809" s="267" t="n"/>
      <c r="L809" s="267" t="n"/>
      <c r="M809" s="267" t="n"/>
      <c r="N809" s="267" t="n"/>
    </row>
    <row r="810">
      <c r="I810" s="267" t="n"/>
      <c r="J810" s="267" t="n"/>
      <c r="K810" s="267" t="n"/>
      <c r="L810" s="267" t="n"/>
      <c r="M810" s="267" t="n"/>
      <c r="N810" s="267" t="n"/>
    </row>
    <row r="811">
      <c r="I811" s="267" t="n"/>
      <c r="J811" s="267" t="n"/>
      <c r="K811" s="267" t="n"/>
      <c r="L811" s="267" t="n"/>
      <c r="M811" s="267" t="n"/>
      <c r="N811" s="267" t="n"/>
    </row>
    <row r="812">
      <c r="I812" s="267" t="n"/>
      <c r="J812" s="267" t="n"/>
      <c r="K812" s="267" t="n"/>
      <c r="L812" s="267" t="n"/>
      <c r="M812" s="267" t="n"/>
      <c r="N812" s="267" t="n"/>
    </row>
    <row r="813">
      <c r="I813" s="267" t="n"/>
      <c r="J813" s="267" t="n"/>
      <c r="K813" s="267" t="n"/>
      <c r="L813" s="267" t="n"/>
      <c r="M813" s="267" t="n"/>
      <c r="N813" s="267" t="n"/>
    </row>
    <row r="814">
      <c r="I814" s="267" t="n"/>
      <c r="J814" s="267" t="n"/>
      <c r="K814" s="267" t="n"/>
      <c r="L814" s="267" t="n"/>
      <c r="M814" s="267" t="n"/>
      <c r="N814" s="267" t="n"/>
    </row>
    <row r="815">
      <c r="I815" s="267" t="n"/>
      <c r="J815" s="267" t="n"/>
      <c r="K815" s="267" t="n"/>
      <c r="L815" s="267" t="n"/>
      <c r="M815" s="267" t="n"/>
      <c r="N815" s="267" t="n"/>
    </row>
    <row r="816">
      <c r="I816" s="267" t="n"/>
      <c r="J816" s="267" t="n"/>
      <c r="K816" s="267" t="n"/>
      <c r="L816" s="267" t="n"/>
      <c r="M816" s="267" t="n"/>
      <c r="N816" s="267" t="n"/>
    </row>
    <row r="817">
      <c r="I817" s="267" t="n"/>
      <c r="J817" s="267" t="n"/>
      <c r="K817" s="267" t="n"/>
      <c r="L817" s="267" t="n"/>
      <c r="M817" s="267" t="n"/>
      <c r="N817" s="267" t="n"/>
    </row>
    <row r="818">
      <c r="I818" s="267" t="n"/>
      <c r="J818" s="267" t="n"/>
      <c r="K818" s="267" t="n"/>
      <c r="L818" s="267" t="n"/>
      <c r="M818" s="267" t="n"/>
      <c r="N818" s="267" t="n"/>
    </row>
    <row r="819">
      <c r="I819" s="267" t="n"/>
      <c r="J819" s="267" t="n"/>
      <c r="K819" s="267" t="n"/>
      <c r="L819" s="267" t="n"/>
      <c r="M819" s="267" t="n"/>
      <c r="N819" s="267" t="n"/>
    </row>
    <row r="820">
      <c r="I820" s="267" t="n"/>
      <c r="J820" s="267" t="n"/>
      <c r="K820" s="267" t="n"/>
      <c r="L820" s="267" t="n"/>
      <c r="M820" s="267" t="n"/>
      <c r="N820" s="267" t="n"/>
    </row>
    <row r="821">
      <c r="I821" s="267" t="n"/>
      <c r="J821" s="267" t="n"/>
      <c r="K821" s="267" t="n"/>
      <c r="L821" s="267" t="n"/>
      <c r="M821" s="267" t="n"/>
      <c r="N821" s="267" t="n"/>
    </row>
    <row r="822">
      <c r="I822" s="267" t="n"/>
      <c r="J822" s="267" t="n"/>
      <c r="K822" s="267" t="n"/>
      <c r="L822" s="267" t="n"/>
      <c r="M822" s="267" t="n"/>
      <c r="N822" s="267" t="n"/>
    </row>
    <row r="823">
      <c r="I823" s="267" t="n"/>
      <c r="J823" s="267" t="n"/>
      <c r="K823" s="267" t="n"/>
      <c r="L823" s="267" t="n"/>
      <c r="M823" s="267" t="n"/>
      <c r="N823" s="267" t="n"/>
    </row>
    <row r="824">
      <c r="I824" s="267" t="n"/>
      <c r="J824" s="267" t="n"/>
      <c r="K824" s="267" t="n"/>
      <c r="L824" s="267" t="n"/>
      <c r="M824" s="267" t="n"/>
      <c r="N824" s="267" t="n"/>
    </row>
    <row r="825">
      <c r="I825" s="267" t="n"/>
      <c r="J825" s="267" t="n"/>
      <c r="K825" s="267" t="n"/>
      <c r="L825" s="267" t="n"/>
      <c r="M825" s="267" t="n"/>
      <c r="N825" s="267" t="n"/>
    </row>
    <row r="826">
      <c r="I826" s="267" t="n"/>
      <c r="J826" s="267" t="n"/>
      <c r="K826" s="267" t="n"/>
      <c r="L826" s="267" t="n"/>
      <c r="M826" s="267" t="n"/>
      <c r="N826" s="267" t="n"/>
    </row>
    <row r="827">
      <c r="I827" s="267" t="n"/>
      <c r="J827" s="267" t="n"/>
      <c r="K827" s="267" t="n"/>
      <c r="L827" s="267" t="n"/>
      <c r="M827" s="267" t="n"/>
      <c r="N827" s="267" t="n"/>
    </row>
    <row r="828">
      <c r="I828" s="267" t="n"/>
      <c r="J828" s="267" t="n"/>
      <c r="K828" s="267" t="n"/>
      <c r="L828" s="267" t="n"/>
      <c r="M828" s="267" t="n"/>
      <c r="N828" s="267" t="n"/>
    </row>
    <row r="829">
      <c r="I829" s="267" t="n"/>
      <c r="J829" s="267" t="n"/>
      <c r="K829" s="267" t="n"/>
      <c r="L829" s="267" t="n"/>
      <c r="M829" s="267" t="n"/>
      <c r="N829" s="267" t="n"/>
    </row>
    <row r="830">
      <c r="I830" s="267" t="n"/>
      <c r="J830" s="267" t="n"/>
      <c r="K830" s="267" t="n"/>
      <c r="L830" s="267" t="n"/>
      <c r="M830" s="267" t="n"/>
      <c r="N830" s="267" t="n"/>
    </row>
    <row r="831">
      <c r="I831" s="267" t="n"/>
      <c r="J831" s="267" t="n"/>
      <c r="K831" s="267" t="n"/>
      <c r="L831" s="267" t="n"/>
      <c r="M831" s="267" t="n"/>
      <c r="N831" s="267" t="n"/>
    </row>
    <row r="832">
      <c r="I832" s="267" t="n"/>
      <c r="J832" s="267" t="n"/>
      <c r="K832" s="267" t="n"/>
      <c r="L832" s="267" t="n"/>
      <c r="M832" s="267" t="n"/>
      <c r="N832" s="267" t="n"/>
    </row>
    <row r="833">
      <c r="I833" s="267" t="n"/>
      <c r="J833" s="267" t="n"/>
      <c r="K833" s="267" t="n"/>
      <c r="L833" s="267" t="n"/>
      <c r="M833" s="267" t="n"/>
      <c r="N833" s="267" t="n"/>
    </row>
    <row r="834">
      <c r="I834" s="267" t="n"/>
      <c r="J834" s="267" t="n"/>
      <c r="K834" s="267" t="n"/>
      <c r="L834" s="267" t="n"/>
      <c r="M834" s="267" t="n"/>
      <c r="N834" s="267" t="n"/>
    </row>
    <row r="835">
      <c r="I835" s="267" t="n"/>
      <c r="J835" s="267" t="n"/>
      <c r="K835" s="267" t="n"/>
      <c r="L835" s="267" t="n"/>
      <c r="M835" s="267" t="n"/>
      <c r="N835" s="267" t="n"/>
    </row>
    <row r="836">
      <c r="I836" s="267" t="n"/>
      <c r="J836" s="267" t="n"/>
      <c r="K836" s="267" t="n"/>
      <c r="L836" s="267" t="n"/>
      <c r="M836" s="267" t="n"/>
      <c r="N836" s="267" t="n"/>
    </row>
    <row r="837">
      <c r="I837" s="267" t="n"/>
      <c r="J837" s="267" t="n"/>
      <c r="K837" s="267" t="n"/>
      <c r="L837" s="267" t="n"/>
      <c r="M837" s="267" t="n"/>
      <c r="N837" s="267" t="n"/>
    </row>
    <row r="838">
      <c r="I838" s="267" t="n"/>
      <c r="J838" s="267" t="n"/>
      <c r="K838" s="267" t="n"/>
      <c r="L838" s="267" t="n"/>
      <c r="M838" s="267" t="n"/>
      <c r="N838" s="267" t="n"/>
    </row>
    <row r="839">
      <c r="I839" s="267" t="n"/>
      <c r="J839" s="267" t="n"/>
      <c r="K839" s="267" t="n"/>
      <c r="L839" s="267" t="n"/>
      <c r="M839" s="267" t="n"/>
      <c r="N839" s="267" t="n"/>
    </row>
    <row r="840">
      <c r="I840" s="267" t="n"/>
      <c r="J840" s="267" t="n"/>
      <c r="K840" s="267" t="n"/>
      <c r="L840" s="267" t="n"/>
      <c r="M840" s="267" t="n"/>
      <c r="N840" s="267" t="n"/>
    </row>
    <row r="841">
      <c r="I841" s="267" t="n"/>
      <c r="J841" s="267" t="n"/>
      <c r="K841" s="267" t="n"/>
      <c r="L841" s="267" t="n"/>
      <c r="M841" s="267" t="n"/>
      <c r="N841" s="267" t="n"/>
    </row>
    <row r="842">
      <c r="I842" s="267" t="n"/>
      <c r="J842" s="267" t="n"/>
      <c r="K842" s="267" t="n"/>
      <c r="L842" s="267" t="n"/>
      <c r="M842" s="267" t="n"/>
      <c r="N842" s="267" t="n"/>
    </row>
    <row r="843">
      <c r="I843" s="267" t="n"/>
      <c r="J843" s="267" t="n"/>
      <c r="K843" s="267" t="n"/>
      <c r="L843" s="267" t="n"/>
      <c r="M843" s="267" t="n"/>
      <c r="N843" s="267" t="n"/>
    </row>
    <row r="844">
      <c r="I844" s="267" t="n"/>
      <c r="J844" s="267" t="n"/>
      <c r="K844" s="267" t="n"/>
      <c r="L844" s="267" t="n"/>
      <c r="M844" s="267" t="n"/>
      <c r="N844" s="267" t="n"/>
    </row>
    <row r="845">
      <c r="I845" s="267" t="n"/>
      <c r="J845" s="267" t="n"/>
      <c r="K845" s="267" t="n"/>
      <c r="L845" s="267" t="n"/>
      <c r="M845" s="267" t="n"/>
      <c r="N845" s="267" t="n"/>
    </row>
    <row r="846">
      <c r="I846" s="267" t="n"/>
      <c r="J846" s="267" t="n"/>
      <c r="K846" s="267" t="n"/>
      <c r="L846" s="267" t="n"/>
      <c r="M846" s="267" t="n"/>
      <c r="N846" s="267" t="n"/>
    </row>
    <row r="847">
      <c r="I847" s="267" t="n"/>
      <c r="J847" s="267" t="n"/>
      <c r="K847" s="267" t="n"/>
      <c r="L847" s="267" t="n"/>
      <c r="M847" s="267" t="n"/>
      <c r="N847" s="267" t="n"/>
    </row>
    <row r="848">
      <c r="I848" s="267" t="n"/>
      <c r="J848" s="267" t="n"/>
      <c r="K848" s="267" t="n"/>
      <c r="L848" s="267" t="n"/>
      <c r="M848" s="267" t="n"/>
      <c r="N848" s="267" t="n"/>
    </row>
    <row r="849">
      <c r="I849" s="267" t="n"/>
      <c r="J849" s="267" t="n"/>
      <c r="K849" s="267" t="n"/>
      <c r="L849" s="267" t="n"/>
      <c r="M849" s="267" t="n"/>
      <c r="N849" s="267" t="n"/>
    </row>
    <row r="850">
      <c r="I850" s="267" t="n"/>
      <c r="J850" s="267" t="n"/>
      <c r="K850" s="267" t="n"/>
      <c r="L850" s="267" t="n"/>
      <c r="M850" s="267" t="n"/>
      <c r="N850" s="267" t="n"/>
    </row>
    <row r="851">
      <c r="I851" s="267" t="n"/>
      <c r="J851" s="267" t="n"/>
      <c r="K851" s="267" t="n"/>
      <c r="L851" s="267" t="n"/>
      <c r="M851" s="267" t="n"/>
      <c r="N851" s="267" t="n"/>
    </row>
    <row r="852">
      <c r="I852" s="267" t="n"/>
      <c r="J852" s="267" t="n"/>
      <c r="K852" s="267" t="n"/>
      <c r="L852" s="267" t="n"/>
      <c r="M852" s="267" t="n"/>
      <c r="N852" s="267" t="n"/>
    </row>
    <row r="853">
      <c r="I853" s="267" t="n"/>
      <c r="J853" s="267" t="n"/>
      <c r="K853" s="267" t="n"/>
      <c r="L853" s="267" t="n"/>
      <c r="M853" s="267" t="n"/>
      <c r="N853" s="267" t="n"/>
    </row>
    <row r="854">
      <c r="I854" s="267" t="n"/>
      <c r="J854" s="267" t="n"/>
      <c r="K854" s="267" t="n"/>
      <c r="L854" s="267" t="n"/>
      <c r="M854" s="267" t="n"/>
      <c r="N854" s="267" t="n"/>
    </row>
    <row r="855">
      <c r="I855" s="267" t="n"/>
      <c r="J855" s="267" t="n"/>
      <c r="K855" s="267" t="n"/>
      <c r="L855" s="267" t="n"/>
      <c r="M855" s="267" t="n"/>
      <c r="N855" s="267" t="n"/>
    </row>
    <row r="856">
      <c r="I856" s="267" t="n"/>
      <c r="J856" s="267" t="n"/>
      <c r="K856" s="267" t="n"/>
      <c r="L856" s="267" t="n"/>
      <c r="M856" s="267" t="n"/>
      <c r="N856" s="267" t="n"/>
    </row>
    <row r="857">
      <c r="I857" s="267" t="n"/>
      <c r="J857" s="267" t="n"/>
      <c r="K857" s="267" t="n"/>
      <c r="L857" s="267" t="n"/>
      <c r="M857" s="267" t="n"/>
      <c r="N857" s="267" t="n"/>
    </row>
    <row r="858">
      <c r="I858" s="267" t="n"/>
      <c r="J858" s="267" t="n"/>
      <c r="K858" s="267" t="n"/>
      <c r="L858" s="267" t="n"/>
      <c r="M858" s="267" t="n"/>
      <c r="N858" s="267" t="n"/>
    </row>
    <row r="859">
      <c r="I859" s="267" t="n"/>
      <c r="J859" s="267" t="n"/>
      <c r="K859" s="267" t="n"/>
      <c r="L859" s="267" t="n"/>
      <c r="M859" s="267" t="n"/>
      <c r="N859" s="267" t="n"/>
    </row>
    <row r="860">
      <c r="I860" s="267" t="n"/>
      <c r="J860" s="267" t="n"/>
      <c r="K860" s="267" t="n"/>
      <c r="L860" s="267" t="n"/>
      <c r="M860" s="267" t="n"/>
      <c r="N860" s="267" t="n"/>
    </row>
    <row r="861">
      <c r="I861" s="267" t="n"/>
      <c r="J861" s="267" t="n"/>
      <c r="K861" s="267" t="n"/>
      <c r="L861" s="267" t="n"/>
      <c r="M861" s="267" t="n"/>
      <c r="N861" s="267" t="n"/>
    </row>
    <row r="862">
      <c r="I862" s="267" t="n"/>
      <c r="J862" s="267" t="n"/>
      <c r="K862" s="267" t="n"/>
      <c r="L862" s="267" t="n"/>
      <c r="M862" s="267" t="n"/>
      <c r="N862" s="267" t="n"/>
    </row>
    <row r="863">
      <c r="I863" s="267" t="n"/>
      <c r="J863" s="267" t="n"/>
      <c r="K863" s="267" t="n"/>
      <c r="L863" s="267" t="n"/>
      <c r="M863" s="267" t="n"/>
      <c r="N863" s="267" t="n"/>
    </row>
    <row r="864">
      <c r="I864" s="267" t="n"/>
      <c r="J864" s="267" t="n"/>
      <c r="K864" s="267" t="n"/>
      <c r="L864" s="267" t="n"/>
      <c r="M864" s="267" t="n"/>
      <c r="N864" s="267" t="n"/>
    </row>
    <row r="865">
      <c r="I865" s="267" t="n"/>
      <c r="J865" s="267" t="n"/>
      <c r="K865" s="267" t="n"/>
      <c r="L865" s="267" t="n"/>
      <c r="M865" s="267" t="n"/>
      <c r="N865" s="267" t="n"/>
    </row>
    <row r="866">
      <c r="I866" s="267" t="n"/>
      <c r="J866" s="267" t="n"/>
      <c r="K866" s="267" t="n"/>
      <c r="L866" s="267" t="n"/>
      <c r="M866" s="267" t="n"/>
      <c r="N866" s="267" t="n"/>
    </row>
    <row r="867">
      <c r="I867" s="267" t="n"/>
      <c r="J867" s="267" t="n"/>
      <c r="K867" s="267" t="n"/>
      <c r="L867" s="267" t="n"/>
      <c r="M867" s="267" t="n"/>
      <c r="N867" s="267" t="n"/>
    </row>
    <row r="868">
      <c r="I868" s="267" t="n"/>
      <c r="J868" s="267" t="n"/>
      <c r="K868" s="267" t="n"/>
      <c r="L868" s="267" t="n"/>
      <c r="M868" s="267" t="n"/>
      <c r="N868" s="267" t="n"/>
    </row>
    <row r="869">
      <c r="I869" s="267" t="n"/>
      <c r="J869" s="267" t="n"/>
      <c r="K869" s="267" t="n"/>
      <c r="L869" s="267" t="n"/>
      <c r="M869" s="267" t="n"/>
      <c r="N869" s="267" t="n"/>
    </row>
    <row r="870">
      <c r="I870" s="267" t="n"/>
      <c r="J870" s="267" t="n"/>
      <c r="K870" s="267" t="n"/>
      <c r="L870" s="267" t="n"/>
      <c r="M870" s="267" t="n"/>
      <c r="N870" s="267" t="n"/>
    </row>
    <row r="871">
      <c r="I871" s="267" t="n"/>
      <c r="J871" s="267" t="n"/>
      <c r="K871" s="267" t="n"/>
      <c r="L871" s="267" t="n"/>
      <c r="M871" s="267" t="n"/>
      <c r="N871" s="267" t="n"/>
    </row>
    <row r="872">
      <c r="I872" s="267" t="n"/>
      <c r="J872" s="267" t="n"/>
      <c r="K872" s="267" t="n"/>
      <c r="L872" s="267" t="n"/>
      <c r="M872" s="267" t="n"/>
      <c r="N872" s="267" t="n"/>
    </row>
    <row r="873">
      <c r="I873" s="267" t="n"/>
      <c r="J873" s="267" t="n"/>
      <c r="K873" s="267" t="n"/>
      <c r="L873" s="267" t="n"/>
      <c r="M873" s="267" t="n"/>
      <c r="N873" s="267" t="n"/>
    </row>
    <row r="874">
      <c r="I874" s="267" t="n"/>
      <c r="J874" s="267" t="n"/>
      <c r="K874" s="267" t="n"/>
      <c r="L874" s="267" t="n"/>
      <c r="M874" s="267" t="n"/>
      <c r="N874" s="267" t="n"/>
    </row>
    <row r="875">
      <c r="I875" s="267" t="n"/>
      <c r="J875" s="267" t="n"/>
      <c r="K875" s="267" t="n"/>
      <c r="L875" s="267" t="n"/>
      <c r="M875" s="267" t="n"/>
      <c r="N875" s="267" t="n"/>
    </row>
    <row r="876">
      <c r="I876" s="267" t="n"/>
      <c r="J876" s="267" t="n"/>
      <c r="K876" s="267" t="n"/>
      <c r="L876" s="267" t="n"/>
      <c r="M876" s="267" t="n"/>
      <c r="N876" s="267" t="n"/>
    </row>
    <row r="877">
      <c r="I877" s="267" t="n"/>
      <c r="J877" s="267" t="n"/>
      <c r="K877" s="267" t="n"/>
      <c r="L877" s="267" t="n"/>
      <c r="M877" s="267" t="n"/>
      <c r="N877" s="267" t="n"/>
    </row>
    <row r="878">
      <c r="I878" s="267" t="n"/>
      <c r="J878" s="267" t="n"/>
      <c r="K878" s="267" t="n"/>
      <c r="L878" s="267" t="n"/>
      <c r="M878" s="267" t="n"/>
      <c r="N878" s="267" t="n"/>
    </row>
    <row r="879">
      <c r="I879" s="267" t="n"/>
      <c r="J879" s="267" t="n"/>
      <c r="K879" s="267" t="n"/>
      <c r="L879" s="267" t="n"/>
      <c r="M879" s="267" t="n"/>
      <c r="N879" s="267" t="n"/>
    </row>
    <row r="880">
      <c r="I880" s="267" t="n"/>
      <c r="J880" s="267" t="n"/>
      <c r="K880" s="267" t="n"/>
      <c r="L880" s="267" t="n"/>
      <c r="M880" s="267" t="n"/>
      <c r="N880" s="267" t="n"/>
    </row>
    <row r="881">
      <c r="I881" s="267" t="n"/>
      <c r="J881" s="267" t="n"/>
      <c r="K881" s="267" t="n"/>
      <c r="L881" s="267" t="n"/>
      <c r="M881" s="267" t="n"/>
      <c r="N881" s="267" t="n"/>
    </row>
    <row r="882">
      <c r="I882" s="267" t="n"/>
      <c r="J882" s="267" t="n"/>
      <c r="K882" s="267" t="n"/>
      <c r="L882" s="267" t="n"/>
      <c r="M882" s="267" t="n"/>
      <c r="N882" s="267" t="n"/>
    </row>
    <row r="883">
      <c r="I883" s="267" t="n"/>
      <c r="J883" s="267" t="n"/>
      <c r="K883" s="267" t="n"/>
      <c r="L883" s="267" t="n"/>
      <c r="M883" s="267" t="n"/>
      <c r="N883" s="267" t="n"/>
    </row>
    <row r="884">
      <c r="I884" s="267" t="n"/>
      <c r="J884" s="267" t="n"/>
      <c r="K884" s="267" t="n"/>
      <c r="L884" s="267" t="n"/>
      <c r="M884" s="267" t="n"/>
      <c r="N884" s="267" t="n"/>
    </row>
    <row r="885">
      <c r="I885" s="267" t="n"/>
      <c r="J885" s="267" t="n"/>
      <c r="K885" s="267" t="n"/>
      <c r="L885" s="267" t="n"/>
      <c r="M885" s="267" t="n"/>
      <c r="N885" s="267" t="n"/>
    </row>
    <row r="886">
      <c r="I886" s="267" t="n"/>
      <c r="J886" s="267" t="n"/>
      <c r="K886" s="267" t="n"/>
      <c r="L886" s="267" t="n"/>
      <c r="M886" s="267" t="n"/>
      <c r="N886" s="267" t="n"/>
    </row>
    <row r="887">
      <c r="I887" s="267" t="n"/>
      <c r="J887" s="267" t="n"/>
      <c r="K887" s="267" t="n"/>
      <c r="L887" s="267" t="n"/>
      <c r="M887" s="267" t="n"/>
      <c r="N887" s="267" t="n"/>
    </row>
    <row r="888">
      <c r="I888" s="267" t="n"/>
      <c r="J888" s="267" t="n"/>
      <c r="K888" s="267" t="n"/>
      <c r="L888" s="267" t="n"/>
      <c r="M888" s="267" t="n"/>
      <c r="N888" s="267" t="n"/>
    </row>
    <row r="889">
      <c r="I889" s="267" t="n"/>
      <c r="J889" s="267" t="n"/>
      <c r="K889" s="267" t="n"/>
      <c r="L889" s="267" t="n"/>
      <c r="M889" s="267" t="n"/>
      <c r="N889" s="267" t="n"/>
    </row>
    <row r="890">
      <c r="I890" s="267" t="n"/>
      <c r="J890" s="267" t="n"/>
      <c r="K890" s="267" t="n"/>
      <c r="L890" s="267" t="n"/>
      <c r="M890" s="267" t="n"/>
      <c r="N890" s="267" t="n"/>
    </row>
    <row r="891">
      <c r="I891" s="267" t="n"/>
      <c r="J891" s="267" t="n"/>
      <c r="K891" s="267" t="n"/>
      <c r="L891" s="267" t="n"/>
      <c r="M891" s="267" t="n"/>
      <c r="N891" s="267" t="n"/>
    </row>
    <row r="892">
      <c r="I892" s="267" t="n"/>
      <c r="J892" s="267" t="n"/>
      <c r="K892" s="267" t="n"/>
      <c r="L892" s="267" t="n"/>
      <c r="M892" s="267" t="n"/>
      <c r="N892" s="267" t="n"/>
    </row>
    <row r="893">
      <c r="I893" s="267" t="n"/>
      <c r="J893" s="267" t="n"/>
      <c r="K893" s="267" t="n"/>
      <c r="L893" s="267" t="n"/>
      <c r="M893" s="267" t="n"/>
      <c r="N893" s="267" t="n"/>
    </row>
    <row r="894">
      <c r="I894" s="267" t="n"/>
      <c r="J894" s="267" t="n"/>
      <c r="K894" s="267" t="n"/>
      <c r="L894" s="267" t="n"/>
      <c r="M894" s="267" t="n"/>
      <c r="N894" s="267" t="n"/>
    </row>
    <row r="895">
      <c r="I895" s="267" t="n"/>
      <c r="J895" s="267" t="n"/>
      <c r="K895" s="267" t="n"/>
      <c r="L895" s="267" t="n"/>
      <c r="M895" s="267" t="n"/>
      <c r="N895" s="267" t="n"/>
    </row>
    <row r="896">
      <c r="I896" s="267" t="n"/>
      <c r="J896" s="267" t="n"/>
      <c r="K896" s="267" t="n"/>
      <c r="L896" s="267" t="n"/>
      <c r="M896" s="267" t="n"/>
      <c r="N896" s="267" t="n"/>
    </row>
    <row r="897">
      <c r="I897" s="267" t="n"/>
      <c r="J897" s="267" t="n"/>
      <c r="K897" s="267" t="n"/>
      <c r="L897" s="267" t="n"/>
      <c r="M897" s="267" t="n"/>
      <c r="N897" s="267" t="n"/>
    </row>
    <row r="898">
      <c r="I898" s="267" t="n"/>
      <c r="J898" s="267" t="n"/>
      <c r="K898" s="267" t="n"/>
      <c r="L898" s="267" t="n"/>
      <c r="M898" s="267" t="n"/>
      <c r="N898" s="267" t="n"/>
    </row>
    <row r="899">
      <c r="I899" s="267" t="n"/>
      <c r="J899" s="267" t="n"/>
      <c r="K899" s="267" t="n"/>
      <c r="L899" s="267" t="n"/>
      <c r="M899" s="267" t="n"/>
      <c r="N899" s="267" t="n"/>
    </row>
    <row r="900">
      <c r="I900" s="267" t="n"/>
      <c r="J900" s="267" t="n"/>
      <c r="K900" s="267" t="n"/>
      <c r="L900" s="267" t="n"/>
      <c r="M900" s="267" t="n"/>
      <c r="N900" s="267" t="n"/>
    </row>
    <row r="901">
      <c r="I901" s="267" t="n"/>
      <c r="J901" s="267" t="n"/>
      <c r="K901" s="267" t="n"/>
      <c r="L901" s="267" t="n"/>
      <c r="M901" s="267" t="n"/>
      <c r="N901" s="267" t="n"/>
    </row>
    <row r="902">
      <c r="I902" s="267" t="n"/>
      <c r="J902" s="267" t="n"/>
      <c r="K902" s="267" t="n"/>
      <c r="L902" s="267" t="n"/>
      <c r="M902" s="267" t="n"/>
      <c r="N902" s="267" t="n"/>
    </row>
    <row r="903">
      <c r="I903" s="267" t="n"/>
      <c r="J903" s="267" t="n"/>
      <c r="K903" s="267" t="n"/>
      <c r="L903" s="267" t="n"/>
      <c r="M903" s="267" t="n"/>
      <c r="N903" s="267" t="n"/>
    </row>
    <row r="904">
      <c r="I904" s="267" t="n"/>
      <c r="J904" s="267" t="n"/>
      <c r="K904" s="267" t="n"/>
      <c r="L904" s="267" t="n"/>
      <c r="M904" s="267" t="n"/>
      <c r="N904" s="267" t="n"/>
    </row>
    <row r="905">
      <c r="I905" s="267" t="n"/>
      <c r="J905" s="267" t="n"/>
      <c r="K905" s="267" t="n"/>
      <c r="L905" s="267" t="n"/>
      <c r="M905" s="267" t="n"/>
      <c r="N905" s="267" t="n"/>
    </row>
    <row r="906">
      <c r="I906" s="267" t="n"/>
      <c r="J906" s="267" t="n"/>
      <c r="K906" s="267" t="n"/>
      <c r="L906" s="267" t="n"/>
      <c r="M906" s="267" t="n"/>
      <c r="N906" s="267" t="n"/>
    </row>
    <row r="907">
      <c r="I907" s="267" t="n"/>
      <c r="J907" s="267" t="n"/>
      <c r="K907" s="267" t="n"/>
      <c r="L907" s="267" t="n"/>
      <c r="M907" s="267" t="n"/>
      <c r="N907" s="267" t="n"/>
    </row>
    <row r="908">
      <c r="I908" s="267" t="n"/>
      <c r="J908" s="267" t="n"/>
      <c r="K908" s="267" t="n"/>
      <c r="L908" s="267" t="n"/>
      <c r="M908" s="267" t="n"/>
      <c r="N908" s="267" t="n"/>
    </row>
    <row r="909">
      <c r="I909" s="267" t="n"/>
      <c r="J909" s="267" t="n"/>
      <c r="K909" s="267" t="n"/>
      <c r="L909" s="267" t="n"/>
      <c r="M909" s="267" t="n"/>
      <c r="N909" s="267" t="n"/>
    </row>
    <row r="910">
      <c r="I910" s="267" t="n"/>
      <c r="J910" s="267" t="n"/>
      <c r="K910" s="267" t="n"/>
      <c r="L910" s="267" t="n"/>
      <c r="M910" s="267" t="n"/>
      <c r="N910" s="267" t="n"/>
    </row>
    <row r="911">
      <c r="I911" s="267" t="n"/>
      <c r="J911" s="267" t="n"/>
      <c r="K911" s="267" t="n"/>
      <c r="L911" s="267" t="n"/>
      <c r="M911" s="267" t="n"/>
      <c r="N911" s="267" t="n"/>
    </row>
    <row r="912">
      <c r="I912" s="267" t="n"/>
      <c r="J912" s="267" t="n"/>
      <c r="K912" s="267" t="n"/>
      <c r="L912" s="267" t="n"/>
      <c r="M912" s="267" t="n"/>
      <c r="N912" s="267" t="n"/>
    </row>
    <row r="913">
      <c r="I913" s="267" t="n"/>
      <c r="J913" s="267" t="n"/>
      <c r="K913" s="267" t="n"/>
      <c r="L913" s="267" t="n"/>
      <c r="M913" s="267" t="n"/>
      <c r="N913" s="267" t="n"/>
    </row>
    <row r="914">
      <c r="I914" s="267" t="n"/>
      <c r="J914" s="267" t="n"/>
      <c r="K914" s="267" t="n"/>
      <c r="L914" s="267" t="n"/>
      <c r="M914" s="267" t="n"/>
      <c r="N914" s="267" t="n"/>
    </row>
    <row r="915">
      <c r="I915" s="267" t="n"/>
      <c r="J915" s="267" t="n"/>
      <c r="K915" s="267" t="n"/>
      <c r="L915" s="267" t="n"/>
      <c r="M915" s="267" t="n"/>
      <c r="N915" s="267" t="n"/>
    </row>
    <row r="916">
      <c r="I916" s="267" t="n"/>
      <c r="J916" s="267" t="n"/>
      <c r="K916" s="267" t="n"/>
      <c r="L916" s="267" t="n"/>
      <c r="M916" s="267" t="n"/>
      <c r="N916" s="267" t="n"/>
    </row>
    <row r="917">
      <c r="I917" s="267" t="n"/>
      <c r="J917" s="267" t="n"/>
      <c r="K917" s="267" t="n"/>
      <c r="L917" s="267" t="n"/>
      <c r="M917" s="267" t="n"/>
      <c r="N917" s="267" t="n"/>
    </row>
    <row r="918">
      <c r="I918" s="267" t="n"/>
      <c r="J918" s="267" t="n"/>
      <c r="K918" s="267" t="n"/>
      <c r="L918" s="267" t="n"/>
      <c r="M918" s="267" t="n"/>
      <c r="N918" s="267" t="n"/>
    </row>
    <row r="919">
      <c r="I919" s="267" t="n"/>
      <c r="J919" s="267" t="n"/>
      <c r="K919" s="267" t="n"/>
      <c r="L919" s="267" t="n"/>
      <c r="M919" s="267" t="n"/>
      <c r="N919" s="267" t="n"/>
    </row>
    <row r="920">
      <c r="I920" s="267" t="n"/>
      <c r="J920" s="267" t="n"/>
      <c r="K920" s="267" t="n"/>
      <c r="L920" s="267" t="n"/>
      <c r="M920" s="267" t="n"/>
      <c r="N920" s="267" t="n"/>
    </row>
    <row r="921">
      <c r="I921" s="267" t="n"/>
      <c r="J921" s="267" t="n"/>
      <c r="K921" s="267" t="n"/>
      <c r="L921" s="267" t="n"/>
      <c r="M921" s="267" t="n"/>
      <c r="N921" s="267" t="n"/>
    </row>
    <row r="922">
      <c r="I922" s="267" t="n"/>
      <c r="J922" s="267" t="n"/>
      <c r="K922" s="267" t="n"/>
      <c r="L922" s="267" t="n"/>
      <c r="M922" s="267" t="n"/>
      <c r="N922" s="267" t="n"/>
    </row>
    <row r="923">
      <c r="I923" s="267" t="n"/>
      <c r="J923" s="267" t="n"/>
      <c r="K923" s="267" t="n"/>
      <c r="L923" s="267" t="n"/>
      <c r="M923" s="267" t="n"/>
      <c r="N923" s="267" t="n"/>
    </row>
    <row r="924">
      <c r="I924" s="267" t="n"/>
      <c r="J924" s="267" t="n"/>
      <c r="K924" s="267" t="n"/>
      <c r="L924" s="267" t="n"/>
      <c r="M924" s="267" t="n"/>
      <c r="N924" s="267" t="n"/>
    </row>
    <row r="925">
      <c r="I925" s="267" t="n"/>
      <c r="J925" s="267" t="n"/>
      <c r="K925" s="267" t="n"/>
      <c r="L925" s="267" t="n"/>
      <c r="M925" s="267" t="n"/>
      <c r="N925" s="267" t="n"/>
    </row>
    <row r="926">
      <c r="I926" s="267" t="n"/>
      <c r="J926" s="267" t="n"/>
      <c r="K926" s="267" t="n"/>
      <c r="L926" s="267" t="n"/>
      <c r="M926" s="267" t="n"/>
      <c r="N926" s="267" t="n"/>
    </row>
    <row r="927">
      <c r="I927" s="267" t="n"/>
      <c r="J927" s="267" t="n"/>
      <c r="K927" s="267" t="n"/>
      <c r="L927" s="267" t="n"/>
      <c r="M927" s="267" t="n"/>
      <c r="N927" s="267" t="n"/>
    </row>
    <row r="928">
      <c r="I928" s="267" t="n"/>
      <c r="J928" s="267" t="n"/>
      <c r="K928" s="267" t="n"/>
      <c r="L928" s="267" t="n"/>
      <c r="M928" s="267" t="n"/>
      <c r="N928" s="267" t="n"/>
    </row>
    <row r="929">
      <c r="I929" s="267" t="n"/>
      <c r="J929" s="267" t="n"/>
      <c r="K929" s="267" t="n"/>
      <c r="L929" s="267" t="n"/>
      <c r="M929" s="267" t="n"/>
      <c r="N929" s="267" t="n"/>
    </row>
    <row r="930">
      <c r="I930" s="267" t="n"/>
      <c r="J930" s="267" t="n"/>
      <c r="K930" s="267" t="n"/>
      <c r="L930" s="267" t="n"/>
      <c r="M930" s="267" t="n"/>
      <c r="N930" s="267" t="n"/>
    </row>
    <row r="931">
      <c r="I931" s="267" t="n"/>
      <c r="J931" s="267" t="n"/>
      <c r="K931" s="267" t="n"/>
      <c r="L931" s="267" t="n"/>
      <c r="M931" s="267" t="n"/>
      <c r="N931" s="267" t="n"/>
    </row>
    <row r="932">
      <c r="I932" s="267" t="n"/>
      <c r="J932" s="267" t="n"/>
      <c r="K932" s="267" t="n"/>
      <c r="L932" s="267" t="n"/>
      <c r="M932" s="267" t="n"/>
      <c r="N932" s="267" t="n"/>
    </row>
    <row r="933">
      <c r="I933" s="267" t="n"/>
      <c r="J933" s="267" t="n"/>
      <c r="K933" s="267" t="n"/>
      <c r="L933" s="267" t="n"/>
      <c r="M933" s="267" t="n"/>
      <c r="N933" s="267" t="n"/>
    </row>
    <row r="934">
      <c r="I934" s="267" t="n"/>
      <c r="J934" s="267" t="n"/>
      <c r="K934" s="267" t="n"/>
      <c r="L934" s="267" t="n"/>
      <c r="M934" s="267" t="n"/>
      <c r="N934" s="267" t="n"/>
    </row>
    <row r="935">
      <c r="I935" s="267" t="n"/>
      <c r="J935" s="267" t="n"/>
      <c r="K935" s="267" t="n"/>
      <c r="L935" s="267" t="n"/>
      <c r="M935" s="267" t="n"/>
      <c r="N935" s="267" t="n"/>
    </row>
    <row r="936">
      <c r="I936" s="267" t="n"/>
      <c r="J936" s="267" t="n"/>
      <c r="K936" s="267" t="n"/>
      <c r="L936" s="267" t="n"/>
      <c r="M936" s="267" t="n"/>
      <c r="N936" s="267" t="n"/>
    </row>
    <row r="937">
      <c r="I937" s="267" t="n"/>
      <c r="J937" s="267" t="n"/>
      <c r="K937" s="267" t="n"/>
      <c r="L937" s="267" t="n"/>
      <c r="M937" s="267" t="n"/>
      <c r="N937" s="267" t="n"/>
    </row>
    <row r="938">
      <c r="I938" s="267" t="n"/>
      <c r="J938" s="267" t="n"/>
      <c r="K938" s="267" t="n"/>
      <c r="L938" s="267" t="n"/>
      <c r="M938" s="267" t="n"/>
      <c r="N938" s="267" t="n"/>
    </row>
    <row r="939">
      <c r="I939" s="267" t="n"/>
      <c r="J939" s="267" t="n"/>
      <c r="K939" s="267" t="n"/>
      <c r="L939" s="267" t="n"/>
      <c r="M939" s="267" t="n"/>
      <c r="N939" s="267" t="n"/>
    </row>
    <row r="940">
      <c r="I940" s="267" t="n"/>
      <c r="J940" s="267" t="n"/>
      <c r="K940" s="267" t="n"/>
      <c r="L940" s="267" t="n"/>
      <c r="M940" s="267" t="n"/>
      <c r="N940" s="267" t="n"/>
    </row>
    <row r="941">
      <c r="I941" s="267" t="n"/>
      <c r="J941" s="267" t="n"/>
      <c r="K941" s="267" t="n"/>
      <c r="L941" s="267" t="n"/>
      <c r="M941" s="267" t="n"/>
      <c r="N941" s="267" t="n"/>
    </row>
    <row r="942">
      <c r="I942" s="267" t="n"/>
      <c r="J942" s="267" t="n"/>
      <c r="K942" s="267" t="n"/>
      <c r="L942" s="267" t="n"/>
      <c r="M942" s="267" t="n"/>
      <c r="N942" s="267" t="n"/>
    </row>
    <row r="943">
      <c r="I943" s="267" t="n"/>
      <c r="J943" s="267" t="n"/>
      <c r="K943" s="267" t="n"/>
      <c r="L943" s="267" t="n"/>
      <c r="M943" s="267" t="n"/>
      <c r="N943" s="267" t="n"/>
    </row>
    <row r="944">
      <c r="I944" s="267" t="n"/>
      <c r="J944" s="267" t="n"/>
      <c r="K944" s="267" t="n"/>
      <c r="L944" s="267" t="n"/>
      <c r="M944" s="267" t="n"/>
      <c r="N944" s="267" t="n"/>
    </row>
    <row r="945">
      <c r="I945" s="267" t="n"/>
      <c r="J945" s="267" t="n"/>
      <c r="K945" s="267" t="n"/>
      <c r="L945" s="267" t="n"/>
      <c r="M945" s="267" t="n"/>
      <c r="N945" s="267" t="n"/>
    </row>
    <row r="946">
      <c r="I946" s="267" t="n"/>
      <c r="J946" s="267" t="n"/>
      <c r="K946" s="267" t="n"/>
      <c r="L946" s="267" t="n"/>
      <c r="M946" s="267" t="n"/>
      <c r="N946" s="267" t="n"/>
    </row>
    <row r="947">
      <c r="I947" s="267" t="n"/>
      <c r="J947" s="267" t="n"/>
      <c r="K947" s="267" t="n"/>
      <c r="L947" s="267" t="n"/>
      <c r="M947" s="267" t="n"/>
      <c r="N947" s="267" t="n"/>
    </row>
    <row r="948">
      <c r="I948" s="267" t="n"/>
      <c r="J948" s="267" t="n"/>
      <c r="K948" s="267" t="n"/>
      <c r="L948" s="267" t="n"/>
      <c r="M948" s="267" t="n"/>
      <c r="N948" s="267" t="n"/>
    </row>
    <row r="949">
      <c r="I949" s="267" t="n"/>
      <c r="J949" s="267" t="n"/>
      <c r="K949" s="267" t="n"/>
      <c r="L949" s="267" t="n"/>
      <c r="M949" s="267" t="n"/>
      <c r="N949" s="267" t="n"/>
    </row>
    <row r="950">
      <c r="I950" s="267" t="n"/>
      <c r="J950" s="267" t="n"/>
      <c r="K950" s="267" t="n"/>
      <c r="L950" s="267" t="n"/>
      <c r="M950" s="267" t="n"/>
      <c r="N950" s="267" t="n"/>
    </row>
    <row r="951">
      <c r="I951" s="267" t="n"/>
      <c r="J951" s="267" t="n"/>
      <c r="K951" s="267" t="n"/>
      <c r="L951" s="267" t="n"/>
      <c r="M951" s="267" t="n"/>
      <c r="N951" s="267" t="n"/>
    </row>
    <row r="952">
      <c r="I952" s="267" t="n"/>
      <c r="J952" s="267" t="n"/>
      <c r="K952" s="267" t="n"/>
      <c r="L952" s="267" t="n"/>
      <c r="M952" s="267" t="n"/>
      <c r="N952" s="267" t="n"/>
    </row>
    <row r="953">
      <c r="I953" s="267" t="n"/>
      <c r="J953" s="267" t="n"/>
      <c r="K953" s="267" t="n"/>
      <c r="L953" s="267" t="n"/>
      <c r="M953" s="267" t="n"/>
      <c r="N953" s="267" t="n"/>
    </row>
    <row r="954">
      <c r="I954" s="267" t="n"/>
      <c r="J954" s="267" t="n"/>
      <c r="K954" s="267" t="n"/>
      <c r="L954" s="267" t="n"/>
      <c r="M954" s="267" t="n"/>
      <c r="N954" s="267" t="n"/>
    </row>
    <row r="955">
      <c r="I955" s="267" t="n"/>
      <c r="J955" s="267" t="n"/>
      <c r="K955" s="267" t="n"/>
      <c r="L955" s="267" t="n"/>
      <c r="M955" s="267" t="n"/>
      <c r="N955" s="267" t="n"/>
    </row>
    <row r="956">
      <c r="I956" s="267" t="n"/>
      <c r="J956" s="267" t="n"/>
      <c r="K956" s="267" t="n"/>
      <c r="L956" s="267" t="n"/>
      <c r="M956" s="267" t="n"/>
      <c r="N956" s="267" t="n"/>
    </row>
    <row r="957">
      <c r="I957" s="267" t="n"/>
      <c r="J957" s="267" t="n"/>
      <c r="K957" s="267" t="n"/>
      <c r="L957" s="267" t="n"/>
      <c r="M957" s="267" t="n"/>
      <c r="N957" s="267" t="n"/>
    </row>
    <row r="958">
      <c r="I958" s="267" t="n"/>
      <c r="J958" s="267" t="n"/>
      <c r="K958" s="267" t="n"/>
      <c r="L958" s="267" t="n"/>
      <c r="M958" s="267" t="n"/>
      <c r="N958" s="267" t="n"/>
    </row>
    <row r="959">
      <c r="I959" s="267" t="n"/>
      <c r="J959" s="267" t="n"/>
      <c r="K959" s="267" t="n"/>
      <c r="L959" s="267" t="n"/>
      <c r="M959" s="267" t="n"/>
      <c r="N959" s="267" t="n"/>
    </row>
    <row r="960">
      <c r="I960" s="267" t="n"/>
      <c r="J960" s="267" t="n"/>
      <c r="K960" s="267" t="n"/>
      <c r="L960" s="267" t="n"/>
      <c r="M960" s="267" t="n"/>
      <c r="N960" s="267" t="n"/>
    </row>
    <row r="961">
      <c r="I961" s="267" t="n"/>
      <c r="J961" s="267" t="n"/>
      <c r="K961" s="267" t="n"/>
      <c r="L961" s="267" t="n"/>
      <c r="M961" s="267" t="n"/>
      <c r="N961" s="267" t="n"/>
    </row>
    <row r="962">
      <c r="I962" s="267" t="n"/>
      <c r="J962" s="267" t="n"/>
      <c r="K962" s="267" t="n"/>
      <c r="L962" s="267" t="n"/>
      <c r="M962" s="267" t="n"/>
      <c r="N962" s="267" t="n"/>
    </row>
    <row r="963">
      <c r="I963" s="267" t="n"/>
      <c r="J963" s="267" t="n"/>
      <c r="K963" s="267" t="n"/>
      <c r="L963" s="267" t="n"/>
      <c r="M963" s="267" t="n"/>
      <c r="N963" s="267" t="n"/>
    </row>
    <row r="964">
      <c r="I964" s="267" t="n"/>
      <c r="J964" s="267" t="n"/>
      <c r="K964" s="267" t="n"/>
      <c r="L964" s="267" t="n"/>
      <c r="M964" s="267" t="n"/>
      <c r="N964" s="267" t="n"/>
    </row>
    <row r="965">
      <c r="I965" s="267" t="n"/>
      <c r="J965" s="267" t="n"/>
      <c r="K965" s="267" t="n"/>
      <c r="L965" s="267" t="n"/>
      <c r="M965" s="267" t="n"/>
      <c r="N965" s="267" t="n"/>
    </row>
    <row r="966">
      <c r="I966" s="267" t="n"/>
      <c r="J966" s="267" t="n"/>
      <c r="K966" s="267" t="n"/>
      <c r="L966" s="267" t="n"/>
      <c r="M966" s="267" t="n"/>
      <c r="N966" s="267" t="n"/>
    </row>
    <row r="967">
      <c r="I967" s="267" t="n"/>
      <c r="J967" s="267" t="n"/>
      <c r="K967" s="267" t="n"/>
      <c r="L967" s="267" t="n"/>
      <c r="M967" s="267" t="n"/>
      <c r="N967" s="267" t="n"/>
    </row>
    <row r="968">
      <c r="I968" s="267" t="n"/>
      <c r="J968" s="267" t="n"/>
      <c r="K968" s="267" t="n"/>
      <c r="L968" s="267" t="n"/>
      <c r="M968" s="267" t="n"/>
      <c r="N968" s="267" t="n"/>
    </row>
    <row r="969">
      <c r="I969" s="267" t="n"/>
      <c r="J969" s="267" t="n"/>
      <c r="K969" s="267" t="n"/>
      <c r="L969" s="267" t="n"/>
      <c r="M969" s="267" t="n"/>
      <c r="N969" s="267" t="n"/>
    </row>
    <row r="970">
      <c r="I970" s="267" t="n"/>
      <c r="J970" s="267" t="n"/>
      <c r="K970" s="267" t="n"/>
      <c r="L970" s="267" t="n"/>
      <c r="M970" s="267" t="n"/>
      <c r="N970" s="267" t="n"/>
    </row>
    <row r="971">
      <c r="I971" s="267" t="n"/>
      <c r="J971" s="267" t="n"/>
      <c r="K971" s="267" t="n"/>
      <c r="L971" s="267" t="n"/>
      <c r="M971" s="267" t="n"/>
      <c r="N971" s="267" t="n"/>
    </row>
    <row r="972">
      <c r="I972" s="267" t="n"/>
      <c r="J972" s="267" t="n"/>
      <c r="K972" s="267" t="n"/>
      <c r="L972" s="267" t="n"/>
      <c r="M972" s="267" t="n"/>
      <c r="N972" s="267" t="n"/>
    </row>
    <row r="973">
      <c r="I973" s="267" t="n"/>
      <c r="J973" s="267" t="n"/>
      <c r="K973" s="267" t="n"/>
      <c r="L973" s="267" t="n"/>
      <c r="M973" s="267" t="n"/>
      <c r="N973" s="267" t="n"/>
    </row>
    <row r="974">
      <c r="I974" s="267" t="n"/>
      <c r="J974" s="267" t="n"/>
      <c r="K974" s="267" t="n"/>
      <c r="L974" s="267" t="n"/>
      <c r="M974" s="267" t="n"/>
      <c r="N974" s="267" t="n"/>
    </row>
    <row r="975">
      <c r="I975" s="267" t="n"/>
      <c r="J975" s="267" t="n"/>
      <c r="K975" s="267" t="n"/>
      <c r="L975" s="267" t="n"/>
      <c r="M975" s="267" t="n"/>
      <c r="N975" s="267" t="n"/>
    </row>
    <row r="976">
      <c r="I976" s="267" t="n"/>
      <c r="J976" s="267" t="n"/>
      <c r="K976" s="267" t="n"/>
      <c r="L976" s="267" t="n"/>
      <c r="M976" s="267" t="n"/>
      <c r="N976" s="267" t="n"/>
    </row>
    <row r="977">
      <c r="I977" s="267" t="n"/>
      <c r="J977" s="267" t="n"/>
      <c r="K977" s="267" t="n"/>
      <c r="L977" s="267" t="n"/>
      <c r="M977" s="267" t="n"/>
      <c r="N977" s="267" t="n"/>
    </row>
    <row r="978">
      <c r="I978" s="267" t="n"/>
      <c r="J978" s="267" t="n"/>
      <c r="K978" s="267" t="n"/>
      <c r="L978" s="267" t="n"/>
      <c r="M978" s="267" t="n"/>
      <c r="N978" s="267" t="n"/>
    </row>
    <row r="979">
      <c r="I979" s="267" t="n"/>
      <c r="J979" s="267" t="n"/>
      <c r="K979" s="267" t="n"/>
      <c r="L979" s="267" t="n"/>
      <c r="M979" s="267" t="n"/>
      <c r="N979" s="267" t="n"/>
    </row>
    <row r="980">
      <c r="I980" s="267" t="n"/>
      <c r="J980" s="267" t="n"/>
      <c r="K980" s="267" t="n"/>
      <c r="L980" s="267" t="n"/>
      <c r="M980" s="267" t="n"/>
      <c r="N980" s="267" t="n"/>
    </row>
    <row r="981">
      <c r="I981" s="267" t="n"/>
      <c r="J981" s="267" t="n"/>
      <c r="K981" s="267" t="n"/>
      <c r="L981" s="267" t="n"/>
      <c r="M981" s="267" t="n"/>
      <c r="N981" s="267" t="n"/>
    </row>
    <row r="982">
      <c r="I982" s="267" t="n"/>
      <c r="J982" s="267" t="n"/>
      <c r="K982" s="267" t="n"/>
      <c r="L982" s="267" t="n"/>
      <c r="M982" s="267" t="n"/>
      <c r="N982" s="267" t="n"/>
    </row>
    <row r="983">
      <c r="I983" s="267" t="n"/>
      <c r="J983" s="267" t="n"/>
      <c r="K983" s="267" t="n"/>
      <c r="L983" s="267" t="n"/>
      <c r="M983" s="267" t="n"/>
      <c r="N983" s="267" t="n"/>
    </row>
    <row r="984">
      <c r="I984" s="267" t="n"/>
      <c r="J984" s="267" t="n"/>
      <c r="K984" s="267" t="n"/>
      <c r="L984" s="267" t="n"/>
      <c r="M984" s="267" t="n"/>
      <c r="N984" s="267" t="n"/>
    </row>
    <row r="985">
      <c r="I985" s="267" t="n"/>
      <c r="J985" s="267" t="n"/>
      <c r="K985" s="267" t="n"/>
      <c r="L985" s="267" t="n"/>
      <c r="M985" s="267" t="n"/>
      <c r="N985" s="267" t="n"/>
    </row>
    <row r="986">
      <c r="I986" s="267" t="n"/>
      <c r="J986" s="267" t="n"/>
      <c r="K986" s="267" t="n"/>
      <c r="L986" s="267" t="n"/>
      <c r="M986" s="267" t="n"/>
      <c r="N986" s="267" t="n"/>
    </row>
    <row r="987">
      <c r="I987" s="267" t="n"/>
      <c r="J987" s="267" t="n"/>
      <c r="K987" s="267" t="n"/>
      <c r="L987" s="267" t="n"/>
      <c r="M987" s="267" t="n"/>
      <c r="N987" s="267" t="n"/>
    </row>
    <row r="988">
      <c r="I988" s="267" t="n"/>
      <c r="J988" s="267" t="n"/>
      <c r="K988" s="267" t="n"/>
      <c r="L988" s="267" t="n"/>
      <c r="M988" s="267" t="n"/>
      <c r="N988" s="267" t="n"/>
    </row>
    <row r="989">
      <c r="I989" s="267" t="n"/>
      <c r="J989" s="267" t="n"/>
      <c r="K989" s="267" t="n"/>
      <c r="L989" s="267" t="n"/>
      <c r="M989" s="267" t="n"/>
      <c r="N989" s="267" t="n"/>
    </row>
    <row r="990">
      <c r="I990" s="267" t="n"/>
      <c r="J990" s="267" t="n"/>
      <c r="K990" s="267" t="n"/>
      <c r="L990" s="267" t="n"/>
      <c r="M990" s="267" t="n"/>
      <c r="N990" s="267" t="n"/>
    </row>
    <row r="991">
      <c r="I991" s="267" t="n"/>
      <c r="J991" s="267" t="n"/>
      <c r="K991" s="267" t="n"/>
      <c r="L991" s="267" t="n"/>
      <c r="M991" s="267" t="n"/>
      <c r="N991" s="267" t="n"/>
    </row>
    <row r="992">
      <c r="I992" s="267" t="n"/>
      <c r="J992" s="267" t="n"/>
      <c r="K992" s="267" t="n"/>
      <c r="L992" s="267" t="n"/>
      <c r="M992" s="267" t="n"/>
      <c r="N992" s="267" t="n"/>
    </row>
    <row r="993">
      <c r="I993" s="267" t="n"/>
      <c r="J993" s="267" t="n"/>
      <c r="K993" s="267" t="n"/>
      <c r="L993" s="267" t="n"/>
      <c r="M993" s="267" t="n"/>
      <c r="N993" s="267" t="n"/>
    </row>
    <row r="994">
      <c r="I994" s="267" t="n"/>
      <c r="J994" s="267" t="n"/>
      <c r="K994" s="267" t="n"/>
      <c r="L994" s="267" t="n"/>
      <c r="M994" s="267" t="n"/>
      <c r="N994" s="267" t="n"/>
    </row>
    <row r="995">
      <c r="I995" s="267" t="n"/>
      <c r="J995" s="267" t="n"/>
      <c r="K995" s="267" t="n"/>
      <c r="L995" s="267" t="n"/>
      <c r="M995" s="267" t="n"/>
      <c r="N995" s="267" t="n"/>
    </row>
    <row r="996">
      <c r="I996" s="267" t="n"/>
      <c r="J996" s="267" t="n"/>
      <c r="K996" s="267" t="n"/>
      <c r="L996" s="267" t="n"/>
      <c r="M996" s="267" t="n"/>
      <c r="N996" s="267" t="n"/>
    </row>
    <row r="997">
      <c r="I997" s="267" t="n"/>
      <c r="J997" s="267" t="n"/>
      <c r="K997" s="267" t="n"/>
      <c r="L997" s="267" t="n"/>
      <c r="M997" s="267" t="n"/>
      <c r="N997" s="267" t="n"/>
    </row>
    <row r="998">
      <c r="I998" s="267" t="n"/>
      <c r="J998" s="267" t="n"/>
      <c r="K998" s="267" t="n"/>
      <c r="L998" s="267" t="n"/>
      <c r="M998" s="267" t="n"/>
      <c r="N998" s="267" t="n"/>
    </row>
    <row r="999">
      <c r="I999" s="267" t="n"/>
      <c r="J999" s="267" t="n"/>
      <c r="K999" s="267" t="n"/>
      <c r="L999" s="267" t="n"/>
      <c r="M999" s="267" t="n"/>
      <c r="N999" s="267" t="n"/>
    </row>
    <row r="1000">
      <c r="I1000" s="267" t="n"/>
      <c r="J1000" s="267" t="n"/>
      <c r="K1000" s="267" t="n"/>
      <c r="L1000" s="267" t="n"/>
      <c r="M1000" s="267" t="n"/>
      <c r="N1000" s="267" t="n"/>
    </row>
    <row r="1001">
      <c r="I1001" s="267" t="n"/>
      <c r="J1001" s="267" t="n"/>
      <c r="K1001" s="267" t="n"/>
      <c r="L1001" s="267" t="n"/>
      <c r="M1001" s="267" t="n"/>
      <c r="N1001" s="267" t="n"/>
    </row>
    <row r="1002">
      <c r="I1002" s="267" t="n"/>
      <c r="J1002" s="267" t="n"/>
      <c r="K1002" s="267" t="n"/>
      <c r="L1002" s="267" t="n"/>
      <c r="M1002" s="267" t="n"/>
      <c r="N1002" s="267" t="n"/>
    </row>
    <row r="1003">
      <c r="I1003" s="267" t="n"/>
      <c r="J1003" s="267" t="n"/>
      <c r="K1003" s="267" t="n"/>
      <c r="L1003" s="267" t="n"/>
      <c r="M1003" s="267" t="n"/>
      <c r="N1003" s="267" t="n"/>
    </row>
    <row r="1004">
      <c r="I1004" s="267" t="n"/>
      <c r="J1004" s="267" t="n"/>
      <c r="K1004" s="267" t="n"/>
      <c r="L1004" s="267" t="n"/>
      <c r="M1004" s="267" t="n"/>
      <c r="N1004" s="267" t="n"/>
    </row>
    <row r="1005">
      <c r="I1005" s="267" t="n"/>
      <c r="J1005" s="267" t="n"/>
      <c r="K1005" s="267" t="n"/>
      <c r="L1005" s="267" t="n"/>
      <c r="M1005" s="267" t="n"/>
      <c r="N1005" s="267" t="n"/>
    </row>
    <row r="1006">
      <c r="I1006" s="267" t="n"/>
      <c r="J1006" s="267" t="n"/>
      <c r="K1006" s="267" t="n"/>
      <c r="L1006" s="267" t="n"/>
      <c r="M1006" s="267" t="n"/>
      <c r="N1006" s="267" t="n"/>
    </row>
    <row r="1007">
      <c r="I1007" s="267" t="n"/>
      <c r="J1007" s="267" t="n"/>
      <c r="K1007" s="267" t="n"/>
      <c r="L1007" s="267" t="n"/>
      <c r="M1007" s="267" t="n"/>
      <c r="N1007" s="267" t="n"/>
    </row>
    <row r="1008">
      <c r="I1008" s="267" t="n"/>
      <c r="J1008" s="267" t="n"/>
      <c r="K1008" s="267" t="n"/>
      <c r="L1008" s="267" t="n"/>
      <c r="M1008" s="267" t="n"/>
      <c r="N1008" s="267" t="n"/>
    </row>
    <row r="1009">
      <c r="I1009" s="267" t="n"/>
      <c r="J1009" s="267" t="n"/>
      <c r="K1009" s="267" t="n"/>
      <c r="L1009" s="267" t="n"/>
      <c r="M1009" s="267" t="n"/>
      <c r="N1009" s="267" t="n"/>
    </row>
    <row r="1010">
      <c r="I1010" s="267" t="n"/>
      <c r="J1010" s="267" t="n"/>
      <c r="K1010" s="267" t="n"/>
      <c r="L1010" s="267" t="n"/>
      <c r="M1010" s="267" t="n"/>
      <c r="N1010" s="267" t="n"/>
    </row>
    <row r="1011">
      <c r="I1011" s="267" t="n"/>
      <c r="J1011" s="267" t="n"/>
      <c r="K1011" s="267" t="n"/>
      <c r="L1011" s="267" t="n"/>
      <c r="M1011" s="267" t="n"/>
      <c r="N1011" s="267" t="n"/>
    </row>
    <row r="1012">
      <c r="I1012" s="267" t="n"/>
      <c r="J1012" s="267" t="n"/>
      <c r="K1012" s="267" t="n"/>
      <c r="L1012" s="267" t="n"/>
      <c r="M1012" s="267" t="n"/>
      <c r="N1012" s="267" t="n"/>
    </row>
    <row r="1013">
      <c r="I1013" s="267" t="n"/>
      <c r="J1013" s="267" t="n"/>
      <c r="K1013" s="267" t="n"/>
      <c r="L1013" s="267" t="n"/>
      <c r="M1013" s="267" t="n"/>
      <c r="N1013" s="267" t="n"/>
    </row>
    <row r="1014">
      <c r="I1014" s="267" t="n"/>
      <c r="J1014" s="267" t="n"/>
      <c r="K1014" s="267" t="n"/>
      <c r="L1014" s="267" t="n"/>
      <c r="M1014" s="267" t="n"/>
      <c r="N1014" s="267" t="n"/>
    </row>
    <row r="1015">
      <c r="I1015" s="267" t="n"/>
      <c r="J1015" s="267" t="n"/>
      <c r="K1015" s="267" t="n"/>
      <c r="L1015" s="267" t="n"/>
      <c r="M1015" s="267" t="n"/>
      <c r="N1015" s="267" t="n"/>
    </row>
    <row r="1016">
      <c r="I1016" s="267" t="n"/>
      <c r="J1016" s="267" t="n"/>
      <c r="K1016" s="267" t="n"/>
      <c r="L1016" s="267" t="n"/>
      <c r="M1016" s="267" t="n"/>
      <c r="N1016" s="267" t="n"/>
    </row>
    <row r="1017">
      <c r="I1017" s="267" t="n"/>
      <c r="J1017" s="267" t="n"/>
      <c r="K1017" s="267" t="n"/>
      <c r="L1017" s="267" t="n"/>
      <c r="M1017" s="267" t="n"/>
      <c r="N1017" s="267" t="n"/>
    </row>
    <row r="1018">
      <c r="I1018" s="267" t="n"/>
      <c r="J1018" s="267" t="n"/>
      <c r="K1018" s="267" t="n"/>
      <c r="L1018" s="267" t="n"/>
      <c r="M1018" s="267" t="n"/>
      <c r="N1018" s="267" t="n"/>
    </row>
    <row r="1019">
      <c r="I1019" s="267" t="n"/>
      <c r="J1019" s="267" t="n"/>
      <c r="K1019" s="267" t="n"/>
      <c r="L1019" s="267" t="n"/>
      <c r="M1019" s="267" t="n"/>
      <c r="N1019" s="267" t="n"/>
    </row>
    <row r="1020">
      <c r="I1020" s="267" t="n"/>
      <c r="J1020" s="267" t="n"/>
      <c r="K1020" s="267" t="n"/>
      <c r="L1020" s="267" t="n"/>
      <c r="M1020" s="267" t="n"/>
      <c r="N1020" s="267" t="n"/>
    </row>
    <row r="1021">
      <c r="I1021" s="267" t="n"/>
      <c r="J1021" s="267" t="n"/>
      <c r="K1021" s="267" t="n"/>
      <c r="L1021" s="267" t="n"/>
      <c r="M1021" s="267" t="n"/>
      <c r="N1021" s="267" t="n"/>
    </row>
    <row r="1022">
      <c r="I1022" s="267" t="n"/>
      <c r="J1022" s="267" t="n"/>
      <c r="K1022" s="267" t="n"/>
      <c r="L1022" s="267" t="n"/>
      <c r="M1022" s="267" t="n"/>
      <c r="N1022" s="267" t="n"/>
    </row>
    <row r="1023">
      <c r="I1023" s="267" t="n"/>
      <c r="J1023" s="267" t="n"/>
      <c r="K1023" s="267" t="n"/>
      <c r="L1023" s="267" t="n"/>
      <c r="M1023" s="267" t="n"/>
      <c r="N1023" s="267" t="n"/>
    </row>
    <row r="1024">
      <c r="I1024" s="267" t="n"/>
      <c r="J1024" s="267" t="n"/>
      <c r="K1024" s="267" t="n"/>
      <c r="L1024" s="267" t="n"/>
      <c r="M1024" s="267" t="n"/>
      <c r="N1024" s="267" t="n"/>
    </row>
    <row r="1025">
      <c r="I1025" s="267" t="n"/>
      <c r="J1025" s="267" t="n"/>
      <c r="K1025" s="267" t="n"/>
      <c r="L1025" s="267" t="n"/>
      <c r="M1025" s="267" t="n"/>
      <c r="N1025" s="267" t="n"/>
    </row>
    <row r="1026">
      <c r="I1026" s="267" t="n"/>
      <c r="J1026" s="267" t="n"/>
      <c r="K1026" s="267" t="n"/>
      <c r="L1026" s="267" t="n"/>
      <c r="M1026" s="267" t="n"/>
      <c r="N1026" s="267" t="n"/>
    </row>
    <row r="1027">
      <c r="I1027" s="267" t="n"/>
      <c r="J1027" s="267" t="n"/>
      <c r="K1027" s="267" t="n"/>
      <c r="L1027" s="267" t="n"/>
      <c r="M1027" s="267" t="n"/>
      <c r="N1027" s="267" t="n"/>
    </row>
    <row r="1028">
      <c r="I1028" s="267" t="n"/>
      <c r="J1028" s="267" t="n"/>
      <c r="K1028" s="267" t="n"/>
      <c r="L1028" s="267" t="n"/>
      <c r="M1028" s="267" t="n"/>
      <c r="N1028" s="267" t="n"/>
    </row>
    <row r="1029">
      <c r="I1029" s="267" t="n"/>
      <c r="J1029" s="267" t="n"/>
      <c r="K1029" s="267" t="n"/>
      <c r="L1029" s="267" t="n"/>
      <c r="M1029" s="267" t="n"/>
      <c r="N1029" s="267" t="n"/>
    </row>
    <row r="1030">
      <c r="I1030" s="267" t="n"/>
      <c r="J1030" s="267" t="n"/>
      <c r="K1030" s="267" t="n"/>
      <c r="L1030" s="267" t="n"/>
      <c r="M1030" s="267" t="n"/>
      <c r="N1030" s="267" t="n"/>
    </row>
    <row r="1031">
      <c r="I1031" s="267" t="n"/>
      <c r="J1031" s="267" t="n"/>
      <c r="K1031" s="267" t="n"/>
      <c r="L1031" s="267" t="n"/>
      <c r="M1031" s="267" t="n"/>
      <c r="N1031" s="267" t="n"/>
    </row>
    <row r="1032">
      <c r="I1032" s="267" t="n"/>
      <c r="J1032" s="267" t="n"/>
      <c r="K1032" s="267" t="n"/>
      <c r="L1032" s="267" t="n"/>
      <c r="M1032" s="267" t="n"/>
      <c r="N1032" s="267" t="n"/>
    </row>
    <row r="1033">
      <c r="I1033" s="267" t="n"/>
      <c r="J1033" s="267" t="n"/>
      <c r="K1033" s="267" t="n"/>
      <c r="L1033" s="267" t="n"/>
      <c r="M1033" s="267" t="n"/>
      <c r="N1033" s="267" t="n"/>
    </row>
    <row r="1034">
      <c r="I1034" s="267" t="n"/>
      <c r="J1034" s="267" t="n"/>
      <c r="K1034" s="267" t="n"/>
      <c r="L1034" s="267" t="n"/>
      <c r="M1034" s="267" t="n"/>
      <c r="N1034" s="267" t="n"/>
    </row>
    <row r="1035">
      <c r="I1035" s="267" t="n"/>
      <c r="J1035" s="267" t="n"/>
      <c r="K1035" s="267" t="n"/>
      <c r="L1035" s="267" t="n"/>
      <c r="M1035" s="267" t="n"/>
      <c r="N1035" s="267" t="n"/>
    </row>
    <row r="1036">
      <c r="I1036" s="267" t="n"/>
      <c r="J1036" s="267" t="n"/>
      <c r="K1036" s="267" t="n"/>
      <c r="L1036" s="267" t="n"/>
      <c r="M1036" s="267" t="n"/>
      <c r="N1036" s="267" t="n"/>
    </row>
    <row r="1037">
      <c r="I1037" s="267" t="n"/>
      <c r="J1037" s="267" t="n"/>
      <c r="K1037" s="267" t="n"/>
      <c r="L1037" s="267" t="n"/>
      <c r="M1037" s="267" t="n"/>
      <c r="N1037" s="267" t="n"/>
    </row>
    <row r="1038">
      <c r="I1038" s="267" t="n"/>
      <c r="J1038" s="267" t="n"/>
      <c r="K1038" s="267" t="n"/>
      <c r="L1038" s="267" t="n"/>
      <c r="M1038" s="267" t="n"/>
      <c r="N1038" s="267" t="n"/>
    </row>
    <row r="1039">
      <c r="I1039" s="267" t="n"/>
      <c r="J1039" s="267" t="n"/>
      <c r="K1039" s="267" t="n"/>
      <c r="L1039" s="267" t="n"/>
      <c r="M1039" s="267" t="n"/>
      <c r="N1039" s="267" t="n"/>
    </row>
    <row r="1040">
      <c r="I1040" s="267" t="n"/>
      <c r="J1040" s="267" t="n"/>
      <c r="K1040" s="267" t="n"/>
      <c r="L1040" s="267" t="n"/>
      <c r="M1040" s="267" t="n"/>
      <c r="N1040" s="267" t="n"/>
    </row>
    <row r="1041">
      <c r="I1041" s="267" t="n"/>
      <c r="J1041" s="267" t="n"/>
      <c r="K1041" s="267" t="n"/>
      <c r="L1041" s="267" t="n"/>
      <c r="M1041" s="267" t="n"/>
      <c r="N1041" s="267" t="n"/>
    </row>
    <row r="1042">
      <c r="I1042" s="267" t="n"/>
      <c r="J1042" s="267" t="n"/>
      <c r="K1042" s="267" t="n"/>
      <c r="L1042" s="267" t="n"/>
      <c r="M1042" s="267" t="n"/>
      <c r="N1042" s="267" t="n"/>
    </row>
    <row r="1043">
      <c r="I1043" s="267" t="n"/>
      <c r="J1043" s="267" t="n"/>
      <c r="K1043" s="267" t="n"/>
      <c r="L1043" s="267" t="n"/>
      <c r="M1043" s="267" t="n"/>
      <c r="N1043" s="267" t="n"/>
    </row>
    <row r="1044">
      <c r="I1044" s="267" t="n"/>
      <c r="J1044" s="267" t="n"/>
      <c r="K1044" s="267" t="n"/>
      <c r="L1044" s="267" t="n"/>
      <c r="M1044" s="267" t="n"/>
      <c r="N1044" s="267" t="n"/>
    </row>
    <row r="1045">
      <c r="I1045" s="267" t="n"/>
      <c r="J1045" s="267" t="n"/>
      <c r="K1045" s="267" t="n"/>
      <c r="L1045" s="267" t="n"/>
      <c r="M1045" s="267" t="n"/>
      <c r="N1045" s="267" t="n"/>
    </row>
    <row r="1046">
      <c r="I1046" s="267" t="n"/>
      <c r="J1046" s="267" t="n"/>
      <c r="K1046" s="267" t="n"/>
      <c r="L1046" s="267" t="n"/>
      <c r="M1046" s="267" t="n"/>
      <c r="N1046" s="267" t="n"/>
    </row>
    <row r="1047">
      <c r="I1047" s="267" t="n"/>
      <c r="J1047" s="267" t="n"/>
      <c r="K1047" s="267" t="n"/>
      <c r="L1047" s="267" t="n"/>
      <c r="M1047" s="267" t="n"/>
      <c r="N1047" s="267" t="n"/>
    </row>
    <row r="1048">
      <c r="I1048" s="267" t="n"/>
      <c r="J1048" s="267" t="n"/>
      <c r="K1048" s="267" t="n"/>
      <c r="L1048" s="267" t="n"/>
      <c r="M1048" s="267" t="n"/>
      <c r="N1048" s="267" t="n"/>
    </row>
    <row r="1049">
      <c r="I1049" s="267" t="n"/>
      <c r="J1049" s="267" t="n"/>
      <c r="K1049" s="267" t="n"/>
      <c r="L1049" s="267" t="n"/>
      <c r="M1049" s="267" t="n"/>
      <c r="N1049" s="267" t="n"/>
    </row>
    <row r="1050">
      <c r="I1050" s="267" t="n"/>
      <c r="J1050" s="267" t="n"/>
      <c r="K1050" s="267" t="n"/>
      <c r="L1050" s="267" t="n"/>
      <c r="M1050" s="267" t="n"/>
      <c r="N1050" s="267" t="n"/>
    </row>
    <row r="1051">
      <c r="I1051" s="267" t="n"/>
      <c r="J1051" s="267" t="n"/>
      <c r="K1051" s="267" t="n"/>
      <c r="L1051" s="267" t="n"/>
      <c r="M1051" s="267" t="n"/>
      <c r="N1051" s="267" t="n"/>
    </row>
    <row r="1052">
      <c r="I1052" s="267" t="n"/>
      <c r="J1052" s="267" t="n"/>
      <c r="K1052" s="267" t="n"/>
      <c r="L1052" s="267" t="n"/>
      <c r="M1052" s="267" t="n"/>
      <c r="N1052" s="267" t="n"/>
    </row>
    <row r="1053">
      <c r="I1053" s="267" t="n"/>
      <c r="J1053" s="267" t="n"/>
      <c r="K1053" s="267" t="n"/>
      <c r="L1053" s="267" t="n"/>
      <c r="M1053" s="267" t="n"/>
      <c r="N1053" s="267" t="n"/>
    </row>
    <row r="1054">
      <c r="I1054" s="267" t="n"/>
      <c r="J1054" s="267" t="n"/>
      <c r="K1054" s="267" t="n"/>
      <c r="L1054" s="267" t="n"/>
      <c r="M1054" s="267" t="n"/>
      <c r="N1054" s="267" t="n"/>
    </row>
    <row r="1055">
      <c r="I1055" s="267" t="n"/>
      <c r="J1055" s="267" t="n"/>
      <c r="K1055" s="267" t="n"/>
      <c r="L1055" s="267" t="n"/>
      <c r="M1055" s="267" t="n"/>
      <c r="N1055" s="267" t="n"/>
    </row>
    <row r="1056">
      <c r="I1056" s="267" t="n"/>
      <c r="J1056" s="267" t="n"/>
      <c r="K1056" s="267" t="n"/>
      <c r="L1056" s="267" t="n"/>
      <c r="M1056" s="267" t="n"/>
      <c r="N1056" s="267" t="n"/>
    </row>
    <row r="1057">
      <c r="I1057" s="267" t="n"/>
      <c r="J1057" s="267" t="n"/>
      <c r="K1057" s="267" t="n"/>
      <c r="L1057" s="267" t="n"/>
      <c r="M1057" s="267" t="n"/>
      <c r="N1057" s="267" t="n"/>
    </row>
    <row r="1058">
      <c r="I1058" s="267" t="n"/>
      <c r="J1058" s="267" t="n"/>
      <c r="K1058" s="267" t="n"/>
      <c r="L1058" s="267" t="n"/>
      <c r="M1058" s="267" t="n"/>
      <c r="N1058" s="267" t="n"/>
    </row>
    <row r="1059">
      <c r="I1059" s="267" t="n"/>
      <c r="J1059" s="267" t="n"/>
      <c r="K1059" s="267" t="n"/>
      <c r="L1059" s="267" t="n"/>
      <c r="M1059" s="267" t="n"/>
      <c r="N1059" s="267" t="n"/>
    </row>
    <row r="1060">
      <c r="I1060" s="267" t="n"/>
      <c r="J1060" s="267" t="n"/>
      <c r="K1060" s="267" t="n"/>
      <c r="L1060" s="267" t="n"/>
      <c r="M1060" s="267" t="n"/>
      <c r="N1060" s="267" t="n"/>
    </row>
    <row r="1061">
      <c r="I1061" s="267" t="n"/>
      <c r="J1061" s="267" t="n"/>
      <c r="K1061" s="267" t="n"/>
      <c r="L1061" s="267" t="n"/>
      <c r="M1061" s="267" t="n"/>
      <c r="N1061" s="267" t="n"/>
    </row>
    <row r="1062">
      <c r="I1062" s="267" t="n"/>
      <c r="J1062" s="267" t="n"/>
      <c r="K1062" s="267" t="n"/>
      <c r="L1062" s="267" t="n"/>
      <c r="M1062" s="267" t="n"/>
      <c r="N1062" s="267" t="n"/>
    </row>
    <row r="1063">
      <c r="I1063" s="267" t="n"/>
      <c r="J1063" s="267" t="n"/>
      <c r="K1063" s="267" t="n"/>
      <c r="L1063" s="267" t="n"/>
      <c r="M1063" s="267" t="n"/>
      <c r="N1063" s="267" t="n"/>
    </row>
    <row r="1064">
      <c r="I1064" s="267" t="n"/>
      <c r="J1064" s="267" t="n"/>
      <c r="K1064" s="267" t="n"/>
      <c r="L1064" s="267" t="n"/>
      <c r="M1064" s="267" t="n"/>
      <c r="N1064" s="267" t="n"/>
    </row>
    <row r="1065">
      <c r="I1065" s="267" t="n"/>
      <c r="J1065" s="267" t="n"/>
      <c r="K1065" s="267" t="n"/>
      <c r="L1065" s="267" t="n"/>
      <c r="M1065" s="267" t="n"/>
      <c r="N1065" s="267" t="n"/>
    </row>
    <row r="1066">
      <c r="I1066" s="267" t="n"/>
      <c r="J1066" s="267" t="n"/>
      <c r="K1066" s="267" t="n"/>
      <c r="L1066" s="267" t="n"/>
      <c r="M1066" s="267" t="n"/>
      <c r="N1066" s="267" t="n"/>
    </row>
    <row r="1067">
      <c r="I1067" s="267" t="n"/>
      <c r="J1067" s="267" t="n"/>
      <c r="K1067" s="267" t="n"/>
      <c r="L1067" s="267" t="n"/>
      <c r="M1067" s="267" t="n"/>
      <c r="N1067" s="267" t="n"/>
    </row>
    <row r="1068">
      <c r="I1068" s="267" t="n"/>
      <c r="J1068" s="267" t="n"/>
      <c r="K1068" s="267" t="n"/>
      <c r="L1068" s="267" t="n"/>
      <c r="M1068" s="267" t="n"/>
      <c r="N1068" s="267" t="n"/>
    </row>
    <row r="1069">
      <c r="I1069" s="267" t="n"/>
      <c r="J1069" s="267" t="n"/>
      <c r="K1069" s="267" t="n"/>
      <c r="L1069" s="267" t="n"/>
      <c r="M1069" s="267" t="n"/>
      <c r="N1069" s="267" t="n"/>
    </row>
    <row r="1070">
      <c r="I1070" s="267" t="n"/>
      <c r="J1070" s="267" t="n"/>
      <c r="K1070" s="267" t="n"/>
      <c r="L1070" s="267" t="n"/>
      <c r="M1070" s="267" t="n"/>
      <c r="N1070" s="267" t="n"/>
    </row>
    <row r="1071">
      <c r="I1071" s="267" t="n"/>
      <c r="J1071" s="267" t="n"/>
      <c r="K1071" s="267" t="n"/>
      <c r="L1071" s="267" t="n"/>
      <c r="M1071" s="267" t="n"/>
      <c r="N1071" s="267" t="n"/>
    </row>
    <row r="1072">
      <c r="I1072" s="267" t="n"/>
      <c r="J1072" s="267" t="n"/>
      <c r="K1072" s="267" t="n"/>
      <c r="L1072" s="267" t="n"/>
      <c r="M1072" s="267" t="n"/>
      <c r="N1072" s="267" t="n"/>
    </row>
    <row r="1073">
      <c r="I1073" s="267" t="n"/>
      <c r="J1073" s="267" t="n"/>
      <c r="K1073" s="267" t="n"/>
      <c r="L1073" s="267" t="n"/>
      <c r="M1073" s="267" t="n"/>
      <c r="N1073" s="267" t="n"/>
    </row>
    <row r="1074">
      <c r="I1074" s="267" t="n"/>
      <c r="J1074" s="267" t="n"/>
      <c r="K1074" s="267" t="n"/>
      <c r="L1074" s="267" t="n"/>
      <c r="M1074" s="267" t="n"/>
      <c r="N1074" s="267" t="n"/>
    </row>
    <row r="1075">
      <c r="I1075" s="267" t="n"/>
      <c r="J1075" s="267" t="n"/>
      <c r="K1075" s="267" t="n"/>
      <c r="L1075" s="267" t="n"/>
      <c r="M1075" s="267" t="n"/>
      <c r="N1075" s="267" t="n"/>
    </row>
    <row r="1076">
      <c r="I1076" s="267" t="n"/>
      <c r="J1076" s="267" t="n"/>
      <c r="K1076" s="267" t="n"/>
      <c r="L1076" s="267" t="n"/>
      <c r="M1076" s="267" t="n"/>
      <c r="N1076" s="267" t="n"/>
    </row>
    <row r="1077">
      <c r="I1077" s="267" t="n"/>
      <c r="J1077" s="267" t="n"/>
      <c r="K1077" s="267" t="n"/>
      <c r="L1077" s="267" t="n"/>
      <c r="M1077" s="267" t="n"/>
      <c r="N1077" s="267" t="n"/>
    </row>
    <row r="1078">
      <c r="I1078" s="267" t="n"/>
      <c r="J1078" s="267" t="n"/>
      <c r="K1078" s="267" t="n"/>
      <c r="L1078" s="267" t="n"/>
      <c r="M1078" s="267" t="n"/>
      <c r="N1078" s="267" t="n"/>
    </row>
    <row r="1079">
      <c r="I1079" s="267" t="n"/>
      <c r="J1079" s="267" t="n"/>
      <c r="K1079" s="267" t="n"/>
      <c r="L1079" s="267" t="n"/>
      <c r="M1079" s="267" t="n"/>
      <c r="N1079" s="267" t="n"/>
    </row>
    <row r="1080">
      <c r="I1080" s="267" t="n"/>
      <c r="J1080" s="267" t="n"/>
      <c r="K1080" s="267" t="n"/>
      <c r="L1080" s="267" t="n"/>
      <c r="M1080" s="267" t="n"/>
      <c r="N1080" s="267" t="n"/>
    </row>
    <row r="1081">
      <c r="I1081" s="267" t="n"/>
      <c r="J1081" s="267" t="n"/>
      <c r="K1081" s="267" t="n"/>
      <c r="L1081" s="267" t="n"/>
      <c r="M1081" s="267" t="n"/>
      <c r="N1081" s="267" t="n"/>
    </row>
    <row r="1082">
      <c r="I1082" s="267" t="n"/>
      <c r="J1082" s="267" t="n"/>
      <c r="K1082" s="267" t="n"/>
      <c r="L1082" s="267" t="n"/>
      <c r="M1082" s="267" t="n"/>
      <c r="N1082" s="267" t="n"/>
    </row>
    <row r="1083">
      <c r="I1083" s="267" t="n"/>
      <c r="J1083" s="267" t="n"/>
      <c r="K1083" s="267" t="n"/>
      <c r="L1083" s="267" t="n"/>
      <c r="M1083" s="267" t="n"/>
      <c r="N1083" s="267" t="n"/>
    </row>
    <row r="1084">
      <c r="I1084" s="267" t="n"/>
      <c r="J1084" s="267" t="n"/>
      <c r="K1084" s="267" t="n"/>
      <c r="L1084" s="267" t="n"/>
      <c r="M1084" s="267" t="n"/>
      <c r="N1084" s="267" t="n"/>
    </row>
    <row r="1085">
      <c r="I1085" s="267" t="n"/>
      <c r="J1085" s="267" t="n"/>
      <c r="K1085" s="267" t="n"/>
      <c r="L1085" s="267" t="n"/>
      <c r="M1085" s="267" t="n"/>
      <c r="N1085" s="267" t="n"/>
    </row>
    <row r="1086">
      <c r="I1086" s="267" t="n"/>
      <c r="J1086" s="267" t="n"/>
      <c r="K1086" s="267" t="n"/>
      <c r="L1086" s="267" t="n"/>
      <c r="M1086" s="267" t="n"/>
      <c r="N1086" s="267" t="n"/>
    </row>
    <row r="1087">
      <c r="I1087" s="267" t="n"/>
      <c r="J1087" s="267" t="n"/>
      <c r="K1087" s="267" t="n"/>
      <c r="L1087" s="267" t="n"/>
      <c r="M1087" s="267" t="n"/>
      <c r="N1087" s="267" t="n"/>
    </row>
    <row r="1088">
      <c r="I1088" s="267" t="n"/>
      <c r="J1088" s="267" t="n"/>
      <c r="K1088" s="267" t="n"/>
      <c r="L1088" s="267" t="n"/>
      <c r="M1088" s="267" t="n"/>
      <c r="N1088" s="267" t="n"/>
    </row>
    <row r="1089">
      <c r="I1089" s="267" t="n"/>
      <c r="J1089" s="267" t="n"/>
      <c r="K1089" s="267" t="n"/>
      <c r="L1089" s="267" t="n"/>
      <c r="M1089" s="267" t="n"/>
      <c r="N1089" s="267" t="n"/>
    </row>
    <row r="1090">
      <c r="I1090" s="267" t="n"/>
      <c r="J1090" s="267" t="n"/>
      <c r="K1090" s="267" t="n"/>
      <c r="L1090" s="267" t="n"/>
      <c r="M1090" s="267" t="n"/>
      <c r="N1090" s="267" t="n"/>
    </row>
    <row r="1091">
      <c r="I1091" s="267" t="n"/>
      <c r="J1091" s="267" t="n"/>
      <c r="K1091" s="267" t="n"/>
      <c r="L1091" s="267" t="n"/>
      <c r="M1091" s="267" t="n"/>
      <c r="N1091" s="267" t="n"/>
    </row>
    <row r="1092">
      <c r="I1092" s="267" t="n"/>
      <c r="J1092" s="267" t="n"/>
      <c r="K1092" s="267" t="n"/>
      <c r="L1092" s="267" t="n"/>
      <c r="M1092" s="267" t="n"/>
      <c r="N1092" s="267" t="n"/>
    </row>
    <row r="1093">
      <c r="I1093" s="267" t="n"/>
      <c r="J1093" s="267" t="n"/>
      <c r="K1093" s="267" t="n"/>
      <c r="L1093" s="267" t="n"/>
      <c r="M1093" s="267" t="n"/>
      <c r="N1093" s="267" t="n"/>
    </row>
    <row r="1094">
      <c r="I1094" s="267" t="n"/>
      <c r="J1094" s="267" t="n"/>
      <c r="K1094" s="267" t="n"/>
      <c r="L1094" s="267" t="n"/>
      <c r="M1094" s="267" t="n"/>
      <c r="N1094" s="267" t="n"/>
    </row>
    <row r="1095">
      <c r="I1095" s="267" t="n"/>
      <c r="J1095" s="267" t="n"/>
      <c r="K1095" s="267" t="n"/>
      <c r="L1095" s="267" t="n"/>
      <c r="M1095" s="267" t="n"/>
      <c r="N1095" s="267" t="n"/>
    </row>
    <row r="1096">
      <c r="I1096" s="267" t="n"/>
      <c r="J1096" s="267" t="n"/>
      <c r="K1096" s="267" t="n"/>
      <c r="L1096" s="267" t="n"/>
      <c r="M1096" s="267" t="n"/>
      <c r="N1096" s="267" t="n"/>
    </row>
    <row r="1097">
      <c r="I1097" s="267" t="n"/>
      <c r="J1097" s="267" t="n"/>
      <c r="K1097" s="267" t="n"/>
      <c r="L1097" s="267" t="n"/>
      <c r="M1097" s="267" t="n"/>
      <c r="N1097" s="267" t="n"/>
    </row>
    <row r="1098">
      <c r="I1098" s="267" t="n"/>
      <c r="J1098" s="267" t="n"/>
      <c r="K1098" s="267" t="n"/>
      <c r="L1098" s="267" t="n"/>
      <c r="M1098" s="267" t="n"/>
      <c r="N1098" s="267" t="n"/>
    </row>
    <row r="1099">
      <c r="I1099" s="267" t="n"/>
      <c r="J1099" s="267" t="n"/>
      <c r="K1099" s="267" t="n"/>
      <c r="L1099" s="267" t="n"/>
      <c r="M1099" s="267" t="n"/>
      <c r="N1099" s="267" t="n"/>
    </row>
    <row r="1100">
      <c r="I1100" s="267" t="n"/>
      <c r="J1100" s="267" t="n"/>
      <c r="K1100" s="267" t="n"/>
      <c r="L1100" s="267" t="n"/>
      <c r="M1100" s="267" t="n"/>
      <c r="N1100" s="267" t="n"/>
    </row>
    <row r="1101">
      <c r="I1101" s="267" t="n"/>
      <c r="J1101" s="267" t="n"/>
      <c r="K1101" s="267" t="n"/>
      <c r="L1101" s="267" t="n"/>
      <c r="M1101" s="267" t="n"/>
      <c r="N1101" s="267" t="n"/>
    </row>
    <row r="1102">
      <c r="I1102" s="267" t="n"/>
      <c r="J1102" s="267" t="n"/>
      <c r="K1102" s="267" t="n"/>
      <c r="L1102" s="267" t="n"/>
      <c r="M1102" s="267" t="n"/>
      <c r="N1102" s="267" t="n"/>
    </row>
    <row r="1103">
      <c r="I1103" s="267" t="n"/>
      <c r="J1103" s="267" t="n"/>
      <c r="K1103" s="267" t="n"/>
      <c r="L1103" s="267" t="n"/>
      <c r="M1103" s="267" t="n"/>
      <c r="N1103" s="267" t="n"/>
    </row>
    <row r="1104">
      <c r="I1104" s="267" t="n"/>
      <c r="J1104" s="267" t="n"/>
      <c r="K1104" s="267" t="n"/>
      <c r="L1104" s="267" t="n"/>
      <c r="M1104" s="267" t="n"/>
      <c r="N1104" s="267" t="n"/>
    </row>
    <row r="1105">
      <c r="I1105" s="267" t="n"/>
      <c r="J1105" s="267" t="n"/>
      <c r="K1105" s="267" t="n"/>
      <c r="L1105" s="267" t="n"/>
      <c r="M1105" s="267" t="n"/>
      <c r="N1105" s="267" t="n"/>
    </row>
    <row r="1106">
      <c r="I1106" s="267" t="n"/>
      <c r="J1106" s="267" t="n"/>
      <c r="K1106" s="267" t="n"/>
      <c r="L1106" s="267" t="n"/>
      <c r="M1106" s="267" t="n"/>
      <c r="N1106" s="267" t="n"/>
    </row>
    <row r="1107">
      <c r="I1107" s="267" t="n"/>
      <c r="J1107" s="267" t="n"/>
      <c r="K1107" s="267" t="n"/>
      <c r="L1107" s="267" t="n"/>
      <c r="M1107" s="267" t="n"/>
      <c r="N1107" s="267" t="n"/>
    </row>
    <row r="1108">
      <c r="I1108" s="267" t="n"/>
      <c r="J1108" s="267" t="n"/>
      <c r="K1108" s="267" t="n"/>
      <c r="L1108" s="267" t="n"/>
      <c r="M1108" s="267" t="n"/>
      <c r="N1108" s="267" t="n"/>
    </row>
    <row r="1109">
      <c r="I1109" s="267" t="n"/>
      <c r="J1109" s="267" t="n"/>
      <c r="K1109" s="267" t="n"/>
      <c r="L1109" s="267" t="n"/>
      <c r="M1109" s="267" t="n"/>
      <c r="N1109" s="267" t="n"/>
    </row>
    <row r="1110">
      <c r="I1110" s="267" t="n"/>
      <c r="J1110" s="267" t="n"/>
      <c r="K1110" s="267" t="n"/>
      <c r="L1110" s="267" t="n"/>
      <c r="M1110" s="267" t="n"/>
      <c r="N1110" s="267" t="n"/>
    </row>
    <row r="1111">
      <c r="I1111" s="267" t="n"/>
      <c r="J1111" s="267" t="n"/>
      <c r="K1111" s="267" t="n"/>
      <c r="L1111" s="267" t="n"/>
      <c r="M1111" s="267" t="n"/>
      <c r="N1111" s="267" t="n"/>
    </row>
    <row r="1112">
      <c r="I1112" s="267" t="n"/>
      <c r="J1112" s="267" t="n"/>
      <c r="K1112" s="267" t="n"/>
      <c r="L1112" s="267" t="n"/>
      <c r="M1112" s="267" t="n"/>
      <c r="N1112" s="267" t="n"/>
    </row>
    <row r="1113">
      <c r="I1113" s="267" t="n"/>
      <c r="J1113" s="267" t="n"/>
      <c r="K1113" s="267" t="n"/>
      <c r="L1113" s="267" t="n"/>
      <c r="M1113" s="267" t="n"/>
      <c r="N1113" s="267" t="n"/>
    </row>
    <row r="1114">
      <c r="I1114" s="267" t="n"/>
      <c r="J1114" s="267" t="n"/>
      <c r="K1114" s="267" t="n"/>
      <c r="L1114" s="267" t="n"/>
      <c r="M1114" s="267" t="n"/>
      <c r="N1114" s="267" t="n"/>
    </row>
    <row r="1115">
      <c r="I1115" s="267" t="n"/>
      <c r="J1115" s="267" t="n"/>
      <c r="K1115" s="267" t="n"/>
      <c r="L1115" s="267" t="n"/>
      <c r="M1115" s="267" t="n"/>
      <c r="N1115" s="267" t="n"/>
    </row>
    <row r="1116">
      <c r="I1116" s="267" t="n"/>
      <c r="J1116" s="267" t="n"/>
      <c r="K1116" s="267" t="n"/>
      <c r="L1116" s="267" t="n"/>
      <c r="M1116" s="267" t="n"/>
      <c r="N1116" s="267" t="n"/>
    </row>
  </sheetData>
  <autoFilter ref="A12:Y178">
    <filterColumn colId="6" hiddenButton="0" showButton="0"/>
  </autoFilter>
  <mergeCells count="23">
    <mergeCell ref="G12:H12"/>
    <mergeCell ref="B12:B13"/>
    <mergeCell ref="F12:F13"/>
    <mergeCell ref="L12:L13"/>
    <mergeCell ref="G178:H178"/>
    <mergeCell ref="N12:N13"/>
    <mergeCell ref="A11:W11"/>
    <mergeCell ref="R12:R13"/>
    <mergeCell ref="A12:A13"/>
    <mergeCell ref="C12:C13"/>
    <mergeCell ref="T12:T13"/>
    <mergeCell ref="M12:M13"/>
    <mergeCell ref="O12:O13"/>
    <mergeCell ref="U12:U13"/>
    <mergeCell ref="D12:D13"/>
    <mergeCell ref="O8:Q8"/>
    <mergeCell ref="W12:W13"/>
    <mergeCell ref="Y12:Y13"/>
    <mergeCell ref="V12:V13"/>
    <mergeCell ref="E12:E13"/>
    <mergeCell ref="X12:X13"/>
    <mergeCell ref="S12:S13"/>
    <mergeCell ref="A10:W10"/>
  </mergeCells>
  <printOptions horizontalCentered="1" verticalCentered="1"/>
  <pageMargins left="0.3937007874015748" right="0.3937007874015748" top="0.3937007874015748" bottom="0.3937007874015748" header="0" footer="0"/>
  <pageSetup orientation="portrait" scale="31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Y1054"/>
  <sheetViews>
    <sheetView view="pageBreakPreview" zoomScale="40" zoomScaleNormal="78" zoomScaleSheetLayoutView="90" workbookViewId="0">
      <selection activeCell="A1" sqref="A1:H1"/>
    </sheetView>
  </sheetViews>
  <sheetFormatPr baseColWidth="10" defaultColWidth="11.44140625" defaultRowHeight="15.6"/>
  <cols>
    <col width="10" customWidth="1" style="267" min="1" max="1"/>
    <col width="20" bestFit="1" customWidth="1" style="267" min="2" max="2"/>
    <col width="60" bestFit="1" customWidth="1" style="3" min="3" max="3"/>
    <col width="22" customWidth="1" style="267" min="4" max="4"/>
    <col width="42" customWidth="1" style="3" min="5" max="5"/>
    <col width="70" customWidth="1" style="267" min="6" max="6"/>
    <col width="14" customWidth="1" style="3" min="7" max="7"/>
    <col width="14" customWidth="1" style="227" min="8" max="8"/>
    <col width="18.33203125" bestFit="1" customWidth="1" style="277" min="9" max="11"/>
    <col width="23.44140625" bestFit="1" customWidth="1" style="277" min="12" max="12"/>
    <col width="17.6640625" bestFit="1" customWidth="1" style="277" min="13" max="13"/>
    <col width="24.33203125" bestFit="1" customWidth="1" style="277" min="14" max="14"/>
    <col width="24.109375" bestFit="1" customWidth="1" style="267" min="15" max="15"/>
    <col width="29.5546875" bestFit="1" customWidth="1" style="267" min="16" max="16"/>
    <col width="22.33203125" bestFit="1" customWidth="1" style="267" min="17" max="17"/>
    <col width="19.88671875" bestFit="1" customWidth="1" style="267" min="18" max="18"/>
    <col width="19.109375" bestFit="1" customWidth="1" style="267" min="19" max="19"/>
    <col width="24.33203125" bestFit="1" customWidth="1" style="267" min="20" max="20"/>
    <col width="23.109375" customWidth="1" style="267" min="21" max="21"/>
    <col width="21.109375" bestFit="1" customWidth="1" style="64" min="22" max="22"/>
    <col width="18" customWidth="1" style="5" min="23" max="26"/>
    <col width="11.44140625" customWidth="1" style="5" min="27" max="45"/>
    <col width="11.44140625" customWidth="1" style="5" min="46" max="16384"/>
  </cols>
  <sheetData>
    <row r="1">
      <c r="I1" s="267" t="n"/>
      <c r="J1" s="267" t="n"/>
      <c r="K1" s="267" t="n"/>
      <c r="L1" s="267" t="n"/>
      <c r="M1" s="267" t="n"/>
      <c r="N1" s="267" t="n"/>
    </row>
    <row r="2" ht="15.75" customHeight="1" s="227">
      <c r="A2" s="1" t="n"/>
      <c r="B2" s="1" t="n"/>
      <c r="I2" s="267" t="n"/>
      <c r="J2" s="267" t="n"/>
      <c r="K2" s="267" t="n"/>
      <c r="L2" s="267" t="n"/>
      <c r="M2" s="267" t="n"/>
      <c r="N2" s="267" t="n"/>
    </row>
    <row r="3" ht="15.75" customHeight="1" s="227">
      <c r="A3" s="1" t="n"/>
      <c r="B3" s="1" t="n"/>
      <c r="I3" s="267" t="n"/>
      <c r="J3" s="267" t="n"/>
      <c r="K3" s="267" t="n"/>
      <c r="L3" s="267" t="n"/>
      <c r="M3" s="267" t="n"/>
      <c r="N3" s="267" t="n"/>
    </row>
    <row r="4" ht="15.75" customHeight="1" s="227">
      <c r="A4" s="1" t="n"/>
      <c r="B4" s="1" t="n"/>
      <c r="F4" s="3" t="n"/>
      <c r="I4" s="267" t="n"/>
      <c r="J4" s="267" t="n"/>
      <c r="K4" s="267" t="n"/>
      <c r="L4" s="267" t="n"/>
      <c r="M4" s="267" t="n"/>
      <c r="N4" s="267" t="n"/>
    </row>
    <row r="5" ht="15.75" customHeight="1" s="227">
      <c r="A5" s="1" t="n"/>
      <c r="C5" s="267" t="n"/>
      <c r="E5" s="267" t="n"/>
      <c r="I5" s="267" t="n"/>
      <c r="J5" s="267" t="n"/>
      <c r="K5" s="267" t="n"/>
      <c r="L5" s="267" t="n"/>
      <c r="M5" s="267" t="n"/>
      <c r="N5" s="267" t="n"/>
    </row>
    <row r="6">
      <c r="C6" s="267" t="n"/>
      <c r="E6" s="267" t="n"/>
      <c r="I6" s="267" t="n"/>
      <c r="J6" s="267" t="n"/>
      <c r="K6" s="267" t="n"/>
      <c r="L6" s="267" t="n"/>
      <c r="M6" s="267" t="n"/>
      <c r="N6" s="267" t="n"/>
      <c r="R6" s="5" t="n"/>
    </row>
    <row r="7">
      <c r="C7" s="267" t="n"/>
      <c r="E7" s="267" t="n"/>
      <c r="I7" s="267" t="n"/>
      <c r="J7" s="267" t="n"/>
      <c r="K7" s="267" t="n"/>
      <c r="L7" s="267" t="n"/>
      <c r="M7" s="267" t="n"/>
      <c r="N7" s="267" t="n"/>
    </row>
    <row r="8" ht="33.75" customHeight="1" s="227">
      <c r="C8" s="267" t="n"/>
      <c r="E8" s="267" t="n"/>
      <c r="I8" s="267" t="n"/>
      <c r="J8" s="267" t="n"/>
      <c r="K8" s="267" t="n"/>
      <c r="L8" s="267" t="n"/>
      <c r="M8" s="267" t="n"/>
      <c r="N8" s="267" t="n"/>
      <c r="O8" s="266" t="inlineStr">
        <is>
          <t xml:space="preserve">
MEDICAL DIMEGAR S.A. DE C.V. </t>
        </is>
      </c>
    </row>
    <row r="9">
      <c r="I9" s="267" t="n"/>
      <c r="J9" s="267" t="n"/>
      <c r="K9" s="267" t="n"/>
      <c r="L9" s="267" t="n"/>
      <c r="M9" s="267" t="n"/>
      <c r="N9" s="267" t="n"/>
      <c r="S9" s="7" t="n">
        <v>0.16</v>
      </c>
    </row>
    <row r="10" ht="10.2" customFormat="1" customHeight="1" s="11">
      <c r="A10" s="255" t="n"/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4" t="n"/>
    </row>
    <row r="11" ht="31.95" customFormat="1" customHeight="1" s="265">
      <c r="A11" s="264" t="inlineStr">
        <is>
          <t xml:space="preserve">Nombre del proyecto:  "Servicio de Mantenimiento Integral a Equipos Médicos de Diversas Marcas". </t>
        </is>
      </c>
    </row>
    <row r="12" ht="31.2" customFormat="1" customHeight="1" s="17">
      <c r="A12" s="258" t="inlineStr">
        <is>
          <t>Partida</t>
        </is>
      </c>
      <c r="B12" s="257" t="inlineStr">
        <is>
          <t>Estado</t>
        </is>
      </c>
      <c r="C12" s="257" t="inlineStr">
        <is>
          <t>Equipo</t>
        </is>
      </c>
      <c r="D12" s="257" t="inlineStr">
        <is>
          <t>N/S</t>
        </is>
      </c>
      <c r="E12" s="257" t="inlineStr">
        <is>
          <t>Unidad Médica</t>
        </is>
      </c>
      <c r="F12" s="257" t="inlineStr">
        <is>
          <t>Descripcion del servicio</t>
        </is>
      </c>
      <c r="G12" s="257" t="inlineStr">
        <is>
          <t>Cantidad solicitada</t>
        </is>
      </c>
      <c r="H12" s="254" t="n"/>
      <c r="I12" s="263" t="inlineStr">
        <is>
          <t>costo</t>
        </is>
      </c>
      <c r="J12" s="263" t="inlineStr">
        <is>
          <t>costo</t>
        </is>
      </c>
      <c r="K12" s="263" t="inlineStr">
        <is>
          <t>costo</t>
        </is>
      </c>
      <c r="L12" s="269" t="inlineStr">
        <is>
          <t>Total sin I.V.A.</t>
        </is>
      </c>
      <c r="M12" s="269" t="inlineStr">
        <is>
          <t>I.V.A.</t>
        </is>
      </c>
      <c r="N12" s="269" t="inlineStr">
        <is>
          <t>Total con I.V.A.</t>
        </is>
      </c>
      <c r="O12" s="257" t="inlineStr">
        <is>
          <t>Precio Ofertado</t>
        </is>
      </c>
      <c r="P12" s="258" t="inlineStr">
        <is>
          <t>Precio unitario sin I.V.A.</t>
        </is>
      </c>
      <c r="Q12" s="258" t="inlineStr">
        <is>
          <t>Precio unitario sin I.V.A.</t>
        </is>
      </c>
      <c r="R12" s="257" t="inlineStr">
        <is>
          <t>Total sin I.V.A.</t>
        </is>
      </c>
      <c r="S12" s="257" t="inlineStr">
        <is>
          <t>I.V.A.</t>
        </is>
      </c>
      <c r="T12" s="257" t="inlineStr">
        <is>
          <t>Total con I.V.A.</t>
        </is>
      </c>
      <c r="U12" s="257" t="inlineStr">
        <is>
          <t>ESPECIALIDAD</t>
        </is>
      </c>
      <c r="V12" s="257" t="inlineStr">
        <is>
          <t>PROVEEDOR</t>
        </is>
      </c>
      <c r="W12" s="270" t="inlineStr">
        <is>
          <t>ADJUDICADO</t>
        </is>
      </c>
    </row>
    <row r="13" hidden="1" ht="25.5" customFormat="1" customHeight="1" s="26">
      <c r="A13" s="259" t="n"/>
      <c r="B13" s="259" t="n"/>
      <c r="C13" s="259" t="n"/>
      <c r="D13" s="259" t="n"/>
      <c r="E13" s="259" t="n"/>
      <c r="F13" s="259" t="n"/>
      <c r="G13" s="21" t="n">
        <v>2026</v>
      </c>
      <c r="H13" s="21" t="n">
        <v>2027</v>
      </c>
      <c r="I13" s="90" t="n">
        <v>2026</v>
      </c>
      <c r="J13" s="90" t="inlineStr">
        <is>
          <t>1ER 2027</t>
        </is>
      </c>
      <c r="K13" s="90" t="inlineStr">
        <is>
          <t>2DO 2027</t>
        </is>
      </c>
      <c r="L13" s="259" t="n"/>
      <c r="M13" s="259" t="n"/>
      <c r="N13" s="259" t="n"/>
      <c r="O13" s="259" t="n"/>
      <c r="P13" s="22" t="n">
        <v>2026</v>
      </c>
      <c r="Q13" s="23" t="n">
        <v>2027</v>
      </c>
      <c r="R13" s="259" t="n"/>
      <c r="S13" s="259" t="n"/>
      <c r="T13" s="259" t="n"/>
      <c r="U13" s="259" t="n"/>
      <c r="V13" s="259" t="n"/>
      <c r="W13" s="271" t="n"/>
    </row>
    <row r="14" hidden="1" ht="28.2" customFormat="1" customHeight="1" s="29">
      <c r="A14" s="86" t="n">
        <v>6</v>
      </c>
      <c r="B14" s="87" t="inlineStr">
        <is>
          <t>CDMX</t>
        </is>
      </c>
      <c r="C14" s="93" t="inlineStr">
        <is>
          <t>Microscopio avanzado, marca Leica, modelo M320F12</t>
        </is>
      </c>
      <c r="D14" s="88" t="inlineStr">
        <is>
          <t>10724001</t>
        </is>
      </c>
      <c r="E14" s="94" t="inlineStr">
        <is>
          <t>H.C.M. Lomas de Sotelo</t>
        </is>
      </c>
      <c r="F14" s="95" t="inlineStr">
        <is>
          <t>Servicio de mantenimiento integral para: Microscopio avanzado, marca Leica, modelo M320F12, serie 10724001;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" s="79" t="n">
        <v>1</v>
      </c>
      <c r="H14" s="80" t="n">
        <v>2</v>
      </c>
      <c r="I14" s="291" t="n">
        <v>125000</v>
      </c>
      <c r="J14" s="291" t="n">
        <v>125000</v>
      </c>
      <c r="K14" s="291" t="n">
        <v>125000</v>
      </c>
      <c r="L14" s="291" t="n">
        <v>375000</v>
      </c>
      <c r="M14" s="291" t="n">
        <v>60000</v>
      </c>
      <c r="N14" s="291" t="n">
        <v>435000</v>
      </c>
      <c r="O14" s="296" t="n">
        <v>150000</v>
      </c>
      <c r="P14" s="296" t="n">
        <v>150000</v>
      </c>
      <c r="Q14" s="296" t="n">
        <v>300000</v>
      </c>
      <c r="R14" s="296" t="n">
        <v>450000</v>
      </c>
      <c r="S14" s="296" t="n">
        <v>72000</v>
      </c>
      <c r="T14" s="296" t="n">
        <v>522000</v>
      </c>
      <c r="U14" s="78" t="inlineStr">
        <is>
          <t>OFTALMO</t>
        </is>
      </c>
      <c r="V14" s="82" t="inlineStr">
        <is>
          <t>COINDISA</t>
        </is>
      </c>
      <c r="W14" s="83" t="inlineStr">
        <is>
          <t>ADJUDICADO</t>
        </is>
      </c>
      <c r="X14" s="29" t="inlineStr">
        <is>
          <t>PROYECTADO</t>
        </is>
      </c>
    </row>
    <row r="15" hidden="1" ht="28.2" customFormat="1" customHeight="1" s="29">
      <c r="A15" s="86" t="n">
        <v>16</v>
      </c>
      <c r="B15" s="68" t="inlineStr">
        <is>
          <t>OAXACA</t>
        </is>
      </c>
      <c r="C15" s="72" t="inlineStr">
        <is>
          <t>Sistema de diagnóstico oftálmico avanzado, marca Heidelberg Engineering, modelo Anterion</t>
        </is>
      </c>
      <c r="D15" s="73" t="inlineStr">
        <is>
          <t>01827B0106</t>
        </is>
      </c>
      <c r="E15" s="72" t="inlineStr">
        <is>
          <t>H.M.Z. Ixcotel</t>
        </is>
      </c>
      <c r="F15" s="95" t="inlineStr">
        <is>
          <t>Servicio de mantenimiento integral para: Sistema de diagnóstico oftálmico avanzado, marca Heidelberg Engineering, modelo Anterion, serie 01827B0106;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5" s="79" t="n">
        <v>1</v>
      </c>
      <c r="H15" s="80" t="n">
        <v>2</v>
      </c>
      <c r="I15" s="291" t="n">
        <v>77500</v>
      </c>
      <c r="J15" s="291" t="n">
        <v>77500</v>
      </c>
      <c r="K15" s="291" t="n">
        <v>77500</v>
      </c>
      <c r="L15" s="291" t="n">
        <v>232500</v>
      </c>
      <c r="M15" s="291" t="n">
        <v>37200</v>
      </c>
      <c r="N15" s="291" t="n">
        <v>269700</v>
      </c>
      <c r="O15" s="296" t="n">
        <v>180000</v>
      </c>
      <c r="P15" s="296" t="n">
        <v>180000</v>
      </c>
      <c r="Q15" s="296" t="n">
        <v>360000</v>
      </c>
      <c r="R15" s="296" t="n">
        <v>540000</v>
      </c>
      <c r="S15" s="296" t="n">
        <v>86400</v>
      </c>
      <c r="T15" s="296" t="n">
        <v>626400</v>
      </c>
      <c r="U15" s="78" t="inlineStr">
        <is>
          <t>OFTALMO</t>
        </is>
      </c>
      <c r="V15" s="82" t="inlineStr">
        <is>
          <t>ARFAMEX</t>
        </is>
      </c>
      <c r="W15" s="83" t="inlineStr">
        <is>
          <t>ADJUDICADO</t>
        </is>
      </c>
      <c r="X15" s="29" t="inlineStr">
        <is>
          <t>PROYECTADO</t>
        </is>
      </c>
    </row>
    <row r="16" hidden="1" ht="28.2" customFormat="1" customHeight="1" s="29">
      <c r="A16" s="86" t="n">
        <v>17</v>
      </c>
      <c r="B16" s="68" t="inlineStr">
        <is>
          <t>OAXACA</t>
        </is>
      </c>
      <c r="C16" s="69" t="inlineStr">
        <is>
          <t>Sistema de diagnóstico oftálmico avanzado, marca Heidelberg Engineering, modelo Spectralis</t>
        </is>
      </c>
      <c r="D16" s="70" t="inlineStr">
        <is>
          <t>SPEC-CAM-22694-S3610</t>
        </is>
      </c>
      <c r="E16" s="71" t="inlineStr">
        <is>
          <t>H.M.Z. Ixcotel</t>
        </is>
      </c>
      <c r="F16" s="95" t="inlineStr">
        <is>
          <t>Servicio de mantenimiento integral para: Sistema de diagnóstico oftálmico avanzado, marca Heidelberg Engineering, modelo Spectralis, serie SPEC-CAM-22694-S3610;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6" s="79" t="n">
        <v>1</v>
      </c>
      <c r="H16" s="80" t="n">
        <v>2</v>
      </c>
      <c r="I16" s="291" t="n">
        <v>122850</v>
      </c>
      <c r="J16" s="291" t="n">
        <v>122850</v>
      </c>
      <c r="K16" s="291" t="n">
        <v>122850</v>
      </c>
      <c r="L16" s="291" t="n">
        <v>368550</v>
      </c>
      <c r="M16" s="291" t="n">
        <v>58968</v>
      </c>
      <c r="N16" s="291" t="n">
        <v>427518</v>
      </c>
      <c r="O16" s="296" t="n">
        <v>225000</v>
      </c>
      <c r="P16" s="296" t="n">
        <v>225000</v>
      </c>
      <c r="Q16" s="296" t="n">
        <v>450000</v>
      </c>
      <c r="R16" s="296" t="n">
        <v>675000</v>
      </c>
      <c r="S16" s="296" t="n">
        <v>108000</v>
      </c>
      <c r="T16" s="296" t="n">
        <v>783000</v>
      </c>
      <c r="U16" s="78" t="inlineStr">
        <is>
          <t>OFTALMO</t>
        </is>
      </c>
      <c r="V16" s="82" t="inlineStr">
        <is>
          <t>ARFAMEX</t>
        </is>
      </c>
      <c r="W16" s="83" t="inlineStr">
        <is>
          <t>ADJUDICADO</t>
        </is>
      </c>
      <c r="X16" s="29" t="inlineStr">
        <is>
          <t>PROYECTADO</t>
        </is>
      </c>
    </row>
    <row r="17" hidden="1" ht="28.2" customFormat="1" customHeight="1" s="29">
      <c r="A17" s="86" t="n">
        <v>19</v>
      </c>
      <c r="B17" s="68" t="inlineStr">
        <is>
          <t>CDMX</t>
        </is>
      </c>
      <c r="C17" s="72" t="inlineStr">
        <is>
          <t>Sistema de facoemulsificación, marca Alcon, modelo Centurion</t>
        </is>
      </c>
      <c r="D17" s="73" t="inlineStr">
        <is>
          <t>2201601801X</t>
        </is>
      </c>
      <c r="E17" s="72" t="inlineStr">
        <is>
          <t>H.M.E.O. Constituyentes</t>
        </is>
      </c>
      <c r="F17" s="95" t="inlineStr">
        <is>
          <t>Servicio de mantenimiento integral para: Sistema de facoemulsificación, marca Alcon, modelo Centurion, serie 2201601801X;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7" s="79" t="n">
        <v>1</v>
      </c>
      <c r="H17" s="80" t="n">
        <v>2</v>
      </c>
      <c r="I17" s="291" t="n">
        <v>75000</v>
      </c>
      <c r="J17" s="291" t="n">
        <v>75000</v>
      </c>
      <c r="K17" s="291" t="n">
        <v>75000</v>
      </c>
      <c r="L17" s="291" t="n">
        <v>225000</v>
      </c>
      <c r="M17" s="291" t="n">
        <v>36000</v>
      </c>
      <c r="N17" s="291" t="n">
        <v>261000</v>
      </c>
      <c r="O17" s="296" t="n">
        <v>160000</v>
      </c>
      <c r="P17" s="296" t="n">
        <v>160000</v>
      </c>
      <c r="Q17" s="296" t="n">
        <v>320000</v>
      </c>
      <c r="R17" s="296" t="n">
        <v>480000</v>
      </c>
      <c r="S17" s="296" t="n">
        <v>76800</v>
      </c>
      <c r="T17" s="296" t="n">
        <v>556800</v>
      </c>
      <c r="U17" s="78" t="inlineStr">
        <is>
          <t>OFTALMO</t>
        </is>
      </c>
      <c r="V17" s="82" t="inlineStr">
        <is>
          <t>ALCON</t>
        </is>
      </c>
      <c r="W17" s="83" t="inlineStr">
        <is>
          <t>ADJUDICADO</t>
        </is>
      </c>
      <c r="X17" s="29" t="inlineStr">
        <is>
          <t>PROYECTADO</t>
        </is>
      </c>
    </row>
    <row r="18" hidden="1" ht="28.2" customFormat="1" customHeight="1" s="29">
      <c r="A18" s="86" t="n">
        <v>20</v>
      </c>
      <c r="B18" s="68" t="inlineStr">
        <is>
          <t>CDMX</t>
        </is>
      </c>
      <c r="C18" s="72" t="inlineStr">
        <is>
          <t>Sistema de facoemulsificación, marca Alcon, modelo Centurion</t>
        </is>
      </c>
      <c r="D18" s="68" t="inlineStr">
        <is>
          <t>2201483301X</t>
        </is>
      </c>
      <c r="E18" s="69" t="inlineStr">
        <is>
          <t>H.M.E.O. Constituyentes</t>
        </is>
      </c>
      <c r="F18" s="95" t="inlineStr">
        <is>
          <t>Servicio de mantenimiento integral para: Sistema de facoemulsificación, marca Alcon, modelo Centurion, serie 2201483301X;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8" s="79" t="n">
        <v>1</v>
      </c>
      <c r="H18" s="80" t="n">
        <v>2</v>
      </c>
      <c r="I18" s="291" t="n">
        <v>75000</v>
      </c>
      <c r="J18" s="291" t="n">
        <v>75000</v>
      </c>
      <c r="K18" s="291" t="n">
        <v>75000</v>
      </c>
      <c r="L18" s="291" t="n">
        <v>225000</v>
      </c>
      <c r="M18" s="291" t="n">
        <v>36000</v>
      </c>
      <c r="N18" s="291" t="n">
        <v>261000</v>
      </c>
      <c r="O18" s="296" t="n">
        <v>160000</v>
      </c>
      <c r="P18" s="296" t="n">
        <v>160000</v>
      </c>
      <c r="Q18" s="296" t="n">
        <v>320000</v>
      </c>
      <c r="R18" s="296" t="n">
        <v>480000</v>
      </c>
      <c r="S18" s="296" t="n">
        <v>76800</v>
      </c>
      <c r="T18" s="296" t="n">
        <v>556800</v>
      </c>
      <c r="U18" s="78" t="inlineStr">
        <is>
          <t>OFTALMO</t>
        </is>
      </c>
      <c r="V18" s="82" t="inlineStr">
        <is>
          <t>ALCON</t>
        </is>
      </c>
      <c r="W18" s="83" t="inlineStr">
        <is>
          <t>ADJUDICADO</t>
        </is>
      </c>
      <c r="X18" s="29" t="inlineStr">
        <is>
          <t>PROYECTADO</t>
        </is>
      </c>
    </row>
    <row r="19" hidden="1" ht="28.2" customFormat="1" customHeight="1" s="29">
      <c r="A19" s="86" t="n">
        <v>21</v>
      </c>
      <c r="B19" s="68" t="inlineStr">
        <is>
          <t>CDMX</t>
        </is>
      </c>
      <c r="C19" s="72" t="inlineStr">
        <is>
          <t>Sistema de facoemulsificación, marca Alcon, modelo Centurion</t>
        </is>
      </c>
      <c r="D19" s="73" t="inlineStr">
        <is>
          <t>2201602101X</t>
        </is>
      </c>
      <c r="E19" s="72" t="inlineStr">
        <is>
          <t>H.M.E.O. Constituyentes</t>
        </is>
      </c>
      <c r="F19" s="96" t="inlineStr">
        <is>
          <t>Servicio de mantenimiento integral para: Sistema de facoemulsificación, marca Alcon, modelo Centurion, serie 2201602101X;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9" s="79" t="n">
        <v>1</v>
      </c>
      <c r="H19" s="80" t="n">
        <v>2</v>
      </c>
      <c r="I19" s="291" t="n">
        <v>75000</v>
      </c>
      <c r="J19" s="291" t="n">
        <v>75000</v>
      </c>
      <c r="K19" s="291" t="n">
        <v>75000</v>
      </c>
      <c r="L19" s="291" t="n">
        <v>225000</v>
      </c>
      <c r="M19" s="291" t="n">
        <v>36000</v>
      </c>
      <c r="N19" s="291" t="n">
        <v>261000</v>
      </c>
      <c r="O19" s="296" t="n">
        <v>160000</v>
      </c>
      <c r="P19" s="296" t="n">
        <v>160000</v>
      </c>
      <c r="Q19" s="296" t="n">
        <v>320000</v>
      </c>
      <c r="R19" s="296" t="n">
        <v>480000</v>
      </c>
      <c r="S19" s="296" t="n">
        <v>76800</v>
      </c>
      <c r="T19" s="296" t="n">
        <v>556800</v>
      </c>
      <c r="U19" s="78" t="inlineStr">
        <is>
          <t>OFTALMO</t>
        </is>
      </c>
      <c r="V19" s="82" t="inlineStr">
        <is>
          <t>ALCON</t>
        </is>
      </c>
      <c r="W19" s="83" t="inlineStr">
        <is>
          <t>ADJUDICADO</t>
        </is>
      </c>
      <c r="X19" s="29" t="inlineStr">
        <is>
          <t>PROYECTADO</t>
        </is>
      </c>
    </row>
    <row r="20" hidden="1" ht="28.2" customFormat="1" customHeight="1" s="29">
      <c r="A20" s="86" t="n">
        <v>22</v>
      </c>
      <c r="B20" s="68" t="inlineStr">
        <is>
          <t>CDMX</t>
        </is>
      </c>
      <c r="C20" s="72" t="inlineStr">
        <is>
          <t>Sistema de facoemulsificación, marca Alcon, modelo Centurion</t>
        </is>
      </c>
      <c r="D20" s="68" t="inlineStr">
        <is>
          <t>2202291501X</t>
        </is>
      </c>
      <c r="E20" s="69" t="inlineStr">
        <is>
          <t>H.M.E.O. Constituyentes</t>
        </is>
      </c>
      <c r="F20" s="95" t="inlineStr">
        <is>
          <t>Servicio de mantenimiento integral para: Sistema de facoemulsificación, marca Alcon, modelo Centurion, serie 2202291501X;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0" s="79" t="n">
        <v>1</v>
      </c>
      <c r="H20" s="80" t="n">
        <v>2</v>
      </c>
      <c r="I20" s="291" t="n">
        <v>75000</v>
      </c>
      <c r="J20" s="291" t="n">
        <v>75000</v>
      </c>
      <c r="K20" s="291" t="n">
        <v>75000</v>
      </c>
      <c r="L20" s="291" t="n">
        <v>225000</v>
      </c>
      <c r="M20" s="291" t="n">
        <v>36000</v>
      </c>
      <c r="N20" s="291" t="n">
        <v>261000</v>
      </c>
      <c r="O20" s="296" t="n">
        <v>160000</v>
      </c>
      <c r="P20" s="296" t="n">
        <v>160000</v>
      </c>
      <c r="Q20" s="296" t="n">
        <v>320000</v>
      </c>
      <c r="R20" s="296" t="n">
        <v>480000</v>
      </c>
      <c r="S20" s="296" t="n">
        <v>76800</v>
      </c>
      <c r="T20" s="296" t="n">
        <v>556800</v>
      </c>
      <c r="U20" s="78" t="inlineStr">
        <is>
          <t>OFTALMO</t>
        </is>
      </c>
      <c r="V20" s="82" t="inlineStr">
        <is>
          <t>ALCON</t>
        </is>
      </c>
      <c r="W20" s="83" t="inlineStr">
        <is>
          <t>ADJUDICADO</t>
        </is>
      </c>
      <c r="X20" s="29" t="inlineStr">
        <is>
          <t>PROYECTADO</t>
        </is>
      </c>
    </row>
    <row r="21" hidden="1" ht="28.2" customFormat="1" customHeight="1" s="29">
      <c r="A21" s="86" t="n">
        <v>23</v>
      </c>
      <c r="B21" s="68" t="inlineStr">
        <is>
          <t>CDMX</t>
        </is>
      </c>
      <c r="C21" s="72" t="inlineStr">
        <is>
          <t>Sistema de cirugía vitreorretiniana, marca Alcon, modelo Constellation</t>
        </is>
      </c>
      <c r="D21" s="73" t="inlineStr">
        <is>
          <t>2201508001X</t>
        </is>
      </c>
      <c r="E21" s="72" t="inlineStr">
        <is>
          <t>H.M.E.O. Constituyentes</t>
        </is>
      </c>
      <c r="F21" s="95" t="inlineStr">
        <is>
          <t>Servicio de mantenimiento integral para: Sistema de cirugía vitreorretiniana, marca Alcon, modelo Constellation, serie 2201508001X;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1" s="79" t="n">
        <v>1</v>
      </c>
      <c r="H21" s="80" t="n">
        <v>2</v>
      </c>
      <c r="I21" s="291" t="n">
        <v>120000</v>
      </c>
      <c r="J21" s="291" t="n">
        <v>120000</v>
      </c>
      <c r="K21" s="291" t="n">
        <v>120000</v>
      </c>
      <c r="L21" s="291" t="n">
        <v>360000</v>
      </c>
      <c r="M21" s="291" t="n">
        <v>57600</v>
      </c>
      <c r="N21" s="291" t="n">
        <v>417600</v>
      </c>
      <c r="O21" s="296" t="n">
        <v>350000</v>
      </c>
      <c r="P21" s="296" t="n">
        <v>350000</v>
      </c>
      <c r="Q21" s="296" t="n">
        <v>700000</v>
      </c>
      <c r="R21" s="296" t="n">
        <v>1050000</v>
      </c>
      <c r="S21" s="296" t="n">
        <v>168000</v>
      </c>
      <c r="T21" s="296" t="n">
        <v>1218000</v>
      </c>
      <c r="U21" s="78" t="inlineStr">
        <is>
          <t>OFTALMO</t>
        </is>
      </c>
      <c r="V21" s="82" t="inlineStr">
        <is>
          <t>ALCON</t>
        </is>
      </c>
      <c r="W21" s="83" t="inlineStr">
        <is>
          <t>ADJUDICADO</t>
        </is>
      </c>
      <c r="X21" s="29" t="inlineStr">
        <is>
          <t>PROYECTADO</t>
        </is>
      </c>
    </row>
    <row r="22" hidden="1" ht="28.2" customFormat="1" customHeight="1" s="29">
      <c r="A22" s="86" t="n">
        <v>24</v>
      </c>
      <c r="B22" s="68" t="inlineStr">
        <is>
          <t>CDMX</t>
        </is>
      </c>
      <c r="C22" s="72" t="inlineStr">
        <is>
          <t>Sistema de cirugía vitreorretiniana, marca Alcon, modelo Constellation</t>
        </is>
      </c>
      <c r="D22" s="73" t="inlineStr">
        <is>
          <t>2201508101X</t>
        </is>
      </c>
      <c r="E22" s="72" t="inlineStr">
        <is>
          <t>H.M.E.O. Constituyentes</t>
        </is>
      </c>
      <c r="F22" s="96" t="inlineStr">
        <is>
          <t>Servicio de mantenimiento integral para: Sistema de cirugía vitreorretiniana, marca Alcon, modelo Constellation, serie 2201508101X;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2" s="79" t="n">
        <v>1</v>
      </c>
      <c r="H22" s="80" t="n">
        <v>2</v>
      </c>
      <c r="I22" s="291" t="n">
        <v>120000</v>
      </c>
      <c r="J22" s="291" t="n">
        <v>120000</v>
      </c>
      <c r="K22" s="291" t="n">
        <v>120000</v>
      </c>
      <c r="L22" s="291" t="n">
        <v>360000</v>
      </c>
      <c r="M22" s="291" t="n">
        <v>57600</v>
      </c>
      <c r="N22" s="291" t="n">
        <v>417600</v>
      </c>
      <c r="O22" s="296" t="n">
        <v>350000</v>
      </c>
      <c r="P22" s="296" t="n">
        <v>350000</v>
      </c>
      <c r="Q22" s="296" t="n">
        <v>700000</v>
      </c>
      <c r="R22" s="296" t="n">
        <v>1050000</v>
      </c>
      <c r="S22" s="296" t="n">
        <v>168000</v>
      </c>
      <c r="T22" s="296" t="n">
        <v>1218000</v>
      </c>
      <c r="U22" s="78" t="inlineStr">
        <is>
          <t>OFTALMO</t>
        </is>
      </c>
      <c r="V22" s="82" t="inlineStr">
        <is>
          <t>ALCON</t>
        </is>
      </c>
      <c r="W22" s="83" t="inlineStr">
        <is>
          <t>ADJUDICADO</t>
        </is>
      </c>
      <c r="X22" s="29" t="inlineStr">
        <is>
          <t>PROYECTADO</t>
        </is>
      </c>
    </row>
    <row r="23" hidden="1" ht="28.2" customFormat="1" customHeight="1" s="29">
      <c r="A23" s="86" t="n">
        <v>25</v>
      </c>
      <c r="B23" s="68" t="inlineStr">
        <is>
          <t>CDMX</t>
        </is>
      </c>
      <c r="C23" s="72" t="inlineStr">
        <is>
          <t>Sistema de cirugía vitreorretiniana, marca Alcon, modelo Constellation</t>
        </is>
      </c>
      <c r="D23" s="68" t="inlineStr">
        <is>
          <t>2201541901X</t>
        </is>
      </c>
      <c r="E23" s="69" t="inlineStr">
        <is>
          <t>H.M.E.O. Constituyentes</t>
        </is>
      </c>
      <c r="F23" s="95" t="inlineStr">
        <is>
          <t>Servicio de mantenimiento integral para: Sistema de cirugía vitreorretiniana, marca Alcon, modelo Constellation, serie 2201541901X;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3" s="79" t="n">
        <v>1</v>
      </c>
      <c r="H23" s="80" t="n">
        <v>2</v>
      </c>
      <c r="I23" s="291" t="n">
        <v>120000</v>
      </c>
      <c r="J23" s="291" t="n">
        <v>120000</v>
      </c>
      <c r="K23" s="291" t="n">
        <v>120000</v>
      </c>
      <c r="L23" s="291" t="n">
        <v>360000</v>
      </c>
      <c r="M23" s="291" t="n">
        <v>57600</v>
      </c>
      <c r="N23" s="291" t="n">
        <v>417600</v>
      </c>
      <c r="O23" s="296" t="n">
        <v>350000</v>
      </c>
      <c r="P23" s="296" t="n">
        <v>350000</v>
      </c>
      <c r="Q23" s="296" t="n">
        <v>700000</v>
      </c>
      <c r="R23" s="296" t="n">
        <v>1050000</v>
      </c>
      <c r="S23" s="296" t="n">
        <v>168000</v>
      </c>
      <c r="T23" s="296" t="n">
        <v>1218000</v>
      </c>
      <c r="U23" s="78" t="inlineStr">
        <is>
          <t>OFTALMO</t>
        </is>
      </c>
      <c r="V23" s="82" t="inlineStr">
        <is>
          <t>ALCON</t>
        </is>
      </c>
      <c r="W23" s="83" t="inlineStr">
        <is>
          <t>ADJUDICADO</t>
        </is>
      </c>
      <c r="X23" s="29" t="inlineStr">
        <is>
          <t>PROYECTADO</t>
        </is>
      </c>
    </row>
    <row r="24" hidden="1" ht="28.2" customFormat="1" customHeight="1" s="29">
      <c r="A24" s="86" t="n">
        <v>26</v>
      </c>
      <c r="B24" s="68" t="inlineStr">
        <is>
          <t>CDMX</t>
        </is>
      </c>
      <c r="C24" s="72" t="inlineStr">
        <is>
          <t>Láser de diodo, marca A.R.C. Laser, modelo FOX 810</t>
        </is>
      </c>
      <c r="D24" s="68" t="inlineStr">
        <is>
          <t>615423-AAAB</t>
        </is>
      </c>
      <c r="E24" s="69" t="inlineStr">
        <is>
          <t>H.M.E.O. Constituyentes</t>
        </is>
      </c>
      <c r="F24" s="95" t="inlineStr">
        <is>
          <t>Servicio de mantenimiento integral para: Láser de diodo, marca A.R.C. Laser, modelo FOX 810, serie 615423-AAAB;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4" s="79" t="n">
        <v>1</v>
      </c>
      <c r="H24" s="80" t="n">
        <v>2</v>
      </c>
      <c r="I24" s="291" t="n">
        <v>200000</v>
      </c>
      <c r="J24" s="291" t="n">
        <v>200000</v>
      </c>
      <c r="K24" s="291" t="n">
        <v>200000</v>
      </c>
      <c r="L24" s="291" t="n">
        <v>600000</v>
      </c>
      <c r="M24" s="291" t="n">
        <v>96000</v>
      </c>
      <c r="N24" s="291" t="n">
        <v>696000</v>
      </c>
      <c r="O24" s="296" t="n">
        <v>500000</v>
      </c>
      <c r="P24" s="296" t="n">
        <v>500000</v>
      </c>
      <c r="Q24" s="296" t="n">
        <v>1000000</v>
      </c>
      <c r="R24" s="296" t="n">
        <v>1500000</v>
      </c>
      <c r="S24" s="296" t="n">
        <v>240000</v>
      </c>
      <c r="T24" s="296" t="n">
        <v>1740000</v>
      </c>
      <c r="U24" s="78" t="inlineStr">
        <is>
          <t>OFTALMO</t>
        </is>
      </c>
      <c r="V24" s="82" t="inlineStr">
        <is>
          <t>MD</t>
        </is>
      </c>
      <c r="W24" s="83" t="inlineStr">
        <is>
          <t>ADJUDICADO</t>
        </is>
      </c>
      <c r="X24" s="29" t="inlineStr">
        <is>
          <t>PROYECTADO</t>
        </is>
      </c>
    </row>
    <row r="25" hidden="1" ht="28.2" customFormat="1" customHeight="1" s="29">
      <c r="A25" s="86" t="n">
        <v>27</v>
      </c>
      <c r="B25" s="68" t="inlineStr">
        <is>
          <t>CDMX</t>
        </is>
      </c>
      <c r="C25" s="72" t="inlineStr">
        <is>
          <t>Electroretinógrafo portátil, marca LKC, modelo RETeval</t>
        </is>
      </c>
      <c r="D25" s="73" t="inlineStr">
        <is>
          <t>R002034</t>
        </is>
      </c>
      <c r="E25" s="72" t="inlineStr">
        <is>
          <t>H.M.E.O. Constituyentes</t>
        </is>
      </c>
      <c r="F25" s="95" t="inlineStr">
        <is>
          <t>Servicio de mantenimiento integral para: Electroretinógrafo portátil, marca LKC, modelo RETeval, serie R002034;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5" s="79" t="n">
        <v>1</v>
      </c>
      <c r="H25" s="80" t="n">
        <v>2</v>
      </c>
      <c r="I25" s="291" t="n">
        <v>200000</v>
      </c>
      <c r="J25" s="291" t="n">
        <v>200000</v>
      </c>
      <c r="K25" s="291" t="n">
        <v>200000</v>
      </c>
      <c r="L25" s="291" t="n">
        <v>600000</v>
      </c>
      <c r="M25" s="291" t="n">
        <v>96000</v>
      </c>
      <c r="N25" s="291" t="n">
        <v>696000</v>
      </c>
      <c r="O25" s="296" t="n">
        <v>420000</v>
      </c>
      <c r="P25" s="296" t="n">
        <v>420000</v>
      </c>
      <c r="Q25" s="296" t="n">
        <v>840000</v>
      </c>
      <c r="R25" s="296" t="n">
        <v>1260000</v>
      </c>
      <c r="S25" s="296" t="n">
        <v>201600</v>
      </c>
      <c r="T25" s="296" t="n">
        <v>1461600</v>
      </c>
      <c r="U25" s="78" t="inlineStr">
        <is>
          <t>OFTALMO</t>
        </is>
      </c>
      <c r="V25" s="82" t="inlineStr">
        <is>
          <t>ARFAMEX</t>
        </is>
      </c>
      <c r="W25" s="83" t="inlineStr">
        <is>
          <t>ADJUDICADO</t>
        </is>
      </c>
      <c r="X25" s="29" t="inlineStr">
        <is>
          <t>PROYECTADO</t>
        </is>
      </c>
    </row>
    <row r="26" hidden="1" ht="28.2" customFormat="1" customHeight="1" s="29">
      <c r="A26" s="86" t="n">
        <v>28</v>
      </c>
      <c r="B26" s="68" t="inlineStr">
        <is>
          <t>CDMX</t>
        </is>
      </c>
      <c r="C26" s="72" t="inlineStr">
        <is>
          <t>Electroretinógrafo portátil, marca LKC, modelo RETeval</t>
        </is>
      </c>
      <c r="D26" s="68" t="inlineStr">
        <is>
          <t>R002556</t>
        </is>
      </c>
      <c r="E26" s="69" t="inlineStr">
        <is>
          <t>H.M.E.O. Constituyentes</t>
        </is>
      </c>
      <c r="F26" s="95" t="inlineStr">
        <is>
          <t>Servicio de mantenimiento integral para: Electroretinógrafo portátil, marca LKC, modelo RETeval, serie R002556;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6" s="79" t="n">
        <v>1</v>
      </c>
      <c r="H26" s="80" t="n">
        <v>2</v>
      </c>
      <c r="I26" s="291" t="n">
        <v>200000</v>
      </c>
      <c r="J26" s="291" t="n">
        <v>200000</v>
      </c>
      <c r="K26" s="291" t="n">
        <v>200000</v>
      </c>
      <c r="L26" s="291" t="n">
        <v>600000</v>
      </c>
      <c r="M26" s="291" t="n">
        <v>96000</v>
      </c>
      <c r="N26" s="291" t="n">
        <v>696000</v>
      </c>
      <c r="O26" s="296" t="n">
        <v>420000</v>
      </c>
      <c r="P26" s="296" t="n">
        <v>420000</v>
      </c>
      <c r="Q26" s="296" t="n">
        <v>840000</v>
      </c>
      <c r="R26" s="296" t="n">
        <v>1260000</v>
      </c>
      <c r="S26" s="296" t="n">
        <v>201600</v>
      </c>
      <c r="T26" s="296" t="n">
        <v>1461600</v>
      </c>
      <c r="U26" s="78" t="inlineStr">
        <is>
          <t>OFTALMO</t>
        </is>
      </c>
      <c r="V26" s="82" t="inlineStr">
        <is>
          <t>ARFAMEX</t>
        </is>
      </c>
      <c r="W26" s="83" t="inlineStr">
        <is>
          <t>ADJUDICADO</t>
        </is>
      </c>
      <c r="X26" s="29" t="inlineStr">
        <is>
          <t>PROYECTADO</t>
        </is>
      </c>
    </row>
    <row r="27" hidden="1" ht="28.2" customFormat="1" customHeight="1" s="29">
      <c r="A27" s="86" t="n">
        <v>29</v>
      </c>
      <c r="B27" s="68" t="inlineStr">
        <is>
          <t>CDMX</t>
        </is>
      </c>
      <c r="C27" s="72" t="inlineStr">
        <is>
          <t>Microscopio confocal, marca Heidelberg Engineering, modelo HRT3 RCM</t>
        </is>
      </c>
      <c r="D27" s="68" t="inlineStr">
        <is>
          <t>HRT3-08313</t>
        </is>
      </c>
      <c r="E27" s="69" t="inlineStr">
        <is>
          <t>H.M.E.O. Constituyentes</t>
        </is>
      </c>
      <c r="F27" s="95" t="inlineStr">
        <is>
          <t>Servicio de mantenimiento integral para: Microscopio confocal, marca Heidelberg Engineering, modelo HRT3 RCM, serie HRT3-08313;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7" s="79" t="n">
        <v>1</v>
      </c>
      <c r="H27" s="80" t="n">
        <v>2</v>
      </c>
      <c r="I27" s="291" t="n">
        <v>75000</v>
      </c>
      <c r="J27" s="291" t="n">
        <v>75000</v>
      </c>
      <c r="K27" s="291" t="n">
        <v>75000</v>
      </c>
      <c r="L27" s="291" t="n">
        <v>225000</v>
      </c>
      <c r="M27" s="291" t="n">
        <v>36000</v>
      </c>
      <c r="N27" s="291" t="n">
        <v>261000</v>
      </c>
      <c r="O27" s="296" t="n">
        <v>150000</v>
      </c>
      <c r="P27" s="296" t="n">
        <v>150000</v>
      </c>
      <c r="Q27" s="296" t="n">
        <v>300000</v>
      </c>
      <c r="R27" s="296" t="n">
        <v>450000</v>
      </c>
      <c r="S27" s="296" t="n">
        <v>72000</v>
      </c>
      <c r="T27" s="296" t="n">
        <v>522000</v>
      </c>
      <c r="U27" s="78" t="inlineStr">
        <is>
          <t>OFTALMO</t>
        </is>
      </c>
      <c r="V27" s="82" t="inlineStr">
        <is>
          <t>ARFAMEX</t>
        </is>
      </c>
      <c r="W27" s="83" t="inlineStr">
        <is>
          <t>ADJUDICADO</t>
        </is>
      </c>
      <c r="X27" s="29" t="inlineStr">
        <is>
          <t>PROYECTADO</t>
        </is>
      </c>
    </row>
    <row r="28" hidden="1" ht="28.2" customFormat="1" customHeight="1" s="29">
      <c r="A28" s="86" t="n">
        <v>30</v>
      </c>
      <c r="B28" s="68" t="inlineStr">
        <is>
          <t>CDMX</t>
        </is>
      </c>
      <c r="C28" s="72" t="inlineStr">
        <is>
          <t>Topógrafo corneal con cámara Scheimpflug, marca Oculus, modelo Pentacam</t>
        </is>
      </c>
      <c r="D28" s="73" t="inlineStr">
        <is>
          <t>7010054522270</t>
        </is>
      </c>
      <c r="E28" s="72" t="inlineStr">
        <is>
          <t>H.M.E.O. Constituyentes</t>
        </is>
      </c>
      <c r="F28" s="95" t="inlineStr">
        <is>
          <t>Servicio de mantenimiento integral para: Topógrafo corneal con cámara Scheimpflug, marca Oculus, modelo Pentacam, serie 7010054522270;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8" s="79" t="n">
        <v>1</v>
      </c>
      <c r="H28" s="79" t="n">
        <v>2</v>
      </c>
      <c r="I28" s="291" t="n">
        <v>50000</v>
      </c>
      <c r="J28" s="291" t="n">
        <v>50000</v>
      </c>
      <c r="K28" s="291" t="n">
        <v>50000</v>
      </c>
      <c r="L28" s="291" t="n">
        <v>150000</v>
      </c>
      <c r="M28" s="291" t="n">
        <v>24000</v>
      </c>
      <c r="N28" s="291" t="n">
        <v>174000</v>
      </c>
      <c r="O28" s="296" t="n">
        <v>150000</v>
      </c>
      <c r="P28" s="296" t="n">
        <v>150000</v>
      </c>
      <c r="Q28" s="296" t="n">
        <v>300000</v>
      </c>
      <c r="R28" s="296" t="n">
        <v>450000</v>
      </c>
      <c r="S28" s="296" t="n">
        <v>72000</v>
      </c>
      <c r="T28" s="296" t="n">
        <v>522000</v>
      </c>
      <c r="U28" s="78" t="inlineStr">
        <is>
          <t>OFTALMO</t>
        </is>
      </c>
      <c r="V28" s="82" t="inlineStr">
        <is>
          <t>CYAN</t>
        </is>
      </c>
      <c r="W28" s="83" t="inlineStr">
        <is>
          <t>ADJUDICADO</t>
        </is>
      </c>
      <c r="X28" s="29" t="inlineStr">
        <is>
          <t>PROYECTADO</t>
        </is>
      </c>
    </row>
    <row r="29" hidden="1" ht="28.2" customFormat="1" customHeight="1" s="29">
      <c r="A29" s="86" t="n">
        <v>32</v>
      </c>
      <c r="B29" s="68" t="inlineStr">
        <is>
          <t>CDMX</t>
        </is>
      </c>
      <c r="C29" s="72" t="inlineStr">
        <is>
          <t>Sistema de fotocoagulación láser con estación de trabajo, marca OD-OS, modelo Navilas</t>
        </is>
      </c>
      <c r="D29" s="73" t="inlineStr">
        <is>
          <t>158000-3215</t>
        </is>
      </c>
      <c r="E29" s="72" t="inlineStr">
        <is>
          <t>H.M.E.O. Constituyentes</t>
        </is>
      </c>
      <c r="F29" s="95" t="inlineStr">
        <is>
          <t>Servicio de mantenimiento integral para: Sistema de fotocoagulación láser con estación de trabajo, marca OD-OS, modelo Navilas, serie 158000-3215;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9" s="79" t="n">
        <v>1</v>
      </c>
      <c r="H29" s="79" t="n">
        <v>2</v>
      </c>
      <c r="I29" s="291" t="n">
        <v>176000</v>
      </c>
      <c r="J29" s="291" t="n">
        <v>176000</v>
      </c>
      <c r="K29" s="291" t="n">
        <v>176000</v>
      </c>
      <c r="L29" s="291" t="n">
        <v>528000</v>
      </c>
      <c r="M29" s="291" t="n">
        <v>84480</v>
      </c>
      <c r="N29" s="291" t="n">
        <v>612480</v>
      </c>
      <c r="O29" s="296" t="n">
        <v>330000</v>
      </c>
      <c r="P29" s="296" t="n">
        <v>330000</v>
      </c>
      <c r="Q29" s="296" t="n">
        <v>660000</v>
      </c>
      <c r="R29" s="296" t="n">
        <v>990000</v>
      </c>
      <c r="S29" s="296" t="n">
        <v>158400</v>
      </c>
      <c r="T29" s="296" t="n">
        <v>1148400</v>
      </c>
      <c r="U29" s="78" t="inlineStr">
        <is>
          <t>OFTALMO</t>
        </is>
      </c>
      <c r="V29" s="82" t="inlineStr">
        <is>
          <t>FARBAC</t>
        </is>
      </c>
      <c r="W29" s="83" t="inlineStr">
        <is>
          <t>ADJUDICADO</t>
        </is>
      </c>
      <c r="X29" s="29" t="inlineStr">
        <is>
          <t>PROYECTADO</t>
        </is>
      </c>
    </row>
    <row r="30" hidden="1" ht="28.2" customFormat="1" customHeight="1" s="29">
      <c r="A30" s="86" t="n">
        <v>33</v>
      </c>
      <c r="B30" s="68" t="inlineStr">
        <is>
          <t>CDMX</t>
        </is>
      </c>
      <c r="C30" s="72" t="inlineStr">
        <is>
          <t>Cámara de campo ultra amplio, marca Natus, modelo RetCam Envision</t>
        </is>
      </c>
      <c r="D30" s="73" t="inlineStr">
        <is>
          <t>RE-0276</t>
        </is>
      </c>
      <c r="E30" s="72" t="inlineStr">
        <is>
          <t>H.M.E.O. Constituyentes</t>
        </is>
      </c>
      <c r="F30" s="95" t="inlineStr">
        <is>
          <t>Servicio de mantenimiento integral para: Cámara de campo ultra amplio, marca Natus, modelo RetCam Envision, serie RE-0276;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0" s="79" t="n">
        <v>1</v>
      </c>
      <c r="H30" s="79" t="n">
        <v>2</v>
      </c>
      <c r="I30" s="291" t="n">
        <v>75000</v>
      </c>
      <c r="J30" s="291" t="n">
        <v>75000</v>
      </c>
      <c r="K30" s="291" t="n">
        <v>75000</v>
      </c>
      <c r="L30" s="291" t="n">
        <v>225000</v>
      </c>
      <c r="M30" s="291" t="n">
        <v>36000</v>
      </c>
      <c r="N30" s="291" t="n">
        <v>261000</v>
      </c>
      <c r="O30" s="296" t="n">
        <v>145000</v>
      </c>
      <c r="P30" s="296" t="n">
        <v>145000</v>
      </c>
      <c r="Q30" s="296" t="n">
        <v>290000</v>
      </c>
      <c r="R30" s="296" t="n">
        <v>435000</v>
      </c>
      <c r="S30" s="296" t="n">
        <v>69600</v>
      </c>
      <c r="T30" s="296" t="n">
        <v>504600</v>
      </c>
      <c r="U30" s="78" t="inlineStr">
        <is>
          <t>OFTALMO</t>
        </is>
      </c>
      <c r="V30" s="82" t="inlineStr">
        <is>
          <t>ARFAMEX</t>
        </is>
      </c>
      <c r="W30" s="83" t="inlineStr">
        <is>
          <t>ADJUDICADO</t>
        </is>
      </c>
      <c r="X30" s="29" t="inlineStr">
        <is>
          <t>PROYECTADO</t>
        </is>
      </c>
    </row>
    <row r="31" hidden="1" ht="28.2" customFormat="1" customHeight="1" s="29">
      <c r="A31" s="86" t="n">
        <v>34</v>
      </c>
      <c r="B31" s="68" t="inlineStr">
        <is>
          <t>CDMX</t>
        </is>
      </c>
      <c r="C31" s="72" t="inlineStr">
        <is>
          <t>Láser, marca Quantel Medical, modelo Vitra 810</t>
        </is>
      </c>
      <c r="D31" s="73" t="inlineStr">
        <is>
          <t>574</t>
        </is>
      </c>
      <c r="E31" s="72" t="inlineStr">
        <is>
          <t>H.M.E.O. Constituyentes</t>
        </is>
      </c>
      <c r="F31" s="95" t="inlineStr">
        <is>
          <t>Servicio de mantenimiento integral para: Láser, marca Quantel Medical, modelo Vitra 810, serie 574;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1" s="79" t="n">
        <v>1</v>
      </c>
      <c r="H31" s="79" t="n">
        <v>2</v>
      </c>
      <c r="I31" s="291" t="n">
        <v>60000</v>
      </c>
      <c r="J31" s="291" t="n">
        <v>60000</v>
      </c>
      <c r="K31" s="291" t="n">
        <v>60000</v>
      </c>
      <c r="L31" s="291" t="n">
        <v>180000</v>
      </c>
      <c r="M31" s="291" t="n">
        <v>28800</v>
      </c>
      <c r="N31" s="291" t="n">
        <v>208800</v>
      </c>
      <c r="O31" s="296" t="n">
        <v>175000</v>
      </c>
      <c r="P31" s="296" t="n">
        <v>175000</v>
      </c>
      <c r="Q31" s="296" t="n">
        <v>350000</v>
      </c>
      <c r="R31" s="296" t="n">
        <v>525000</v>
      </c>
      <c r="S31" s="296" t="n">
        <v>84000</v>
      </c>
      <c r="T31" s="296" t="n">
        <v>609000</v>
      </c>
      <c r="U31" s="78" t="inlineStr">
        <is>
          <t>OFTALMO</t>
        </is>
      </c>
      <c r="V31" s="82" t="inlineStr">
        <is>
          <t>ARFAMEX</t>
        </is>
      </c>
      <c r="W31" s="83" t="inlineStr">
        <is>
          <t>ADJUDICADO</t>
        </is>
      </c>
      <c r="X31" s="29" t="inlineStr">
        <is>
          <t>PROYECTADO</t>
        </is>
      </c>
    </row>
    <row r="32" hidden="1" ht="28.2" customFormat="1" customHeight="1" s="29">
      <c r="A32" s="86" t="n">
        <v>35</v>
      </c>
      <c r="B32" s="68" t="inlineStr">
        <is>
          <t>CDMX</t>
        </is>
      </c>
      <c r="C32" s="72" t="inlineStr">
        <is>
          <t>Láser, marca Quantel Medical, modelo Vitra 811</t>
        </is>
      </c>
      <c r="D32" s="73" t="inlineStr">
        <is>
          <t>575</t>
        </is>
      </c>
      <c r="E32" s="72" t="inlineStr">
        <is>
          <t>H.M.E.O. Constituyentes</t>
        </is>
      </c>
      <c r="F32" s="95" t="inlineStr">
        <is>
          <t>Servicio de mantenimiento integral para: Láser, marca Quantel Medical, modelo Vitra 811, serie 575;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2" s="79" t="n">
        <v>1</v>
      </c>
      <c r="H32" s="79" t="n">
        <v>2</v>
      </c>
      <c r="I32" s="291" t="n">
        <v>60000</v>
      </c>
      <c r="J32" s="291" t="n">
        <v>60000</v>
      </c>
      <c r="K32" s="291" t="n">
        <v>60000</v>
      </c>
      <c r="L32" s="291" t="n">
        <v>180000</v>
      </c>
      <c r="M32" s="291" t="n">
        <v>28800</v>
      </c>
      <c r="N32" s="291" t="n">
        <v>208800</v>
      </c>
      <c r="O32" s="296" t="n">
        <v>175000</v>
      </c>
      <c r="P32" s="296" t="n">
        <v>175000</v>
      </c>
      <c r="Q32" s="296" t="n">
        <v>350000</v>
      </c>
      <c r="R32" s="296" t="n">
        <v>525000</v>
      </c>
      <c r="S32" s="296" t="n">
        <v>84000</v>
      </c>
      <c r="T32" s="296" t="n">
        <v>609000</v>
      </c>
      <c r="U32" s="78" t="inlineStr">
        <is>
          <t>OFTALMO</t>
        </is>
      </c>
      <c r="V32" s="82" t="inlineStr">
        <is>
          <t>ARFAMEX</t>
        </is>
      </c>
      <c r="W32" s="83" t="inlineStr">
        <is>
          <t>ADJUDICADO</t>
        </is>
      </c>
      <c r="X32" s="29" t="inlineStr">
        <is>
          <t>PROYECTADO</t>
        </is>
      </c>
    </row>
    <row r="33" hidden="1" ht="28.2" customFormat="1" customHeight="1" s="29">
      <c r="A33" s="86" t="n">
        <v>38</v>
      </c>
      <c r="B33" s="68" t="inlineStr">
        <is>
          <t>CDMX</t>
        </is>
      </c>
      <c r="C33" s="72" t="inlineStr">
        <is>
          <t>Retinógrafo portátil de campo amplio para neonatos, marca Visunex Medical Systems, modelo PanoCam</t>
        </is>
      </c>
      <c r="D33" s="68" t="inlineStr">
        <is>
          <t>A237402</t>
        </is>
      </c>
      <c r="E33" s="69" t="inlineStr">
        <is>
          <t>H.M.E.O. Constituyentes</t>
        </is>
      </c>
      <c r="F33" s="95" t="inlineStr">
        <is>
          <t>Servicio de mantenimiento integral para: Retinógrafo portátil de campo amplio para neonatos, marca Visunex Medical Systems, modelo PanoCam, serie A237402;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3" s="79" t="n">
        <v>1</v>
      </c>
      <c r="H33" s="80" t="n">
        <v>2</v>
      </c>
      <c r="I33" s="291" t="n">
        <v>75000</v>
      </c>
      <c r="J33" s="291" t="n">
        <v>75000</v>
      </c>
      <c r="K33" s="291" t="n">
        <v>75000</v>
      </c>
      <c r="L33" s="291" t="n">
        <v>225000</v>
      </c>
      <c r="M33" s="291" t="n">
        <v>36000</v>
      </c>
      <c r="N33" s="291" t="n">
        <v>261000</v>
      </c>
      <c r="O33" s="296" t="n">
        <v>140000</v>
      </c>
      <c r="P33" s="296" t="n">
        <v>140000</v>
      </c>
      <c r="Q33" s="296" t="n">
        <v>280000</v>
      </c>
      <c r="R33" s="296" t="n">
        <v>420000</v>
      </c>
      <c r="S33" s="296" t="n">
        <v>67200</v>
      </c>
      <c r="T33" s="296" t="n">
        <v>487200</v>
      </c>
      <c r="U33" s="78" t="inlineStr">
        <is>
          <t>OFTALMO</t>
        </is>
      </c>
      <c r="V33" s="82" t="inlineStr">
        <is>
          <t>MD</t>
        </is>
      </c>
      <c r="W33" s="83" t="inlineStr">
        <is>
          <t>ADJUDICADO</t>
        </is>
      </c>
      <c r="X33" s="29" t="inlineStr">
        <is>
          <t>PROYECTADO</t>
        </is>
      </c>
    </row>
    <row r="34" hidden="1" ht="28.2" customFormat="1" customHeight="1" s="29">
      <c r="A34" s="86" t="n">
        <v>39</v>
      </c>
      <c r="B34" s="68" t="inlineStr">
        <is>
          <t>CDMX</t>
        </is>
      </c>
      <c r="C34" s="72" t="inlineStr">
        <is>
          <t>Retinógrafo portátil de campo amplio para neonatos, marca Visunex Medical Systems, modelo PanoCam</t>
        </is>
      </c>
      <c r="D34" s="73" t="inlineStr">
        <is>
          <t>A237403</t>
        </is>
      </c>
      <c r="E34" s="72" t="inlineStr">
        <is>
          <t>H.M.E.O. Constituyentes</t>
        </is>
      </c>
      <c r="F34" s="95" t="inlineStr">
        <is>
          <t>Servicio de mantenimiento integral para: Retinógrafo portátil de campo amplio para neonatos, marca Visunex Medical Systems, modelo PanoCam, serie A237403;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4" s="79" t="n">
        <v>1</v>
      </c>
      <c r="H34" s="80" t="n">
        <v>2</v>
      </c>
      <c r="I34" s="291" t="n">
        <v>75000</v>
      </c>
      <c r="J34" s="291" t="n">
        <v>75000</v>
      </c>
      <c r="K34" s="291" t="n">
        <v>75000</v>
      </c>
      <c r="L34" s="291" t="n">
        <v>225000</v>
      </c>
      <c r="M34" s="291" t="n">
        <v>36000</v>
      </c>
      <c r="N34" s="291" t="n">
        <v>261000</v>
      </c>
      <c r="O34" s="296" t="n">
        <v>140000</v>
      </c>
      <c r="P34" s="296" t="n">
        <v>140000</v>
      </c>
      <c r="Q34" s="296" t="n">
        <v>280000</v>
      </c>
      <c r="R34" s="296" t="n">
        <v>420000</v>
      </c>
      <c r="S34" s="296" t="n">
        <v>67200</v>
      </c>
      <c r="T34" s="296" t="n">
        <v>487200</v>
      </c>
      <c r="U34" s="78" t="inlineStr">
        <is>
          <t>OFTALMO</t>
        </is>
      </c>
      <c r="V34" s="82" t="inlineStr">
        <is>
          <t>MD</t>
        </is>
      </c>
      <c r="W34" s="83" t="inlineStr">
        <is>
          <t>ADJUDICADO</t>
        </is>
      </c>
      <c r="X34" s="29" t="inlineStr">
        <is>
          <t>PROYECTADO</t>
        </is>
      </c>
    </row>
    <row r="35" hidden="1" ht="28.2" customFormat="1" customHeight="1" s="29">
      <c r="A35" s="86" t="n">
        <v>40</v>
      </c>
      <c r="B35" s="68" t="inlineStr">
        <is>
          <t>CDMX</t>
        </is>
      </c>
      <c r="C35" s="72" t="inlineStr">
        <is>
          <t>Retinógrafo portátil de campo amplio para neonatos, marca Visunex Medical Systems, modelo PanoCam</t>
        </is>
      </c>
      <c r="D35" s="73" t="inlineStr">
        <is>
          <t>A237401</t>
        </is>
      </c>
      <c r="E35" s="72" t="inlineStr">
        <is>
          <t>H.M.E.O. Constituyentes</t>
        </is>
      </c>
      <c r="F35" s="95" t="inlineStr">
        <is>
          <t>Servicio de mantenimiento integral para: Retinógrafo portátil de campo amplio para neonatos, marca Visunex Medical Systems, modelo PanoCam, serie A237401;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5" s="79" t="n">
        <v>1</v>
      </c>
      <c r="H35" s="80" t="n">
        <v>2</v>
      </c>
      <c r="I35" s="291" t="n">
        <v>75000</v>
      </c>
      <c r="J35" s="291" t="n">
        <v>75000</v>
      </c>
      <c r="K35" s="291" t="n">
        <v>75000</v>
      </c>
      <c r="L35" s="291" t="n">
        <v>225000</v>
      </c>
      <c r="M35" s="291" t="n">
        <v>36000</v>
      </c>
      <c r="N35" s="291" t="n">
        <v>261000</v>
      </c>
      <c r="O35" s="296" t="n">
        <v>140000</v>
      </c>
      <c r="P35" s="296" t="n">
        <v>140000</v>
      </c>
      <c r="Q35" s="296" t="n">
        <v>280000</v>
      </c>
      <c r="R35" s="296" t="n">
        <v>420000</v>
      </c>
      <c r="S35" s="296" t="n">
        <v>67200</v>
      </c>
      <c r="T35" s="296" t="n">
        <v>487200</v>
      </c>
      <c r="U35" s="78" t="inlineStr">
        <is>
          <t>OFTALMO</t>
        </is>
      </c>
      <c r="V35" s="82" t="inlineStr">
        <is>
          <t>MD</t>
        </is>
      </c>
      <c r="W35" s="83" t="inlineStr">
        <is>
          <t>ADJUDICADO</t>
        </is>
      </c>
      <c r="X35" s="29" t="inlineStr">
        <is>
          <t>PROYECTADO</t>
        </is>
      </c>
    </row>
    <row r="36" hidden="1" ht="28.2" customFormat="1" customHeight="1" s="29">
      <c r="A36" s="86" t="n">
        <v>41</v>
      </c>
      <c r="B36" s="68" t="inlineStr">
        <is>
          <t>CDMX</t>
        </is>
      </c>
      <c r="C36" s="72" t="inlineStr">
        <is>
          <t>Microscopio especular, marca TOMEY, modelo EM-4000</t>
        </is>
      </c>
      <c r="D36" s="73" t="inlineStr">
        <is>
          <t>354304</t>
        </is>
      </c>
      <c r="E36" s="72" t="inlineStr">
        <is>
          <t>H.M.E.O. Constituyentes</t>
        </is>
      </c>
      <c r="F36" s="95" t="inlineStr">
        <is>
          <t>Servicio de mantenimiento integral para: Microscopio especular, marca TOMEY, modelo EM-4000, serie 354304;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6" s="79" t="n">
        <v>1</v>
      </c>
      <c r="H36" s="80" t="n">
        <v>2</v>
      </c>
      <c r="I36" s="291" t="n">
        <v>55000</v>
      </c>
      <c r="J36" s="291" t="n">
        <v>55000</v>
      </c>
      <c r="K36" s="291" t="n">
        <v>55000</v>
      </c>
      <c r="L36" s="291" t="n">
        <v>165000</v>
      </c>
      <c r="M36" s="291" t="n">
        <v>26400</v>
      </c>
      <c r="N36" s="291" t="n">
        <v>191400</v>
      </c>
      <c r="O36" s="296" t="n">
        <v>125000</v>
      </c>
      <c r="P36" s="296" t="n">
        <v>125000</v>
      </c>
      <c r="Q36" s="296" t="n">
        <v>250000</v>
      </c>
      <c r="R36" s="296" t="n">
        <v>375000</v>
      </c>
      <c r="S36" s="296" t="n">
        <v>60000</v>
      </c>
      <c r="T36" s="296" t="n">
        <v>435000</v>
      </c>
      <c r="U36" s="78" t="inlineStr">
        <is>
          <t>OFTALMO</t>
        </is>
      </c>
      <c r="V36" s="82" t="inlineStr">
        <is>
          <t xml:space="preserve">ALDAI </t>
        </is>
      </c>
      <c r="W36" s="83" t="inlineStr">
        <is>
          <t>ADJUDICADO</t>
        </is>
      </c>
      <c r="X36" s="29" t="inlineStr">
        <is>
          <t>PROYECTADO</t>
        </is>
      </c>
    </row>
    <row r="37" hidden="1" ht="28.2" customFormat="1" customHeight="1" s="29">
      <c r="A37" s="86" t="n">
        <v>42</v>
      </c>
      <c r="B37" s="68" t="inlineStr">
        <is>
          <t>CDMX</t>
        </is>
      </c>
      <c r="C37" s="72" t="inlineStr">
        <is>
          <t>Microscopio especular, marca TOMEY, modelo EM-4001</t>
        </is>
      </c>
      <c r="D37" s="73" t="inlineStr">
        <is>
          <t>349103</t>
        </is>
      </c>
      <c r="E37" s="72" t="inlineStr">
        <is>
          <t>H.M.E.O. Constituyentes</t>
        </is>
      </c>
      <c r="F37" s="95" t="inlineStr">
        <is>
          <t>Servicio de mantenimiento integral para: Microscopio especular, marca TOMEY, modelo EM-4001, serie 349103;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7" s="79" t="n">
        <v>1</v>
      </c>
      <c r="H37" s="80" t="n">
        <v>2</v>
      </c>
      <c r="I37" s="291" t="n">
        <v>55000</v>
      </c>
      <c r="J37" s="291" t="n">
        <v>55000</v>
      </c>
      <c r="K37" s="291" t="n">
        <v>55000</v>
      </c>
      <c r="L37" s="291" t="n">
        <v>165000</v>
      </c>
      <c r="M37" s="291" t="n">
        <v>26400</v>
      </c>
      <c r="N37" s="291" t="n">
        <v>191400</v>
      </c>
      <c r="O37" s="296" t="n">
        <v>125000</v>
      </c>
      <c r="P37" s="296" t="n">
        <v>125000</v>
      </c>
      <c r="Q37" s="296" t="n">
        <v>250000</v>
      </c>
      <c r="R37" s="296" t="n">
        <v>375000</v>
      </c>
      <c r="S37" s="296" t="n">
        <v>60000</v>
      </c>
      <c r="T37" s="296" t="n">
        <v>435000</v>
      </c>
      <c r="U37" s="78" t="inlineStr">
        <is>
          <t>OFTALMO</t>
        </is>
      </c>
      <c r="V37" s="82" t="inlineStr">
        <is>
          <t xml:space="preserve">ALDAI </t>
        </is>
      </c>
      <c r="W37" s="83" t="inlineStr">
        <is>
          <t>ADJUDICADO</t>
        </is>
      </c>
      <c r="X37" s="29" t="inlineStr">
        <is>
          <t>PROYECTADO</t>
        </is>
      </c>
    </row>
    <row r="38" hidden="1" ht="28.2" customFormat="1" customHeight="1" s="29">
      <c r="A38" s="86" t="n">
        <v>43</v>
      </c>
      <c r="B38" s="68" t="inlineStr">
        <is>
          <t>CDMX</t>
        </is>
      </c>
      <c r="C38" s="72" t="inlineStr">
        <is>
          <t>Ultrasonido modo A-B, marca TOMEY, modelo UD-800</t>
        </is>
      </c>
      <c r="D38" s="68" t="inlineStr">
        <is>
          <t>366702</t>
        </is>
      </c>
      <c r="E38" s="69" t="inlineStr">
        <is>
          <t>H.M.E.O. Constituyentes</t>
        </is>
      </c>
      <c r="F38" s="95" t="inlineStr">
        <is>
          <t>Servicio de mantenimiento integral para: Ultrasonido modo A-B, marca TOMEY, modelo UD-800, serie 366702;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8" s="79" t="n">
        <v>1</v>
      </c>
      <c r="H38" s="79" t="n">
        <v>2</v>
      </c>
      <c r="I38" s="291" t="n">
        <v>47500</v>
      </c>
      <c r="J38" s="291" t="n">
        <v>47500</v>
      </c>
      <c r="K38" s="291" t="n">
        <v>47500</v>
      </c>
      <c r="L38" s="291" t="n">
        <v>142500</v>
      </c>
      <c r="M38" s="291" t="n">
        <v>22800</v>
      </c>
      <c r="N38" s="291" t="n">
        <v>165300</v>
      </c>
      <c r="O38" s="296" t="n">
        <v>150000</v>
      </c>
      <c r="P38" s="296" t="n">
        <v>150000</v>
      </c>
      <c r="Q38" s="296" t="n">
        <v>300000</v>
      </c>
      <c r="R38" s="296" t="n">
        <v>450000</v>
      </c>
      <c r="S38" s="296" t="n">
        <v>72000</v>
      </c>
      <c r="T38" s="296" t="n">
        <v>522000</v>
      </c>
      <c r="U38" s="78" t="inlineStr">
        <is>
          <t>OFTALMO</t>
        </is>
      </c>
      <c r="V38" s="82" t="inlineStr">
        <is>
          <t xml:space="preserve">ALDAI </t>
        </is>
      </c>
      <c r="W38" s="83" t="inlineStr">
        <is>
          <t>ADJUDICADO</t>
        </is>
      </c>
      <c r="X38" s="29" t="inlineStr">
        <is>
          <t>PROYECTADO</t>
        </is>
      </c>
    </row>
    <row r="39" hidden="1" ht="28.2" customFormat="1" customHeight="1" s="29">
      <c r="A39" s="86" t="n">
        <v>44</v>
      </c>
      <c r="B39" s="68" t="inlineStr">
        <is>
          <t>CDMX</t>
        </is>
      </c>
      <c r="C39" s="72" t="inlineStr">
        <is>
          <t>Ultrasonido modo A-B, marca TOMEY, modelo UD-801</t>
        </is>
      </c>
      <c r="D39" s="73" t="inlineStr">
        <is>
          <t>372404</t>
        </is>
      </c>
      <c r="E39" s="72" t="inlineStr">
        <is>
          <t>H.M.E.O. Constituyentes</t>
        </is>
      </c>
      <c r="F39" s="95" t="inlineStr">
        <is>
          <t>Servicio de mantenimiento integral para: Ultrasonido modo A-B, marca TOMEY, modelo UD-801, serie 372404;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9" s="79" t="n">
        <v>1</v>
      </c>
      <c r="H39" s="79" t="n">
        <v>2</v>
      </c>
      <c r="I39" s="291" t="n">
        <v>47500</v>
      </c>
      <c r="J39" s="291" t="n">
        <v>47500</v>
      </c>
      <c r="K39" s="291" t="n">
        <v>47500</v>
      </c>
      <c r="L39" s="291" t="n">
        <v>142500</v>
      </c>
      <c r="M39" s="291" t="n">
        <v>22800</v>
      </c>
      <c r="N39" s="291" t="n">
        <v>165300</v>
      </c>
      <c r="O39" s="296" t="n">
        <v>150000</v>
      </c>
      <c r="P39" s="296" t="n">
        <v>150000</v>
      </c>
      <c r="Q39" s="296" t="n">
        <v>300000</v>
      </c>
      <c r="R39" s="296" t="n">
        <v>450000</v>
      </c>
      <c r="S39" s="296" t="n">
        <v>72000</v>
      </c>
      <c r="T39" s="296" t="n">
        <v>522000</v>
      </c>
      <c r="U39" s="78" t="inlineStr">
        <is>
          <t>OFTALMO</t>
        </is>
      </c>
      <c r="V39" s="82" t="inlineStr">
        <is>
          <t xml:space="preserve">ALDAI </t>
        </is>
      </c>
      <c r="W39" s="83" t="inlineStr">
        <is>
          <t>ADJUDICADO</t>
        </is>
      </c>
      <c r="X39" s="29" t="inlineStr">
        <is>
          <t>PROYECTADO</t>
        </is>
      </c>
    </row>
    <row r="40" hidden="1" ht="28.2" customFormat="1" customHeight="1" s="29">
      <c r="A40" s="86" t="n">
        <v>45</v>
      </c>
      <c r="B40" s="68" t="inlineStr">
        <is>
          <t>CDMX</t>
        </is>
      </c>
      <c r="C40" s="72" t="inlineStr">
        <is>
          <t>Autorrefractómetro, marca SUOER, modelo Ocular Screening SW-800</t>
        </is>
      </c>
      <c r="D40" s="68" t="inlineStr">
        <is>
          <t>BC0013GY1C</t>
        </is>
      </c>
      <c r="E40" s="69" t="inlineStr">
        <is>
          <t>H.M.E.O. Constituyentes</t>
        </is>
      </c>
      <c r="F40" s="95" t="inlineStr">
        <is>
          <t>Servicio de mantenimiento integral para: Autorrefractómetro, marca SUOER, modelo Ocular Screening SW-800, serie BC0013GY1C;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0" s="79" t="n">
        <v>1</v>
      </c>
      <c r="H40" s="80" t="n">
        <v>2</v>
      </c>
      <c r="I40" s="291" t="n">
        <v>50000</v>
      </c>
      <c r="J40" s="291" t="n">
        <v>50000</v>
      </c>
      <c r="K40" s="291" t="n">
        <v>50000</v>
      </c>
      <c r="L40" s="291" t="n">
        <v>150000</v>
      </c>
      <c r="M40" s="291" t="n">
        <v>24000</v>
      </c>
      <c r="N40" s="291" t="n">
        <v>174000</v>
      </c>
      <c r="O40" s="296" t="n">
        <v>150000</v>
      </c>
      <c r="P40" s="296" t="n">
        <v>150000</v>
      </c>
      <c r="Q40" s="296" t="n">
        <v>300000</v>
      </c>
      <c r="R40" s="296" t="n">
        <v>450000</v>
      </c>
      <c r="S40" s="296" t="n">
        <v>72000</v>
      </c>
      <c r="T40" s="296" t="n">
        <v>522000</v>
      </c>
      <c r="U40" s="78" t="inlineStr">
        <is>
          <t>OFTALMO</t>
        </is>
      </c>
      <c r="V40" s="82" t="inlineStr">
        <is>
          <t>MD</t>
        </is>
      </c>
      <c r="W40" s="83" t="inlineStr">
        <is>
          <t>ADJUDICADO</t>
        </is>
      </c>
      <c r="X40" s="29" t="inlineStr">
        <is>
          <t>PROYECTADO</t>
        </is>
      </c>
    </row>
    <row r="41" hidden="1" ht="28.2" customFormat="1" customHeight="1" s="29">
      <c r="A41" s="86" t="n">
        <v>46</v>
      </c>
      <c r="B41" s="68" t="inlineStr">
        <is>
          <t>CDMX</t>
        </is>
      </c>
      <c r="C41" s="72" t="inlineStr">
        <is>
          <t>Autorrefractómetro, marca SUOER, modelo Ocular Screening SW-800</t>
        </is>
      </c>
      <c r="D41" s="73" t="inlineStr">
        <is>
          <t>BC0007GY1C</t>
        </is>
      </c>
      <c r="E41" s="72" t="inlineStr">
        <is>
          <t>H.M.E.O. Constituyentes</t>
        </is>
      </c>
      <c r="F41" s="95" t="inlineStr">
        <is>
          <t>Servicio de mantenimiento integral para: Autorrefractómetro, marca SUOER, modelo Ocular Screening SW-800, serie BC0007GY1C;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1" s="79" t="n">
        <v>1</v>
      </c>
      <c r="H41" s="80" t="n">
        <v>2</v>
      </c>
      <c r="I41" s="291" t="n">
        <v>50000</v>
      </c>
      <c r="J41" s="291" t="n">
        <v>50000</v>
      </c>
      <c r="K41" s="291" t="n">
        <v>50000</v>
      </c>
      <c r="L41" s="291" t="n">
        <v>150000</v>
      </c>
      <c r="M41" s="291" t="n">
        <v>24000</v>
      </c>
      <c r="N41" s="291" t="n">
        <v>174000</v>
      </c>
      <c r="O41" s="296" t="n">
        <v>150000</v>
      </c>
      <c r="P41" s="296" t="n">
        <v>150000</v>
      </c>
      <c r="Q41" s="296" t="n">
        <v>300000</v>
      </c>
      <c r="R41" s="296" t="n">
        <v>450000</v>
      </c>
      <c r="S41" s="296" t="n">
        <v>72000</v>
      </c>
      <c r="T41" s="296" t="n">
        <v>522000</v>
      </c>
      <c r="U41" s="78" t="inlineStr">
        <is>
          <t>OFTALMO</t>
        </is>
      </c>
      <c r="V41" s="82" t="inlineStr">
        <is>
          <t>MD</t>
        </is>
      </c>
      <c r="W41" s="83" t="inlineStr">
        <is>
          <t>ADJUDICADO</t>
        </is>
      </c>
      <c r="X41" s="29" t="inlineStr">
        <is>
          <t>PROYECTADO</t>
        </is>
      </c>
    </row>
    <row r="42" hidden="1" ht="28.2" customFormat="1" customHeight="1" s="29">
      <c r="A42" s="86" t="n">
        <v>47</v>
      </c>
      <c r="B42" s="68" t="inlineStr">
        <is>
          <t>CDMX</t>
        </is>
      </c>
      <c r="C42" s="72" t="inlineStr">
        <is>
          <t>Autorrefractómetro, marca SUOER, modelo Ocular Screening SW-800</t>
        </is>
      </c>
      <c r="D42" s="68" t="inlineStr">
        <is>
          <t>BB0042GY1C</t>
        </is>
      </c>
      <c r="E42" s="69" t="inlineStr">
        <is>
          <t>H.M.E.O. Constituyentes</t>
        </is>
      </c>
      <c r="F42" s="95" t="inlineStr">
        <is>
          <t>Servicio de mantenimiento integral para: Autorrefractómetro, marca SUOER, modelo Ocular Screening SW-800, serie BB0042GY1C;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2" s="79" t="n">
        <v>1</v>
      </c>
      <c r="H42" s="80" t="n">
        <v>2</v>
      </c>
      <c r="I42" s="291" t="n">
        <v>50000</v>
      </c>
      <c r="J42" s="291" t="n">
        <v>50000</v>
      </c>
      <c r="K42" s="291" t="n">
        <v>50000</v>
      </c>
      <c r="L42" s="291" t="n">
        <v>150000</v>
      </c>
      <c r="M42" s="291" t="n">
        <v>24000</v>
      </c>
      <c r="N42" s="291" t="n">
        <v>174000</v>
      </c>
      <c r="O42" s="296" t="n">
        <v>150000</v>
      </c>
      <c r="P42" s="296" t="n">
        <v>150000</v>
      </c>
      <c r="Q42" s="296" t="n">
        <v>300000</v>
      </c>
      <c r="R42" s="296" t="n">
        <v>450000</v>
      </c>
      <c r="S42" s="296" t="n">
        <v>72000</v>
      </c>
      <c r="T42" s="296" t="n">
        <v>522000</v>
      </c>
      <c r="U42" s="78" t="inlineStr">
        <is>
          <t>OFTALMO</t>
        </is>
      </c>
      <c r="V42" s="82" t="inlineStr">
        <is>
          <t>MD</t>
        </is>
      </c>
      <c r="W42" s="83" t="inlineStr">
        <is>
          <t>ADJUDICADO</t>
        </is>
      </c>
      <c r="X42" s="29" t="inlineStr">
        <is>
          <t>PROYECTADO</t>
        </is>
      </c>
    </row>
    <row r="43" hidden="1" ht="28.2" customFormat="1" customHeight="1" s="29">
      <c r="A43" s="86" t="n">
        <v>48</v>
      </c>
      <c r="B43" s="68" t="inlineStr">
        <is>
          <t>CDMX</t>
        </is>
      </c>
      <c r="C43" s="72" t="inlineStr">
        <is>
          <t>Autorrefractómetro, marca SUOER, modelo Ocular Screening SW-800</t>
        </is>
      </c>
      <c r="D43" s="73" t="inlineStr">
        <is>
          <t>BB0043GY1C</t>
        </is>
      </c>
      <c r="E43" s="72" t="inlineStr">
        <is>
          <t>H.M.E.O. Constituyentes</t>
        </is>
      </c>
      <c r="F43" s="95" t="inlineStr">
        <is>
          <t>Servicio de mantenimiento integral para: Autorrefractómetro, marca SUOER, modelo Ocular Screening SW-800, serie BB0043GY1C;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3" s="79" t="n">
        <v>1</v>
      </c>
      <c r="H43" s="80" t="n">
        <v>2</v>
      </c>
      <c r="I43" s="291" t="n">
        <v>50000</v>
      </c>
      <c r="J43" s="291" t="n">
        <v>50000</v>
      </c>
      <c r="K43" s="291" t="n">
        <v>50000</v>
      </c>
      <c r="L43" s="291" t="n">
        <v>150000</v>
      </c>
      <c r="M43" s="291" t="n">
        <v>24000</v>
      </c>
      <c r="N43" s="291" t="n">
        <v>174000</v>
      </c>
      <c r="O43" s="296" t="n">
        <v>150000</v>
      </c>
      <c r="P43" s="296" t="n">
        <v>150000</v>
      </c>
      <c r="Q43" s="296" t="n">
        <v>300000</v>
      </c>
      <c r="R43" s="296" t="n">
        <v>450000</v>
      </c>
      <c r="S43" s="296" t="n">
        <v>72000</v>
      </c>
      <c r="T43" s="296" t="n">
        <v>522000</v>
      </c>
      <c r="U43" s="78" t="inlineStr">
        <is>
          <t>OFTALMO</t>
        </is>
      </c>
      <c r="V43" s="82" t="inlineStr">
        <is>
          <t>MD</t>
        </is>
      </c>
      <c r="W43" s="83" t="inlineStr">
        <is>
          <t>ADJUDICADO</t>
        </is>
      </c>
      <c r="X43" s="29" t="inlineStr">
        <is>
          <t>PROYECTADO</t>
        </is>
      </c>
    </row>
    <row r="44" hidden="1" ht="28.2" customFormat="1" customHeight="1" s="29">
      <c r="A44" s="86" t="n">
        <v>49</v>
      </c>
      <c r="B44" s="68" t="inlineStr">
        <is>
          <t>CDMX</t>
        </is>
      </c>
      <c r="C44" s="72" t="inlineStr">
        <is>
          <t>Autoqueratorrefractor, marca Nidek, modelo ARK-F</t>
        </is>
      </c>
      <c r="D44" s="73" t="inlineStr">
        <is>
          <t>270021</t>
        </is>
      </c>
      <c r="E44" s="72" t="inlineStr">
        <is>
          <t>H.M.E.O. Constituyentes</t>
        </is>
      </c>
      <c r="F44" s="95" t="inlineStr">
        <is>
          <t>Servicio de mantenimiento integral para: Autoqueratorrefractor, marca Nidek, modelo ARK-F, serie 270021;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4" s="79" t="n">
        <v>1</v>
      </c>
      <c r="H44" s="80" t="n">
        <v>2</v>
      </c>
      <c r="I44" s="291" t="n">
        <v>15000</v>
      </c>
      <c r="J44" s="291" t="n">
        <v>15000</v>
      </c>
      <c r="K44" s="291" t="n">
        <v>15000</v>
      </c>
      <c r="L44" s="291" t="n">
        <v>45000</v>
      </c>
      <c r="M44" s="291" t="n">
        <v>7200</v>
      </c>
      <c r="N44" s="291" t="n">
        <v>52200</v>
      </c>
      <c r="O44" s="296" t="n">
        <v>120000</v>
      </c>
      <c r="P44" s="296" t="n">
        <v>120000</v>
      </c>
      <c r="Q44" s="296" t="n">
        <v>240000</v>
      </c>
      <c r="R44" s="296" t="n">
        <v>360000</v>
      </c>
      <c r="S44" s="296" t="n">
        <v>57600</v>
      </c>
      <c r="T44" s="296" t="n">
        <v>417600</v>
      </c>
      <c r="U44" s="78" t="inlineStr">
        <is>
          <t>OFTALMO</t>
        </is>
      </c>
      <c r="V44" s="82" t="inlineStr">
        <is>
          <t>S4</t>
        </is>
      </c>
      <c r="W44" s="83" t="inlineStr">
        <is>
          <t>ADJUDICADO</t>
        </is>
      </c>
      <c r="X44" s="29" t="inlineStr">
        <is>
          <t>PROYECTADO</t>
        </is>
      </c>
    </row>
    <row r="45" hidden="1" ht="28.2" customFormat="1" customHeight="1" s="29">
      <c r="A45" s="86" t="n">
        <v>50</v>
      </c>
      <c r="B45" s="68" t="inlineStr">
        <is>
          <t>CDMX</t>
        </is>
      </c>
      <c r="C45" s="72" t="inlineStr">
        <is>
          <t>Autoqueratorrefractor, marca Nidek, modelo ARK-F</t>
        </is>
      </c>
      <c r="D45" s="68" t="inlineStr">
        <is>
          <t>270029</t>
        </is>
      </c>
      <c r="E45" s="69" t="inlineStr">
        <is>
          <t>H.M.E.O. Constituyentes</t>
        </is>
      </c>
      <c r="F45" s="95" t="inlineStr">
        <is>
          <t>Servicio de mantenimiento integral para: Autoqueratorrefractor, marca Nidek, modelo ARK-F, serie 270029;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5" s="79" t="n">
        <v>1</v>
      </c>
      <c r="H45" s="80" t="n">
        <v>2</v>
      </c>
      <c r="I45" s="291" t="n">
        <v>15000</v>
      </c>
      <c r="J45" s="291" t="n">
        <v>15000</v>
      </c>
      <c r="K45" s="291" t="n">
        <v>15000</v>
      </c>
      <c r="L45" s="291" t="n">
        <v>45000</v>
      </c>
      <c r="M45" s="291" t="n">
        <v>7200</v>
      </c>
      <c r="N45" s="291" t="n">
        <v>52200</v>
      </c>
      <c r="O45" s="296" t="n">
        <v>120000</v>
      </c>
      <c r="P45" s="296" t="n">
        <v>120000</v>
      </c>
      <c r="Q45" s="296" t="n">
        <v>240000</v>
      </c>
      <c r="R45" s="296" t="n">
        <v>360000</v>
      </c>
      <c r="S45" s="296" t="n">
        <v>57600</v>
      </c>
      <c r="T45" s="296" t="n">
        <v>417600</v>
      </c>
      <c r="U45" s="78" t="inlineStr">
        <is>
          <t>OFTALMO</t>
        </is>
      </c>
      <c r="V45" s="82" t="inlineStr">
        <is>
          <t>S4</t>
        </is>
      </c>
      <c r="W45" s="83" t="inlineStr">
        <is>
          <t>ADJUDICADO</t>
        </is>
      </c>
      <c r="X45" s="29" t="inlineStr">
        <is>
          <t>PROYECTADO</t>
        </is>
      </c>
    </row>
    <row r="46" hidden="1" ht="28.2" customFormat="1" customHeight="1" s="29">
      <c r="A46" s="86" t="n">
        <v>51</v>
      </c>
      <c r="B46" s="68" t="inlineStr">
        <is>
          <t>CDMX</t>
        </is>
      </c>
      <c r="C46" s="72" t="inlineStr">
        <is>
          <t>Autoqueratorrefractor, marca Nidek, modelo ARK-F</t>
        </is>
      </c>
      <c r="D46" s="73" t="inlineStr">
        <is>
          <t>270031</t>
        </is>
      </c>
      <c r="E46" s="72" t="inlineStr">
        <is>
          <t>H.M.E.O. Constituyentes</t>
        </is>
      </c>
      <c r="F46" s="95" t="inlineStr">
        <is>
          <t>Servicio de mantenimiento integral para: Autoqueratorrefractor, marca Nidek, modelo ARK-F, serie 270031;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6" s="79" t="n">
        <v>1</v>
      </c>
      <c r="H46" s="80" t="n">
        <v>2</v>
      </c>
      <c r="I46" s="291" t="n">
        <v>15000</v>
      </c>
      <c r="J46" s="291" t="n">
        <v>15000</v>
      </c>
      <c r="K46" s="291" t="n">
        <v>15000</v>
      </c>
      <c r="L46" s="291" t="n">
        <v>45000</v>
      </c>
      <c r="M46" s="291" t="n">
        <v>7200</v>
      </c>
      <c r="N46" s="291" t="n">
        <v>52200</v>
      </c>
      <c r="O46" s="296" t="n">
        <v>120000</v>
      </c>
      <c r="P46" s="296" t="n">
        <v>120000</v>
      </c>
      <c r="Q46" s="296" t="n">
        <v>240000</v>
      </c>
      <c r="R46" s="296" t="n">
        <v>360000</v>
      </c>
      <c r="S46" s="296" t="n">
        <v>57600</v>
      </c>
      <c r="T46" s="296" t="n">
        <v>417600</v>
      </c>
      <c r="U46" s="78" t="inlineStr">
        <is>
          <t>OFTALMO</t>
        </is>
      </c>
      <c r="V46" s="82" t="inlineStr">
        <is>
          <t>S4</t>
        </is>
      </c>
      <c r="W46" s="83" t="inlineStr">
        <is>
          <t>ADJUDICADO</t>
        </is>
      </c>
      <c r="X46" s="29" t="inlineStr">
        <is>
          <t>PROYECTADO</t>
        </is>
      </c>
    </row>
    <row r="47" hidden="1" ht="28.2" customFormat="1" customHeight="1" s="29">
      <c r="A47" s="86" t="n">
        <v>52</v>
      </c>
      <c r="B47" s="68" t="inlineStr">
        <is>
          <t>CDMX</t>
        </is>
      </c>
      <c r="C47" s="72" t="inlineStr">
        <is>
          <t>Autoqueratorrefractor, marca Nidek, modelo ARK-F</t>
        </is>
      </c>
      <c r="D47" s="73" t="inlineStr">
        <is>
          <t>270032</t>
        </is>
      </c>
      <c r="E47" s="72" t="inlineStr">
        <is>
          <t>H.M.E.O. Constituyentes</t>
        </is>
      </c>
      <c r="F47" s="95" t="inlineStr">
        <is>
          <t>Servicio de mantenimiento integral para: Autoqueratorrefractor, marca Nidek, modelo ARK-F, serie 270032;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7" s="79" t="n">
        <v>1</v>
      </c>
      <c r="H47" s="80" t="n">
        <v>2</v>
      </c>
      <c r="I47" s="291" t="n">
        <v>15000</v>
      </c>
      <c r="J47" s="291" t="n">
        <v>15000</v>
      </c>
      <c r="K47" s="291" t="n">
        <v>15000</v>
      </c>
      <c r="L47" s="291" t="n">
        <v>45000</v>
      </c>
      <c r="M47" s="291" t="n">
        <v>7200</v>
      </c>
      <c r="N47" s="291" t="n">
        <v>52200</v>
      </c>
      <c r="O47" s="296" t="n">
        <v>120000</v>
      </c>
      <c r="P47" s="296" t="n">
        <v>120000</v>
      </c>
      <c r="Q47" s="296" t="n">
        <v>240000</v>
      </c>
      <c r="R47" s="296" t="n">
        <v>360000</v>
      </c>
      <c r="S47" s="296" t="n">
        <v>57600</v>
      </c>
      <c r="T47" s="296" t="n">
        <v>417600</v>
      </c>
      <c r="U47" s="78" t="inlineStr">
        <is>
          <t>OFTALMO</t>
        </is>
      </c>
      <c r="V47" s="82" t="inlineStr">
        <is>
          <t>S4</t>
        </is>
      </c>
      <c r="W47" s="83" t="inlineStr">
        <is>
          <t>ADJUDICADO</t>
        </is>
      </c>
      <c r="X47" s="29" t="inlineStr">
        <is>
          <t>PROYECTADO</t>
        </is>
      </c>
    </row>
    <row r="48" hidden="1" ht="28.2" customFormat="1" customHeight="1" s="29">
      <c r="A48" s="86" t="n">
        <v>53</v>
      </c>
      <c r="B48" s="68" t="inlineStr">
        <is>
          <t>CDMX</t>
        </is>
      </c>
      <c r="C48" s="72" t="inlineStr">
        <is>
          <t>Autoqueratorrefractor, marca Nidek, modelo ARK-F</t>
        </is>
      </c>
      <c r="D48" s="68" t="inlineStr">
        <is>
          <t>270023</t>
        </is>
      </c>
      <c r="E48" s="69" t="inlineStr">
        <is>
          <t>H.M.E.O. Constituyentes</t>
        </is>
      </c>
      <c r="F48" s="95" t="inlineStr">
        <is>
          <t>Servicio de mantenimiento integral para: Autoqueratorrefractor, marca Nidek, modelo ARK-F, serie 270023;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8" s="79" t="n">
        <v>1</v>
      </c>
      <c r="H48" s="80" t="n">
        <v>2</v>
      </c>
      <c r="I48" s="291" t="n">
        <v>15000</v>
      </c>
      <c r="J48" s="291" t="n">
        <v>15000</v>
      </c>
      <c r="K48" s="291" t="n">
        <v>15000</v>
      </c>
      <c r="L48" s="291" t="n">
        <v>45000</v>
      </c>
      <c r="M48" s="291" t="n">
        <v>7200</v>
      </c>
      <c r="N48" s="291" t="n">
        <v>52200</v>
      </c>
      <c r="O48" s="296" t="n">
        <v>120000</v>
      </c>
      <c r="P48" s="296" t="n">
        <v>120000</v>
      </c>
      <c r="Q48" s="296" t="n">
        <v>240000</v>
      </c>
      <c r="R48" s="296" t="n">
        <v>360000</v>
      </c>
      <c r="S48" s="296" t="n">
        <v>57600</v>
      </c>
      <c r="T48" s="296" t="n">
        <v>417600</v>
      </c>
      <c r="U48" s="78" t="inlineStr">
        <is>
          <t>OFTALMO</t>
        </is>
      </c>
      <c r="V48" s="82" t="inlineStr">
        <is>
          <t>S4</t>
        </is>
      </c>
      <c r="W48" s="83" t="inlineStr">
        <is>
          <t>ADJUDICADO</t>
        </is>
      </c>
      <c r="X48" s="29" t="inlineStr">
        <is>
          <t>PROYECTADO</t>
        </is>
      </c>
    </row>
    <row r="49" hidden="1" ht="28.2" customFormat="1" customHeight="1" s="29">
      <c r="A49" s="86" t="n">
        <v>54</v>
      </c>
      <c r="B49" s="68" t="inlineStr">
        <is>
          <t>CDMX</t>
        </is>
      </c>
      <c r="C49" s="72" t="inlineStr">
        <is>
          <t>Autoqueratorrefractor, marca Nidek, modelo ARK-F</t>
        </is>
      </c>
      <c r="D49" s="68" t="inlineStr">
        <is>
          <t>270034</t>
        </is>
      </c>
      <c r="E49" s="69" t="inlineStr">
        <is>
          <t>H.M.E.O. Constituyentes</t>
        </is>
      </c>
      <c r="F49" s="95" t="inlineStr">
        <is>
          <t>Servicio de mantenimiento integral para: Autoqueratorrefractor, marca Nidek, modelo ARK-F, serie 270034;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9" s="79" t="n">
        <v>1</v>
      </c>
      <c r="H49" s="80" t="n">
        <v>2</v>
      </c>
      <c r="I49" s="291" t="n">
        <v>15000</v>
      </c>
      <c r="J49" s="291" t="n">
        <v>15000</v>
      </c>
      <c r="K49" s="291" t="n">
        <v>15000</v>
      </c>
      <c r="L49" s="291" t="n">
        <v>45000</v>
      </c>
      <c r="M49" s="291" t="n">
        <v>7200</v>
      </c>
      <c r="N49" s="291" t="n">
        <v>52200</v>
      </c>
      <c r="O49" s="296" t="n">
        <v>120000</v>
      </c>
      <c r="P49" s="296" t="n">
        <v>120000</v>
      </c>
      <c r="Q49" s="296" t="n">
        <v>240000</v>
      </c>
      <c r="R49" s="296" t="n">
        <v>360000</v>
      </c>
      <c r="S49" s="296" t="n">
        <v>57600</v>
      </c>
      <c r="T49" s="296" t="n">
        <v>417600</v>
      </c>
      <c r="U49" s="78" t="inlineStr">
        <is>
          <t>OFTALMO</t>
        </is>
      </c>
      <c r="V49" s="82" t="inlineStr">
        <is>
          <t>S4</t>
        </is>
      </c>
      <c r="W49" s="83" t="inlineStr">
        <is>
          <t>ADJUDICADO</t>
        </is>
      </c>
      <c r="X49" s="29" t="inlineStr">
        <is>
          <t>PROYECTADO</t>
        </is>
      </c>
    </row>
    <row r="50" hidden="1" ht="28.2" customFormat="1" customHeight="1" s="29">
      <c r="A50" s="86" t="n">
        <v>55</v>
      </c>
      <c r="B50" s="68" t="inlineStr">
        <is>
          <t>CDMX</t>
        </is>
      </c>
      <c r="C50" s="72" t="inlineStr">
        <is>
          <t>Autoqueratorrefractor, marca Nidek, modelo ARK-F</t>
        </is>
      </c>
      <c r="D50" s="73" t="inlineStr">
        <is>
          <t>270035</t>
        </is>
      </c>
      <c r="E50" s="72" t="inlineStr">
        <is>
          <t>H.M.E.O. Constituyentes</t>
        </is>
      </c>
      <c r="F50" s="95" t="inlineStr">
        <is>
          <t>Servicio de mantenimiento integral para: Autoqueratorrefractor, marca Nidek, modelo ARK-F, serie 270035;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0" s="79" t="n">
        <v>1</v>
      </c>
      <c r="H50" s="80" t="n">
        <v>2</v>
      </c>
      <c r="I50" s="291" t="n">
        <v>15000</v>
      </c>
      <c r="J50" s="291" t="n">
        <v>15000</v>
      </c>
      <c r="K50" s="291" t="n">
        <v>15000</v>
      </c>
      <c r="L50" s="291" t="n">
        <v>45000</v>
      </c>
      <c r="M50" s="291" t="n">
        <v>7200</v>
      </c>
      <c r="N50" s="291" t="n">
        <v>52200</v>
      </c>
      <c r="O50" s="296" t="n">
        <v>120000</v>
      </c>
      <c r="P50" s="296" t="n">
        <v>120000</v>
      </c>
      <c r="Q50" s="296" t="n">
        <v>240000</v>
      </c>
      <c r="R50" s="296" t="n">
        <v>360000</v>
      </c>
      <c r="S50" s="296" t="n">
        <v>57600</v>
      </c>
      <c r="T50" s="296" t="n">
        <v>417600</v>
      </c>
      <c r="U50" s="78" t="inlineStr">
        <is>
          <t>OFTALMO</t>
        </is>
      </c>
      <c r="V50" s="82" t="inlineStr">
        <is>
          <t>S4</t>
        </is>
      </c>
      <c r="W50" s="83" t="inlineStr">
        <is>
          <t>ADJUDICADO</t>
        </is>
      </c>
      <c r="X50" s="29" t="inlineStr">
        <is>
          <t>PROYECTADO</t>
        </is>
      </c>
    </row>
    <row r="51" hidden="1" ht="28.2" customFormat="1" customHeight="1" s="29">
      <c r="A51" s="86" t="n">
        <v>56</v>
      </c>
      <c r="B51" s="68" t="inlineStr">
        <is>
          <t>CDMX</t>
        </is>
      </c>
      <c r="C51" s="72" t="inlineStr">
        <is>
          <t>Autoqueratorrefractor, marca Nidek, modelo ARK-F</t>
        </is>
      </c>
      <c r="D51" s="68" t="inlineStr">
        <is>
          <t>270036</t>
        </is>
      </c>
      <c r="E51" s="69" t="inlineStr">
        <is>
          <t>H.M.E.O. Constituyentes</t>
        </is>
      </c>
      <c r="F51" s="95" t="inlineStr">
        <is>
          <t>Servicio de mantenimiento integral para: Autoqueratorrefractor, marca Nidek, modelo ARK-F, serie 270036;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1" s="79" t="n">
        <v>1</v>
      </c>
      <c r="H51" s="80" t="n">
        <v>2</v>
      </c>
      <c r="I51" s="291" t="n">
        <v>15000</v>
      </c>
      <c r="J51" s="291" t="n">
        <v>15000</v>
      </c>
      <c r="K51" s="291" t="n">
        <v>15000</v>
      </c>
      <c r="L51" s="291" t="n">
        <v>45000</v>
      </c>
      <c r="M51" s="291" t="n">
        <v>7200</v>
      </c>
      <c r="N51" s="291" t="n">
        <v>52200</v>
      </c>
      <c r="O51" s="296" t="n">
        <v>120000</v>
      </c>
      <c r="P51" s="296" t="n">
        <v>120000</v>
      </c>
      <c r="Q51" s="296" t="n">
        <v>240000</v>
      </c>
      <c r="R51" s="296" t="n">
        <v>360000</v>
      </c>
      <c r="S51" s="296" t="n">
        <v>57600</v>
      </c>
      <c r="T51" s="296" t="n">
        <v>417600</v>
      </c>
      <c r="U51" s="78" t="inlineStr">
        <is>
          <t>OFTALMO</t>
        </is>
      </c>
      <c r="V51" s="82" t="inlineStr">
        <is>
          <t>S4</t>
        </is>
      </c>
      <c r="W51" s="83" t="inlineStr">
        <is>
          <t>ADJUDICADO</t>
        </is>
      </c>
      <c r="X51" s="29" t="inlineStr">
        <is>
          <t>PROYECTADO</t>
        </is>
      </c>
    </row>
    <row r="52" hidden="1" ht="28.2" customFormat="1" customHeight="1" s="29">
      <c r="A52" s="86" t="n">
        <v>57</v>
      </c>
      <c r="B52" s="68" t="inlineStr">
        <is>
          <t>CDMX</t>
        </is>
      </c>
      <c r="C52" s="72" t="inlineStr">
        <is>
          <t>Autoqueratorrefractor, marca Nidek, modelo ARK-F</t>
        </is>
      </c>
      <c r="D52" s="73" t="inlineStr">
        <is>
          <t>270037</t>
        </is>
      </c>
      <c r="E52" s="72" t="inlineStr">
        <is>
          <t>H.M.E.O. Constituyentes</t>
        </is>
      </c>
      <c r="F52" s="95" t="inlineStr">
        <is>
          <t>Servicio de mantenimiento integral para: Autoqueratorrefractor, marca Nidek, modelo ARK-F, serie 270037;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2" s="79" t="n">
        <v>1</v>
      </c>
      <c r="H52" s="80" t="n">
        <v>2</v>
      </c>
      <c r="I52" s="291" t="n">
        <v>15000</v>
      </c>
      <c r="J52" s="291" t="n">
        <v>15000</v>
      </c>
      <c r="K52" s="291" t="n">
        <v>15000</v>
      </c>
      <c r="L52" s="291" t="n">
        <v>45000</v>
      </c>
      <c r="M52" s="291" t="n">
        <v>7200</v>
      </c>
      <c r="N52" s="291" t="n">
        <v>52200</v>
      </c>
      <c r="O52" s="296" t="n">
        <v>120000</v>
      </c>
      <c r="P52" s="296" t="n">
        <v>120000</v>
      </c>
      <c r="Q52" s="296" t="n">
        <v>240000</v>
      </c>
      <c r="R52" s="296" t="n">
        <v>360000</v>
      </c>
      <c r="S52" s="296" t="n">
        <v>57600</v>
      </c>
      <c r="T52" s="296" t="n">
        <v>417600</v>
      </c>
      <c r="U52" s="78" t="inlineStr">
        <is>
          <t>OFTALMO</t>
        </is>
      </c>
      <c r="V52" s="82" t="inlineStr">
        <is>
          <t>S4</t>
        </is>
      </c>
      <c r="W52" s="83" t="inlineStr">
        <is>
          <t>ADJUDICADO</t>
        </is>
      </c>
      <c r="X52" s="29" t="inlineStr">
        <is>
          <t>PROYECTADO</t>
        </is>
      </c>
    </row>
    <row r="53" hidden="1" ht="28.2" customFormat="1" customHeight="1" s="30">
      <c r="A53" s="86" t="n">
        <v>58</v>
      </c>
      <c r="B53" s="68" t="inlineStr">
        <is>
          <t>CDMX</t>
        </is>
      </c>
      <c r="C53" s="72" t="inlineStr">
        <is>
          <t>Autoqueratorrefractor, marca Nidek, modelo ARK-F</t>
        </is>
      </c>
      <c r="D53" s="68" t="inlineStr">
        <is>
          <t>270038</t>
        </is>
      </c>
      <c r="E53" s="69" t="inlineStr">
        <is>
          <t>H.M.E.O. Constituyentes</t>
        </is>
      </c>
      <c r="F53" s="95" t="inlineStr">
        <is>
          <t>Servicio de mantenimiento integral para: Autoqueratorrefractor, marca Nidek, modelo ARK-F, serie 270038;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3" s="79" t="n">
        <v>1</v>
      </c>
      <c r="H53" s="80" t="n">
        <v>2</v>
      </c>
      <c r="I53" s="291" t="n">
        <v>15000</v>
      </c>
      <c r="J53" s="291" t="n">
        <v>15000</v>
      </c>
      <c r="K53" s="291" t="n">
        <v>15000</v>
      </c>
      <c r="L53" s="291" t="n">
        <v>45000</v>
      </c>
      <c r="M53" s="291" t="n">
        <v>7200</v>
      </c>
      <c r="N53" s="291" t="n">
        <v>52200</v>
      </c>
      <c r="O53" s="296" t="n">
        <v>120000</v>
      </c>
      <c r="P53" s="296" t="n">
        <v>120000</v>
      </c>
      <c r="Q53" s="296" t="n">
        <v>240000</v>
      </c>
      <c r="R53" s="296" t="n">
        <v>360000</v>
      </c>
      <c r="S53" s="296" t="n">
        <v>57600</v>
      </c>
      <c r="T53" s="296" t="n">
        <v>417600</v>
      </c>
      <c r="U53" s="78" t="inlineStr">
        <is>
          <t>OFTALMO</t>
        </is>
      </c>
      <c r="V53" s="84" t="inlineStr">
        <is>
          <t>S4</t>
        </is>
      </c>
      <c r="W53" s="83" t="inlineStr">
        <is>
          <t>ADJUDICADO</t>
        </is>
      </c>
      <c r="X53" s="1" t="inlineStr">
        <is>
          <t>PROYECTADO</t>
        </is>
      </c>
    </row>
    <row r="54" hidden="1" ht="28.2" customHeight="1" s="227">
      <c r="A54" s="86" t="n">
        <v>59</v>
      </c>
      <c r="B54" s="74" t="inlineStr">
        <is>
          <t>CDMX</t>
        </is>
      </c>
      <c r="C54" s="75" t="inlineStr">
        <is>
          <t>Autoqueratorrefractor, marca Nidek, modelo ARK-F</t>
        </is>
      </c>
      <c r="D54" s="74" t="inlineStr">
        <is>
          <t>270033</t>
        </is>
      </c>
      <c r="E54" s="75" t="inlineStr">
        <is>
          <t>H.M.E.O. Constituyentes</t>
        </is>
      </c>
      <c r="F54" s="95" t="inlineStr">
        <is>
          <t>Servicio de mantenimiento integral para: Autoqueratorrefractor, marca Nidek, modelo ARK-F, serie 270033;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4" s="79" t="n">
        <v>1</v>
      </c>
      <c r="H54" s="80" t="n">
        <v>2</v>
      </c>
      <c r="I54" s="291" t="n">
        <v>15000</v>
      </c>
      <c r="J54" s="291" t="n">
        <v>15000</v>
      </c>
      <c r="K54" s="291" t="n">
        <v>15000</v>
      </c>
      <c r="L54" s="291" t="n">
        <v>45000</v>
      </c>
      <c r="M54" s="291" t="n">
        <v>7200</v>
      </c>
      <c r="N54" s="291" t="n">
        <v>52200</v>
      </c>
      <c r="O54" s="296" t="n">
        <v>120000</v>
      </c>
      <c r="P54" s="296" t="n">
        <v>120000</v>
      </c>
      <c r="Q54" s="296" t="n">
        <v>240000</v>
      </c>
      <c r="R54" s="296" t="n">
        <v>360000</v>
      </c>
      <c r="S54" s="296" t="n">
        <v>57600</v>
      </c>
      <c r="T54" s="296" t="n">
        <v>417600</v>
      </c>
      <c r="U54" s="78" t="inlineStr">
        <is>
          <t>OFTALMO</t>
        </is>
      </c>
      <c r="V54" s="81" t="inlineStr">
        <is>
          <t>S4</t>
        </is>
      </c>
      <c r="W54" s="83" t="inlineStr">
        <is>
          <t>ADJUDICADO</t>
        </is>
      </c>
      <c r="X54" s="5" t="inlineStr">
        <is>
          <t>PROYECTADO</t>
        </is>
      </c>
    </row>
    <row r="55" hidden="1" ht="28.2" customHeight="1" s="227">
      <c r="A55" s="86" t="n">
        <v>60</v>
      </c>
      <c r="B55" s="68" t="inlineStr">
        <is>
          <t>CDMX</t>
        </is>
      </c>
      <c r="C55" s="69" t="inlineStr">
        <is>
          <t>Autoqueratorrefractor, marca Nidek, modelo ARK-F</t>
        </is>
      </c>
      <c r="D55" s="68" t="inlineStr">
        <is>
          <t>270025</t>
        </is>
      </c>
      <c r="E55" s="69" t="inlineStr">
        <is>
          <t>H.M.E.O. Constituyentes</t>
        </is>
      </c>
      <c r="F55" s="95" t="inlineStr">
        <is>
          <t>Servicio de mantenimiento integral para: Autoqueratorrefractor, marca Nidek, modelo ARK-F, serie 270025;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5" s="79" t="n">
        <v>1</v>
      </c>
      <c r="H55" s="80" t="n">
        <v>2</v>
      </c>
      <c r="I55" s="291" t="n">
        <v>15000</v>
      </c>
      <c r="J55" s="291" t="n">
        <v>15000</v>
      </c>
      <c r="K55" s="291" t="n">
        <v>15000</v>
      </c>
      <c r="L55" s="291" t="n">
        <v>45000</v>
      </c>
      <c r="M55" s="291" t="n">
        <v>7200</v>
      </c>
      <c r="N55" s="291" t="n">
        <v>52200</v>
      </c>
      <c r="O55" s="296" t="n">
        <v>120000</v>
      </c>
      <c r="P55" s="296" t="n">
        <v>120000</v>
      </c>
      <c r="Q55" s="296" t="n">
        <v>240000</v>
      </c>
      <c r="R55" s="296" t="n">
        <v>360000</v>
      </c>
      <c r="S55" s="296" t="n">
        <v>57600</v>
      </c>
      <c r="T55" s="296" t="n">
        <v>417600</v>
      </c>
      <c r="U55" s="78" t="inlineStr">
        <is>
          <t>OFTALMO</t>
        </is>
      </c>
      <c r="V55" s="81" t="inlineStr">
        <is>
          <t>S4</t>
        </is>
      </c>
      <c r="W55" s="83" t="inlineStr">
        <is>
          <t>ADJUDICADO</t>
        </is>
      </c>
      <c r="X55" s="5" t="inlineStr">
        <is>
          <t>PROYECTADO</t>
        </is>
      </c>
    </row>
    <row r="56" hidden="1" ht="28.2" customHeight="1" s="227">
      <c r="A56" s="86" t="n">
        <v>61</v>
      </c>
      <c r="B56" s="68" t="inlineStr">
        <is>
          <t>CDMX</t>
        </is>
      </c>
      <c r="C56" s="69" t="inlineStr">
        <is>
          <t>Sistema de diagnóstico oftálmico avanzado, marca Nidek, modelo TONOREF III</t>
        </is>
      </c>
      <c r="D56" s="68" t="inlineStr">
        <is>
          <t>170692</t>
        </is>
      </c>
      <c r="E56" s="69" t="inlineStr">
        <is>
          <t>H.M.E.O. Constituyentes</t>
        </is>
      </c>
      <c r="F56" s="95" t="inlineStr">
        <is>
          <t>Servicio de mantenimiento integral para: Sistema de diagnóstico oftálmico avanzado, marca Nidek, modelo TONOREF III, serie 170692;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6" s="79" t="n">
        <v>1</v>
      </c>
      <c r="H56" s="80" t="n">
        <v>2</v>
      </c>
      <c r="I56" s="291" t="n">
        <v>20000</v>
      </c>
      <c r="J56" s="291" t="n">
        <v>20000</v>
      </c>
      <c r="K56" s="291" t="n">
        <v>20000</v>
      </c>
      <c r="L56" s="291" t="n">
        <v>60000</v>
      </c>
      <c r="M56" s="291" t="n">
        <v>9600</v>
      </c>
      <c r="N56" s="291" t="n">
        <v>69600</v>
      </c>
      <c r="O56" s="296" t="n">
        <v>150000</v>
      </c>
      <c r="P56" s="296" t="n">
        <v>150000</v>
      </c>
      <c r="Q56" s="296" t="n">
        <v>300000</v>
      </c>
      <c r="R56" s="296" t="n">
        <v>450000</v>
      </c>
      <c r="S56" s="296" t="n">
        <v>72000</v>
      </c>
      <c r="T56" s="296" t="n">
        <v>522000</v>
      </c>
      <c r="U56" s="78" t="inlineStr">
        <is>
          <t>OFTALMO</t>
        </is>
      </c>
      <c r="V56" s="81" t="inlineStr">
        <is>
          <t>S4</t>
        </is>
      </c>
      <c r="W56" s="83" t="inlineStr">
        <is>
          <t>ADJUDICADO</t>
        </is>
      </c>
      <c r="X56" s="5" t="inlineStr">
        <is>
          <t>PROYECTADO</t>
        </is>
      </c>
    </row>
    <row r="57" hidden="1" ht="28.2" customHeight="1" s="227">
      <c r="A57" s="86" t="n">
        <v>62</v>
      </c>
      <c r="B57" s="68" t="inlineStr">
        <is>
          <t>CDMX</t>
        </is>
      </c>
      <c r="C57" s="69" t="inlineStr">
        <is>
          <t>Sistema de diagnóstico oftálmico avanzado, marca Nidek, modelo TONOREF III</t>
        </is>
      </c>
      <c r="D57" s="68" t="inlineStr">
        <is>
          <t>170696</t>
        </is>
      </c>
      <c r="E57" s="69" t="inlineStr">
        <is>
          <t>H.M.E.O. Constituyentes</t>
        </is>
      </c>
      <c r="F57" s="95" t="inlineStr">
        <is>
          <t>Servicio de mantenimiento integral para: Sistema de diagnóstico oftálmico avanzado, marca Nidek, modelo TONOREF III, serie 170696;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7" s="79" t="n">
        <v>1</v>
      </c>
      <c r="H57" s="80" t="n">
        <v>2</v>
      </c>
      <c r="I57" s="291" t="n">
        <v>20000</v>
      </c>
      <c r="J57" s="291" t="n">
        <v>20000</v>
      </c>
      <c r="K57" s="291" t="n">
        <v>20000</v>
      </c>
      <c r="L57" s="291" t="n">
        <v>60000</v>
      </c>
      <c r="M57" s="291" t="n">
        <v>9600</v>
      </c>
      <c r="N57" s="291" t="n">
        <v>69600</v>
      </c>
      <c r="O57" s="296" t="n">
        <v>150000</v>
      </c>
      <c r="P57" s="296" t="n">
        <v>150000</v>
      </c>
      <c r="Q57" s="296" t="n">
        <v>300000</v>
      </c>
      <c r="R57" s="296" t="n">
        <v>450000</v>
      </c>
      <c r="S57" s="296" t="n">
        <v>72000</v>
      </c>
      <c r="T57" s="296" t="n">
        <v>522000</v>
      </c>
      <c r="U57" s="78" t="inlineStr">
        <is>
          <t>OFTALMO</t>
        </is>
      </c>
      <c r="V57" s="81" t="inlineStr">
        <is>
          <t>S4</t>
        </is>
      </c>
      <c r="W57" s="83" t="inlineStr">
        <is>
          <t>ADJUDICADO</t>
        </is>
      </c>
      <c r="X57" s="5" t="inlineStr">
        <is>
          <t>PROYECTADO</t>
        </is>
      </c>
    </row>
    <row r="58" hidden="1" ht="28.2" customHeight="1" s="227">
      <c r="A58" s="86" t="n">
        <v>63</v>
      </c>
      <c r="B58" s="68" t="inlineStr">
        <is>
          <t>CDMX</t>
        </is>
      </c>
      <c r="C58" s="69" t="inlineStr">
        <is>
          <t>Sistema de diagnóstico oftálmico avanzado, marca Nidek, modelo TONOREF III</t>
        </is>
      </c>
      <c r="D58" s="68" t="inlineStr">
        <is>
          <t>170711</t>
        </is>
      </c>
      <c r="E58" s="69" t="inlineStr">
        <is>
          <t>H.M.E.O. Constituyentes</t>
        </is>
      </c>
      <c r="F58" s="95" t="inlineStr">
        <is>
          <t>Servicio de mantenimiento integral para: Sistema de diagnóstico oftálmico avanzado, marca Nidek, modelo TONOREF III, serie 170711;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8" s="79" t="n">
        <v>1</v>
      </c>
      <c r="H58" s="80" t="n">
        <v>2</v>
      </c>
      <c r="I58" s="291" t="n">
        <v>20000</v>
      </c>
      <c r="J58" s="291" t="n">
        <v>20000</v>
      </c>
      <c r="K58" s="291" t="n">
        <v>20000</v>
      </c>
      <c r="L58" s="291" t="n">
        <v>60000</v>
      </c>
      <c r="M58" s="291" t="n">
        <v>9600</v>
      </c>
      <c r="N58" s="291" t="n">
        <v>69600</v>
      </c>
      <c r="O58" s="296" t="n">
        <v>150000</v>
      </c>
      <c r="P58" s="296" t="n">
        <v>150000</v>
      </c>
      <c r="Q58" s="296" t="n">
        <v>300000</v>
      </c>
      <c r="R58" s="296" t="n">
        <v>450000</v>
      </c>
      <c r="S58" s="296" t="n">
        <v>72000</v>
      </c>
      <c r="T58" s="296" t="n">
        <v>522000</v>
      </c>
      <c r="U58" s="78" t="inlineStr">
        <is>
          <t>OFTALMO</t>
        </is>
      </c>
      <c r="V58" s="81" t="inlineStr">
        <is>
          <t>S4</t>
        </is>
      </c>
      <c r="W58" s="83" t="inlineStr">
        <is>
          <t>ADJUDICADO</t>
        </is>
      </c>
      <c r="X58" s="5" t="inlineStr">
        <is>
          <t>PROYECTADO</t>
        </is>
      </c>
    </row>
    <row r="59" hidden="1" ht="28.2" customHeight="1" s="227">
      <c r="A59" s="86" t="n">
        <v>64</v>
      </c>
      <c r="B59" s="68" t="inlineStr">
        <is>
          <t>CDMX</t>
        </is>
      </c>
      <c r="C59" s="69" t="inlineStr">
        <is>
          <t>Sistema de diagnóstico oftálmico avanzado, marca Nidek, modelo TONOREF III</t>
        </is>
      </c>
      <c r="D59" s="68" t="inlineStr">
        <is>
          <t>170712</t>
        </is>
      </c>
      <c r="E59" s="69" t="inlineStr">
        <is>
          <t>H.M.E.O. Constituyentes</t>
        </is>
      </c>
      <c r="F59" s="95" t="inlineStr">
        <is>
          <t>Servicio de mantenimiento integral para: Sistema de diagnóstico oftálmico avanzado, marca Nidek, modelo TONOREF III, serie 170712;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9" s="79" t="n">
        <v>1</v>
      </c>
      <c r="H59" s="80" t="n">
        <v>2</v>
      </c>
      <c r="I59" s="291" t="n">
        <v>20000</v>
      </c>
      <c r="J59" s="291" t="n">
        <v>20000</v>
      </c>
      <c r="K59" s="291" t="n">
        <v>20000</v>
      </c>
      <c r="L59" s="291" t="n">
        <v>60000</v>
      </c>
      <c r="M59" s="291" t="n">
        <v>9600</v>
      </c>
      <c r="N59" s="291" t="n">
        <v>69600</v>
      </c>
      <c r="O59" s="296" t="n">
        <v>150000</v>
      </c>
      <c r="P59" s="296" t="n">
        <v>150000</v>
      </c>
      <c r="Q59" s="296" t="n">
        <v>300000</v>
      </c>
      <c r="R59" s="296" t="n">
        <v>450000</v>
      </c>
      <c r="S59" s="296" t="n">
        <v>72000</v>
      </c>
      <c r="T59" s="296" t="n">
        <v>522000</v>
      </c>
      <c r="U59" s="78" t="inlineStr">
        <is>
          <t>OFTALMO</t>
        </is>
      </c>
      <c r="V59" s="81" t="inlineStr">
        <is>
          <t>S4</t>
        </is>
      </c>
      <c r="W59" s="83" t="inlineStr">
        <is>
          <t>ADJUDICADO</t>
        </is>
      </c>
      <c r="X59" s="5" t="inlineStr">
        <is>
          <t>PROYECTADO</t>
        </is>
      </c>
    </row>
    <row r="60" hidden="1" ht="28.2" customHeight="1" s="227">
      <c r="A60" s="86" t="n">
        <v>65</v>
      </c>
      <c r="B60" s="68" t="inlineStr">
        <is>
          <t>CDMX</t>
        </is>
      </c>
      <c r="C60" s="69" t="inlineStr">
        <is>
          <t>Sistema de diagnóstico oftálmico avanzado, marca Nidek, modelo TONOREF III</t>
        </is>
      </c>
      <c r="D60" s="68" t="inlineStr">
        <is>
          <t>170715</t>
        </is>
      </c>
      <c r="E60" s="69" t="inlineStr">
        <is>
          <t>H.M.E.O. Constituyentes</t>
        </is>
      </c>
      <c r="F60" s="95" t="inlineStr">
        <is>
          <t>Servicio de mantenimiento integral para: Sistema de diagnóstico oftálmico avanzado, marca Nidek, modelo TONOREF III, serie 170715;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0" s="79" t="n">
        <v>1</v>
      </c>
      <c r="H60" s="80" t="n">
        <v>2</v>
      </c>
      <c r="I60" s="291" t="n">
        <v>20000</v>
      </c>
      <c r="J60" s="291" t="n">
        <v>20000</v>
      </c>
      <c r="K60" s="291" t="n">
        <v>20000</v>
      </c>
      <c r="L60" s="291" t="n">
        <v>60000</v>
      </c>
      <c r="M60" s="291" t="n">
        <v>9600</v>
      </c>
      <c r="N60" s="291" t="n">
        <v>69600</v>
      </c>
      <c r="O60" s="296" t="n">
        <v>150000</v>
      </c>
      <c r="P60" s="296" t="n">
        <v>150000</v>
      </c>
      <c r="Q60" s="296" t="n">
        <v>300000</v>
      </c>
      <c r="R60" s="296" t="n">
        <v>450000</v>
      </c>
      <c r="S60" s="296" t="n">
        <v>72000</v>
      </c>
      <c r="T60" s="296" t="n">
        <v>522000</v>
      </c>
      <c r="U60" s="78" t="inlineStr">
        <is>
          <t>OFTALMO</t>
        </is>
      </c>
      <c r="V60" s="81" t="inlineStr">
        <is>
          <t>S4</t>
        </is>
      </c>
      <c r="W60" s="83" t="inlineStr">
        <is>
          <t>ADJUDICADO</t>
        </is>
      </c>
      <c r="X60" s="5" t="inlineStr">
        <is>
          <t>PROYECTADO</t>
        </is>
      </c>
    </row>
    <row r="61" hidden="1" ht="28.2" customHeight="1" s="227">
      <c r="A61" s="86" t="n">
        <v>68</v>
      </c>
      <c r="B61" s="68" t="inlineStr">
        <is>
          <t>CDMX</t>
        </is>
      </c>
      <c r="C61" s="69" t="inlineStr">
        <is>
          <t>Sistema de diagnóstico oftálmico avanzado, marca Nidek, modelo OPD-Scan III</t>
        </is>
      </c>
      <c r="D61" s="68" t="inlineStr">
        <is>
          <t>470112</t>
        </is>
      </c>
      <c r="E61" s="69" t="inlineStr">
        <is>
          <t>H.M.E.O. Constituyentes</t>
        </is>
      </c>
      <c r="F61" s="95" t="inlineStr">
        <is>
          <t>Servicio de mantenimiento integral para: Sistema de diagnóstico oftálmico avanzado, marca Nidek, modelo OPD-Scan III, serie 470112;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1" s="79" t="n">
        <v>1</v>
      </c>
      <c r="H61" s="79" t="n">
        <v>2</v>
      </c>
      <c r="I61" s="291" t="n">
        <v>40000</v>
      </c>
      <c r="J61" s="291" t="n">
        <v>40000</v>
      </c>
      <c r="K61" s="291" t="n">
        <v>40000</v>
      </c>
      <c r="L61" s="291" t="n">
        <v>120000</v>
      </c>
      <c r="M61" s="291" t="n">
        <v>19200</v>
      </c>
      <c r="N61" s="291" t="n">
        <v>139200</v>
      </c>
      <c r="O61" s="296" t="n">
        <v>150000</v>
      </c>
      <c r="P61" s="296" t="n">
        <v>150000</v>
      </c>
      <c r="Q61" s="296" t="n">
        <v>300000</v>
      </c>
      <c r="R61" s="296" t="n">
        <v>450000</v>
      </c>
      <c r="S61" s="296" t="n">
        <v>72000</v>
      </c>
      <c r="T61" s="296" t="n">
        <v>522000</v>
      </c>
      <c r="U61" s="78" t="inlineStr">
        <is>
          <t>OFTALMO</t>
        </is>
      </c>
      <c r="V61" s="81" t="inlineStr">
        <is>
          <t>S4</t>
        </is>
      </c>
      <c r="W61" s="83" t="inlineStr">
        <is>
          <t>ADJUDICADO</t>
        </is>
      </c>
      <c r="X61" s="5" t="inlineStr">
        <is>
          <t>PROYECTADO</t>
        </is>
      </c>
    </row>
    <row r="62" hidden="1" ht="28.2" customHeight="1" s="227">
      <c r="A62" s="86" t="n">
        <v>69</v>
      </c>
      <c r="B62" s="68" t="inlineStr">
        <is>
          <t>CDMX</t>
        </is>
      </c>
      <c r="C62" s="69" t="inlineStr">
        <is>
          <t>Sistema de diagnóstico oftálmico avanzado, marca Nidek, modelo OPD-Scan III</t>
        </is>
      </c>
      <c r="D62" s="68" t="inlineStr">
        <is>
          <t>470113</t>
        </is>
      </c>
      <c r="E62" s="69" t="inlineStr">
        <is>
          <t>H.M.E.O. Constituyentes</t>
        </is>
      </c>
      <c r="F62" s="95" t="inlineStr">
        <is>
          <t>Servicio de mantenimiento integral para: Sistema de diagnóstico oftálmico avanzado, marca Nidek, modelo OPD-Scan III, serie 470113;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2" s="79" t="n">
        <v>1</v>
      </c>
      <c r="H62" s="79" t="n">
        <v>2</v>
      </c>
      <c r="I62" s="291" t="n">
        <v>40000</v>
      </c>
      <c r="J62" s="291" t="n">
        <v>40000</v>
      </c>
      <c r="K62" s="291" t="n">
        <v>40000</v>
      </c>
      <c r="L62" s="291" t="n">
        <v>120000</v>
      </c>
      <c r="M62" s="291" t="n">
        <v>19200</v>
      </c>
      <c r="N62" s="291" t="n">
        <v>139200</v>
      </c>
      <c r="O62" s="296" t="n">
        <v>150000</v>
      </c>
      <c r="P62" s="296" t="n">
        <v>150000</v>
      </c>
      <c r="Q62" s="296" t="n">
        <v>300000</v>
      </c>
      <c r="R62" s="296" t="n">
        <v>450000</v>
      </c>
      <c r="S62" s="296" t="n">
        <v>72000</v>
      </c>
      <c r="T62" s="296" t="n">
        <v>522000</v>
      </c>
      <c r="U62" s="78" t="inlineStr">
        <is>
          <t>OFTALMO</t>
        </is>
      </c>
      <c r="V62" s="81" t="inlineStr">
        <is>
          <t>S4</t>
        </is>
      </c>
      <c r="W62" s="83" t="inlineStr">
        <is>
          <t>ADJUDICADO</t>
        </is>
      </c>
      <c r="X62" s="5" t="inlineStr">
        <is>
          <t>PROYECTADO</t>
        </is>
      </c>
    </row>
    <row r="63" hidden="1" ht="28.2" customHeight="1" s="227">
      <c r="A63" s="86" t="n">
        <v>70</v>
      </c>
      <c r="B63" s="68" t="inlineStr">
        <is>
          <t>CDMX</t>
        </is>
      </c>
      <c r="C63" s="69" t="inlineStr">
        <is>
          <t>Plataforma láser oftálmica combinada YAG/SLT, marca Quantel Medical, modelo Optimis Fusion</t>
        </is>
      </c>
      <c r="D63" s="68" t="inlineStr">
        <is>
          <t>62-10-135</t>
        </is>
      </c>
      <c r="E63" s="69" t="inlineStr">
        <is>
          <t>H.M.E.O. Constituyentes</t>
        </is>
      </c>
      <c r="F63" s="95" t="inlineStr">
        <is>
          <t>Servicio de mantenimiento integral para: Plataforma láser oftálmica combinada YAG/SLT, marca Quantel Medical, modelo Optimis Fusion, serie 62-10-135;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3" s="79" t="n">
        <v>1</v>
      </c>
      <c r="H63" s="79" t="n">
        <v>2</v>
      </c>
      <c r="I63" s="291" t="n">
        <v>72500</v>
      </c>
      <c r="J63" s="291" t="n">
        <v>72500</v>
      </c>
      <c r="K63" s="291" t="n">
        <v>72500</v>
      </c>
      <c r="L63" s="291" t="n">
        <v>217500</v>
      </c>
      <c r="M63" s="291" t="n">
        <v>34800</v>
      </c>
      <c r="N63" s="291" t="n">
        <v>252300</v>
      </c>
      <c r="O63" s="296" t="n">
        <v>290000</v>
      </c>
      <c r="P63" s="296" t="n">
        <v>290000</v>
      </c>
      <c r="Q63" s="296" t="n">
        <v>580000</v>
      </c>
      <c r="R63" s="296" t="n">
        <v>870000</v>
      </c>
      <c r="S63" s="296" t="n">
        <v>139200</v>
      </c>
      <c r="T63" s="296" t="n">
        <v>1009200</v>
      </c>
      <c r="U63" s="78" t="inlineStr">
        <is>
          <t>OFTALMO</t>
        </is>
      </c>
      <c r="V63" s="81" t="inlineStr">
        <is>
          <t>ARFAMEX</t>
        </is>
      </c>
      <c r="W63" s="83" t="inlineStr">
        <is>
          <t>ADJUDICADO</t>
        </is>
      </c>
      <c r="X63" s="5" t="inlineStr">
        <is>
          <t>PROYECTADO</t>
        </is>
      </c>
    </row>
    <row r="64" hidden="1" ht="28.2" customHeight="1" s="227">
      <c r="A64" s="86" t="n">
        <v>71</v>
      </c>
      <c r="B64" s="68" t="inlineStr">
        <is>
          <t>CDMX</t>
        </is>
      </c>
      <c r="C64" s="69" t="inlineStr">
        <is>
          <t>Láser excimer, marca Alcon, modelo Wavelight</t>
        </is>
      </c>
      <c r="D64" s="68" t="inlineStr">
        <is>
          <t>1016-4-3384</t>
        </is>
      </c>
      <c r="E64" s="69" t="inlineStr">
        <is>
          <t>H.M.E.O. Constituyentes</t>
        </is>
      </c>
      <c r="F64" s="95" t="inlineStr">
        <is>
          <t>Servicio de mantenimiento integral para: Láser excimer, marca Alcon, modelo Wavelight, serie 1016-4-3384;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4" s="79" t="n">
        <v>1</v>
      </c>
      <c r="H64" s="79" t="n">
        <v>2</v>
      </c>
      <c r="I64" s="291" t="n">
        <v>350000</v>
      </c>
      <c r="J64" s="291" t="n">
        <v>350000</v>
      </c>
      <c r="K64" s="291" t="n">
        <v>350000</v>
      </c>
      <c r="L64" s="291" t="n">
        <v>1050000</v>
      </c>
      <c r="M64" s="291" t="n">
        <v>168000</v>
      </c>
      <c r="N64" s="291" t="n">
        <v>1218000</v>
      </c>
      <c r="O64" s="296" t="n">
        <v>450000</v>
      </c>
      <c r="P64" s="296" t="n">
        <v>450000</v>
      </c>
      <c r="Q64" s="296" t="n">
        <v>900000</v>
      </c>
      <c r="R64" s="296" t="n">
        <v>1350000</v>
      </c>
      <c r="S64" s="296" t="n">
        <v>216000</v>
      </c>
      <c r="T64" s="296" t="n">
        <v>1566000</v>
      </c>
      <c r="U64" s="78" t="inlineStr">
        <is>
          <t>OFTALMO</t>
        </is>
      </c>
      <c r="V64" s="81" t="inlineStr">
        <is>
          <t>ALCON</t>
        </is>
      </c>
      <c r="W64" s="83" t="inlineStr">
        <is>
          <t>ADJUDICADO</t>
        </is>
      </c>
      <c r="X64" s="5" t="inlineStr">
        <is>
          <t>PROYECTADO</t>
        </is>
      </c>
    </row>
    <row r="65" hidden="1" ht="28.2" customFormat="1" customHeight="1" s="267">
      <c r="A65" s="86" t="n">
        <v>72</v>
      </c>
      <c r="B65" s="68" t="inlineStr">
        <is>
          <t>CDMX</t>
        </is>
      </c>
      <c r="C65" s="69" t="inlineStr">
        <is>
          <t>Láser oftálmico, marca Quantel Medical, modelo Easyret</t>
        </is>
      </c>
      <c r="D65" s="68" t="inlineStr">
        <is>
          <t>2209031</t>
        </is>
      </c>
      <c r="E65" s="69" t="inlineStr">
        <is>
          <t>H.M.E.O. Constituyentes</t>
        </is>
      </c>
      <c r="F65" s="95" t="inlineStr">
        <is>
          <t>Servicio de mantenimiento integral para: Láser oftálmico, marca Quantel Medical, modelo Easyret, serie 2209031;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5" s="79" t="n">
        <v>1</v>
      </c>
      <c r="H65" s="79" t="n">
        <v>2</v>
      </c>
      <c r="I65" s="291" t="n">
        <v>80000</v>
      </c>
      <c r="J65" s="291" t="n">
        <v>80000</v>
      </c>
      <c r="K65" s="291" t="n">
        <v>80000</v>
      </c>
      <c r="L65" s="291" t="n">
        <v>240000</v>
      </c>
      <c r="M65" s="291" t="n">
        <v>38400</v>
      </c>
      <c r="N65" s="291" t="n">
        <v>278400</v>
      </c>
      <c r="O65" s="296" t="n">
        <v>250000</v>
      </c>
      <c r="P65" s="296" t="n">
        <v>250000</v>
      </c>
      <c r="Q65" s="296" t="n">
        <v>500000</v>
      </c>
      <c r="R65" s="296" t="n">
        <v>750000</v>
      </c>
      <c r="S65" s="296" t="n">
        <v>120000</v>
      </c>
      <c r="T65" s="296" t="n">
        <v>870000</v>
      </c>
      <c r="U65" s="78" t="inlineStr">
        <is>
          <t>OFTALMO</t>
        </is>
      </c>
      <c r="V65" s="81" t="inlineStr">
        <is>
          <t>ARFAMEX</t>
        </is>
      </c>
      <c r="W65" s="83" t="inlineStr">
        <is>
          <t>ADJUDICADO</t>
        </is>
      </c>
      <c r="X65" s="267" t="inlineStr">
        <is>
          <t>PROYECTADO</t>
        </is>
      </c>
    </row>
    <row r="66" hidden="1" ht="28.2" customFormat="1" customHeight="1" s="267">
      <c r="A66" s="86" t="n">
        <v>73</v>
      </c>
      <c r="B66" s="68" t="inlineStr">
        <is>
          <t>CDMX</t>
        </is>
      </c>
      <c r="C66" s="69" t="inlineStr">
        <is>
          <t>Láser oftálmico, marca Quantel Medical, modelo Easyret</t>
        </is>
      </c>
      <c r="D66" s="68" t="inlineStr">
        <is>
          <t>2209032</t>
        </is>
      </c>
      <c r="E66" s="69" t="inlineStr">
        <is>
          <t>H.M.E.O. Constituyentes</t>
        </is>
      </c>
      <c r="F66" s="95" t="inlineStr">
        <is>
          <t>Servicio de mantenimiento integral para: Láser oftálmico, marca Quantel Medical, modelo Easyret, serie 2209032;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6" s="79" t="n">
        <v>1</v>
      </c>
      <c r="H66" s="79" t="n">
        <v>2</v>
      </c>
      <c r="I66" s="291" t="n">
        <v>80000</v>
      </c>
      <c r="J66" s="291" t="n">
        <v>80000</v>
      </c>
      <c r="K66" s="291" t="n">
        <v>80000</v>
      </c>
      <c r="L66" s="291" t="n">
        <v>240000</v>
      </c>
      <c r="M66" s="291" t="n">
        <v>38400</v>
      </c>
      <c r="N66" s="291" t="n">
        <v>278400</v>
      </c>
      <c r="O66" s="296" t="n">
        <v>250000</v>
      </c>
      <c r="P66" s="296" t="n">
        <v>250000</v>
      </c>
      <c r="Q66" s="296" t="n">
        <v>500000</v>
      </c>
      <c r="R66" s="296" t="n">
        <v>750000</v>
      </c>
      <c r="S66" s="296" t="n">
        <v>120000</v>
      </c>
      <c r="T66" s="296" t="n">
        <v>870000</v>
      </c>
      <c r="U66" s="78" t="inlineStr">
        <is>
          <t>OFTALMO</t>
        </is>
      </c>
      <c r="V66" s="81" t="inlineStr">
        <is>
          <t>ARFAMEX</t>
        </is>
      </c>
      <c r="W66" s="83" t="inlineStr">
        <is>
          <t>ADJUDICADO</t>
        </is>
      </c>
      <c r="X66" s="267" t="inlineStr">
        <is>
          <t>PROYECTADO</t>
        </is>
      </c>
    </row>
    <row r="67" hidden="1" ht="28.2" customFormat="1" customHeight="1" s="267">
      <c r="A67" s="86" t="n">
        <v>74</v>
      </c>
      <c r="B67" s="68" t="inlineStr">
        <is>
          <t>CDMX</t>
        </is>
      </c>
      <c r="C67" s="69" t="inlineStr">
        <is>
          <t>Equipo para crosslinking ocular, marca KXL, modelo Avedro</t>
        </is>
      </c>
      <c r="D67" s="68" t="inlineStr">
        <is>
          <t>KXL221005</t>
        </is>
      </c>
      <c r="E67" s="69" t="inlineStr">
        <is>
          <t>H.M.E.O. Constituyentes</t>
        </is>
      </c>
      <c r="F67" s="95" t="inlineStr">
        <is>
          <t>Servicio de mantenimiento integral para: Equipo para crosslinking ocular, marca KXL, modelo Avedro, serie KXL221005;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7" s="79" t="n">
        <v>1</v>
      </c>
      <c r="H67" s="79" t="n">
        <v>2</v>
      </c>
      <c r="I67" s="291" t="n">
        <v>65000</v>
      </c>
      <c r="J67" s="291" t="n">
        <v>65000</v>
      </c>
      <c r="K67" s="291" t="n">
        <v>65000</v>
      </c>
      <c r="L67" s="291" t="n">
        <v>195000</v>
      </c>
      <c r="M67" s="291" t="n">
        <v>31200</v>
      </c>
      <c r="N67" s="291" t="n">
        <v>226200</v>
      </c>
      <c r="O67" s="296" t="n">
        <v>250000</v>
      </c>
      <c r="P67" s="296" t="n">
        <v>250000</v>
      </c>
      <c r="Q67" s="296" t="n">
        <v>500000</v>
      </c>
      <c r="R67" s="296" t="n">
        <v>750000</v>
      </c>
      <c r="S67" s="296" t="n">
        <v>120000</v>
      </c>
      <c r="T67" s="296" t="n">
        <v>870000</v>
      </c>
      <c r="U67" s="78" t="inlineStr">
        <is>
          <t>OFTALMO</t>
        </is>
      </c>
      <c r="V67" s="81" t="inlineStr">
        <is>
          <t>ARFAMEX</t>
        </is>
      </c>
      <c r="W67" s="83" t="inlineStr">
        <is>
          <t>ADJUDICADO</t>
        </is>
      </c>
      <c r="X67" s="267" t="inlineStr">
        <is>
          <t>PROYECTADO</t>
        </is>
      </c>
    </row>
    <row r="68" hidden="1" ht="28.2" customFormat="1" customHeight="1" s="267">
      <c r="A68" s="86" t="n">
        <v>75</v>
      </c>
      <c r="B68" s="68" t="inlineStr">
        <is>
          <t>CDMX</t>
        </is>
      </c>
      <c r="C68" s="69" t="inlineStr">
        <is>
          <t>OCT con retinógrafo integrado, marca Nidek, modelo Retina Scan DUO-2 (RS-300)</t>
        </is>
      </c>
      <c r="D68" s="68" t="inlineStr">
        <is>
          <t>742223</t>
        </is>
      </c>
      <c r="E68" s="69" t="inlineStr">
        <is>
          <t>H.M.E.O. Constituyentes</t>
        </is>
      </c>
      <c r="F68" s="95" t="inlineStr">
        <is>
          <t>Servicio de mantenimiento integral para: OCT con retinógrafo integrado, marca Nidek, modelo Retina Scan DUO-2 (RS-300), serie 742223;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68" s="79" t="n">
        <v>2</v>
      </c>
      <c r="H68" s="79" t="n">
        <v>4</v>
      </c>
      <c r="I68" s="291" t="n">
        <v>90000</v>
      </c>
      <c r="J68" s="291" t="n">
        <v>90000</v>
      </c>
      <c r="K68" s="291" t="n">
        <v>90000</v>
      </c>
      <c r="L68" s="291" t="n">
        <v>270000</v>
      </c>
      <c r="M68" s="291" t="n">
        <v>43200</v>
      </c>
      <c r="N68" s="291" t="n">
        <v>313200</v>
      </c>
      <c r="O68" s="296" t="n">
        <v>220000</v>
      </c>
      <c r="P68" s="296" t="n">
        <v>440000</v>
      </c>
      <c r="Q68" s="296" t="n">
        <v>880000</v>
      </c>
      <c r="R68" s="296" t="n">
        <v>1320000</v>
      </c>
      <c r="S68" s="296" t="n">
        <v>211200</v>
      </c>
      <c r="T68" s="296" t="n">
        <v>1531200</v>
      </c>
      <c r="U68" s="78" t="inlineStr">
        <is>
          <t>OFTALMO</t>
        </is>
      </c>
      <c r="V68" s="81" t="inlineStr">
        <is>
          <t>S4</t>
        </is>
      </c>
      <c r="W68" s="83" t="inlineStr">
        <is>
          <t>ADJUDICADO</t>
        </is>
      </c>
      <c r="X68" s="267" t="inlineStr">
        <is>
          <t>PROYECTADO</t>
        </is>
      </c>
    </row>
    <row r="69" hidden="1" ht="28.2" customHeight="1" s="227">
      <c r="A69" s="86" t="n">
        <v>76</v>
      </c>
      <c r="B69" s="68" t="inlineStr">
        <is>
          <t>CDMX</t>
        </is>
      </c>
      <c r="C69" s="69" t="inlineStr">
        <is>
          <t>OCT con retinógrafo integrado, marca Nidek, modelo Retina Scan DUO-2 (RS-300)</t>
        </is>
      </c>
      <c r="D69" s="68" t="inlineStr">
        <is>
          <t>741879</t>
        </is>
      </c>
      <c r="E69" s="69" t="inlineStr">
        <is>
          <t>H.M.E.O. Constituyentes</t>
        </is>
      </c>
      <c r="F69" s="95" t="inlineStr">
        <is>
          <t>Servicio de mantenimiento integral para: OCT con retinógrafo integrado, marca Nidek, modelo Retina Scan DUO-2 (RS-300), serie 741879;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9" s="79" t="n">
        <v>1</v>
      </c>
      <c r="H69" s="79" t="n">
        <v>2</v>
      </c>
      <c r="I69" s="291" t="n">
        <v>90000</v>
      </c>
      <c r="J69" s="291" t="n">
        <v>90000</v>
      </c>
      <c r="K69" s="291" t="n">
        <v>90000</v>
      </c>
      <c r="L69" s="291" t="n">
        <v>270000</v>
      </c>
      <c r="M69" s="291" t="n">
        <v>43200</v>
      </c>
      <c r="N69" s="291" t="n">
        <v>313200</v>
      </c>
      <c r="O69" s="296" t="n">
        <v>220000</v>
      </c>
      <c r="P69" s="296" t="n">
        <v>220000</v>
      </c>
      <c r="Q69" s="296" t="n">
        <v>440000</v>
      </c>
      <c r="R69" s="296" t="n">
        <v>660000</v>
      </c>
      <c r="S69" s="296" t="n">
        <v>105600</v>
      </c>
      <c r="T69" s="296" t="n">
        <v>765600</v>
      </c>
      <c r="U69" s="78" t="inlineStr">
        <is>
          <t>OFTALMO</t>
        </is>
      </c>
      <c r="V69" s="81" t="inlineStr">
        <is>
          <t>S4</t>
        </is>
      </c>
      <c r="W69" s="83" t="inlineStr">
        <is>
          <t>ADJUDICADO</t>
        </is>
      </c>
      <c r="X69" s="5" t="inlineStr">
        <is>
          <t>PROYECTADO</t>
        </is>
      </c>
    </row>
    <row r="70" hidden="1" ht="28.2" customFormat="1" customHeight="1" s="267">
      <c r="A70" s="86" t="n">
        <v>77</v>
      </c>
      <c r="B70" s="68" t="inlineStr">
        <is>
          <t>CDMX</t>
        </is>
      </c>
      <c r="C70" s="69" t="inlineStr">
        <is>
          <t>OCT con retinógrafo integrado, marca Nidek, modelo Retina Scan DUO-2 (RS-300)</t>
        </is>
      </c>
      <c r="D70" s="68" t="inlineStr">
        <is>
          <t>742356</t>
        </is>
      </c>
      <c r="E70" s="69" t="inlineStr">
        <is>
          <t>H.M.E.O. Constituyentes</t>
        </is>
      </c>
      <c r="F70" s="95" t="inlineStr">
        <is>
          <t>Servicio de mantenimiento integral para: OCT con retinógrafo integrado, marca Nidek, modelo Retina Scan DUO-2 (RS-300), serie 742356;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0" s="79" t="n">
        <v>1</v>
      </c>
      <c r="H70" s="79" t="n">
        <v>2</v>
      </c>
      <c r="I70" s="291" t="n">
        <v>90000</v>
      </c>
      <c r="J70" s="291" t="n">
        <v>90000</v>
      </c>
      <c r="K70" s="291" t="n">
        <v>90000</v>
      </c>
      <c r="L70" s="291" t="n">
        <v>270000</v>
      </c>
      <c r="M70" s="291" t="n">
        <v>43200</v>
      </c>
      <c r="N70" s="291" t="n">
        <v>313200</v>
      </c>
      <c r="O70" s="296" t="n">
        <v>220000</v>
      </c>
      <c r="P70" s="296" t="n">
        <v>220000</v>
      </c>
      <c r="Q70" s="296" t="n">
        <v>440000</v>
      </c>
      <c r="R70" s="296" t="n">
        <v>660000</v>
      </c>
      <c r="S70" s="296" t="n">
        <v>105600</v>
      </c>
      <c r="T70" s="296" t="n">
        <v>765600</v>
      </c>
      <c r="U70" s="78" t="inlineStr">
        <is>
          <t>OFTALMO</t>
        </is>
      </c>
      <c r="V70" s="81" t="inlineStr">
        <is>
          <t>S4</t>
        </is>
      </c>
      <c r="W70" s="83" t="inlineStr">
        <is>
          <t>ADJUDICADO</t>
        </is>
      </c>
      <c r="X70" s="267" t="inlineStr">
        <is>
          <t>PROYECTADO</t>
        </is>
      </c>
    </row>
    <row r="71" hidden="1" ht="28.2" customHeight="1" s="227">
      <c r="A71" s="86" t="n">
        <v>78</v>
      </c>
      <c r="B71" s="68" t="inlineStr">
        <is>
          <t>CDMX</t>
        </is>
      </c>
      <c r="C71" s="69" t="inlineStr">
        <is>
          <t>OCT con retinógrafo integrado, marca Nidek, modelo Retina Scan DUO-2 (RS-300)</t>
        </is>
      </c>
      <c r="D71" s="68" t="inlineStr">
        <is>
          <t>741940</t>
        </is>
      </c>
      <c r="E71" s="69" t="inlineStr">
        <is>
          <t>H.M.E.O. Constituyentes</t>
        </is>
      </c>
      <c r="F71" s="95" t="inlineStr">
        <is>
          <t>Servicio de mantenimiento integral para: OCT con retinógrafo integrado, marca Nidek, modelo Retina Scan DUO-2 (RS-300), serie 741940;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1" s="79" t="n">
        <v>2</v>
      </c>
      <c r="H71" s="79" t="n">
        <v>4</v>
      </c>
      <c r="I71" s="291" t="n">
        <v>90000</v>
      </c>
      <c r="J71" s="291" t="n">
        <v>90000</v>
      </c>
      <c r="K71" s="291" t="n">
        <v>90000</v>
      </c>
      <c r="L71" s="291" t="n">
        <v>270000</v>
      </c>
      <c r="M71" s="291" t="n">
        <v>43200</v>
      </c>
      <c r="N71" s="291" t="n">
        <v>313200</v>
      </c>
      <c r="O71" s="296" t="n">
        <v>220000</v>
      </c>
      <c r="P71" s="296" t="n">
        <v>440000</v>
      </c>
      <c r="Q71" s="296" t="n">
        <v>880000</v>
      </c>
      <c r="R71" s="296" t="n">
        <v>1320000</v>
      </c>
      <c r="S71" s="296" t="n">
        <v>211200</v>
      </c>
      <c r="T71" s="296" t="n">
        <v>1531200</v>
      </c>
      <c r="U71" s="78" t="inlineStr">
        <is>
          <t>OFTALMO</t>
        </is>
      </c>
      <c r="V71" s="81" t="inlineStr">
        <is>
          <t>S4</t>
        </is>
      </c>
      <c r="W71" s="83" t="inlineStr">
        <is>
          <t>ADJUDICADO</t>
        </is>
      </c>
      <c r="X71" s="5" t="inlineStr">
        <is>
          <t>PROYECTADO</t>
        </is>
      </c>
    </row>
    <row r="72" hidden="1" ht="28.2" customHeight="1" s="227">
      <c r="A72" s="86" t="n">
        <v>79</v>
      </c>
      <c r="B72" s="68" t="inlineStr">
        <is>
          <t>CDMX</t>
        </is>
      </c>
      <c r="C72" s="69" t="inlineStr">
        <is>
          <t>Sistema de diagnóstico oftálmico avanzado, marca Heidelberg Engineering, modelo Spectralis</t>
        </is>
      </c>
      <c r="D72" s="68" t="inlineStr">
        <is>
          <t>SPEC-CAM-21931-53610</t>
        </is>
      </c>
      <c r="E72" s="69" t="inlineStr">
        <is>
          <t>H.M.E.O. Constituyentes</t>
        </is>
      </c>
      <c r="F72" s="95" t="inlineStr">
        <is>
          <t>Servicio de mantenimiento integral para: Sistema de diagnóstico oftálmico avanzado, marca Heidelberg Engineering, modelo Spectralis, serie SPEC-CAM-21931-53610;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2" s="79" t="n">
        <v>2</v>
      </c>
      <c r="H72" s="79" t="n">
        <v>4</v>
      </c>
      <c r="I72" s="291" t="n">
        <v>122850</v>
      </c>
      <c r="J72" s="291" t="n">
        <v>122850</v>
      </c>
      <c r="K72" s="291" t="n">
        <v>122850</v>
      </c>
      <c r="L72" s="291" t="n">
        <v>368550</v>
      </c>
      <c r="M72" s="291" t="n">
        <v>58968</v>
      </c>
      <c r="N72" s="291" t="n">
        <v>427518</v>
      </c>
      <c r="O72" s="296" t="n">
        <v>300000</v>
      </c>
      <c r="P72" s="296" t="n">
        <v>600000</v>
      </c>
      <c r="Q72" s="296" t="n">
        <v>1200000</v>
      </c>
      <c r="R72" s="296" t="n">
        <v>1800000</v>
      </c>
      <c r="S72" s="296" t="n">
        <v>288000</v>
      </c>
      <c r="T72" s="296" t="n">
        <v>2088000</v>
      </c>
      <c r="U72" s="78" t="inlineStr">
        <is>
          <t>OFTALMO</t>
        </is>
      </c>
      <c r="V72" s="81" t="inlineStr">
        <is>
          <t>ARFAMEX</t>
        </is>
      </c>
      <c r="W72" s="83" t="inlineStr">
        <is>
          <t>ADJUDICADO</t>
        </is>
      </c>
      <c r="X72" s="5" t="inlineStr">
        <is>
          <t>PROYECTADO</t>
        </is>
      </c>
    </row>
    <row r="73" hidden="1" ht="28.2" customHeight="1" s="227">
      <c r="A73" s="86" t="n">
        <v>80</v>
      </c>
      <c r="B73" s="68" t="inlineStr">
        <is>
          <t>CDMX</t>
        </is>
      </c>
      <c r="C73" s="69" t="inlineStr">
        <is>
          <t>Sistema de diagnóstico oftálmico avanzado, marca Heidelberg Engineering, modelo Spectralis</t>
        </is>
      </c>
      <c r="D73" s="68" t="inlineStr">
        <is>
          <t>SPEC-CAM-21920-53610</t>
        </is>
      </c>
      <c r="E73" s="69" t="inlineStr">
        <is>
          <t>H.M.E.O. Constituyentes</t>
        </is>
      </c>
      <c r="F73" s="95" t="inlineStr">
        <is>
          <t>Servicio de mantenimiento integral para: Sistema de diagnóstico oftálmico avanzado, marca Heidelberg Engineering, modelo Spectralis, serie SPEC-CAM-21920-53610;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3" s="79" t="n">
        <v>2</v>
      </c>
      <c r="H73" s="79" t="n">
        <v>4</v>
      </c>
      <c r="I73" s="291" t="n">
        <v>122850</v>
      </c>
      <c r="J73" s="291" t="n">
        <v>122850</v>
      </c>
      <c r="K73" s="291" t="n">
        <v>122850</v>
      </c>
      <c r="L73" s="291" t="n">
        <v>368550</v>
      </c>
      <c r="M73" s="291" t="n">
        <v>58968</v>
      </c>
      <c r="N73" s="291" t="n">
        <v>427518</v>
      </c>
      <c r="O73" s="296" t="n">
        <v>300000</v>
      </c>
      <c r="P73" s="296" t="n">
        <v>600000</v>
      </c>
      <c r="Q73" s="296" t="n">
        <v>1200000</v>
      </c>
      <c r="R73" s="296" t="n">
        <v>1800000</v>
      </c>
      <c r="S73" s="296" t="n">
        <v>288000</v>
      </c>
      <c r="T73" s="296" t="n">
        <v>2088000</v>
      </c>
      <c r="U73" s="78" t="inlineStr">
        <is>
          <t>OFTALMO</t>
        </is>
      </c>
      <c r="V73" s="81" t="inlineStr">
        <is>
          <t>ARFAMEX</t>
        </is>
      </c>
      <c r="W73" s="83" t="inlineStr">
        <is>
          <t>ADJUDICADO</t>
        </is>
      </c>
      <c r="X73" s="5" t="inlineStr">
        <is>
          <t>PROYECTADO</t>
        </is>
      </c>
    </row>
    <row r="74" hidden="1" ht="28.2" customHeight="1" s="227">
      <c r="A74" s="86" t="n">
        <v>81</v>
      </c>
      <c r="B74" s="68" t="inlineStr">
        <is>
          <t>CDMX</t>
        </is>
      </c>
      <c r="C74" s="69" t="inlineStr">
        <is>
          <t>Sistema de diagnóstico oftálmico avanzado, marca Heidelberg Engineering, modelo Spectralis</t>
        </is>
      </c>
      <c r="D74" s="68" t="inlineStr">
        <is>
          <t>SPEC-CAM-21928-53610</t>
        </is>
      </c>
      <c r="E74" s="69" t="inlineStr">
        <is>
          <t>H.M.E.O. Constituyentes</t>
        </is>
      </c>
      <c r="F74" s="95" t="inlineStr">
        <is>
          <t>Servicio de mantenimiento integral para: Sistema de diagnóstico oftálmico avanzado, marca Heidelberg Engineering, modelo Spectralis, serie SPEC-CAM-21928-53610;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4" s="79" t="n">
        <v>2</v>
      </c>
      <c r="H74" s="79" t="n">
        <v>4</v>
      </c>
      <c r="I74" s="291" t="n">
        <v>122850</v>
      </c>
      <c r="J74" s="291" t="n">
        <v>122850</v>
      </c>
      <c r="K74" s="291" t="n">
        <v>122850</v>
      </c>
      <c r="L74" s="291" t="n">
        <v>368550</v>
      </c>
      <c r="M74" s="291" t="n">
        <v>58968</v>
      </c>
      <c r="N74" s="291" t="n">
        <v>427518</v>
      </c>
      <c r="O74" s="296" t="n">
        <v>300000</v>
      </c>
      <c r="P74" s="296" t="n">
        <v>600000</v>
      </c>
      <c r="Q74" s="296" t="n">
        <v>1200000</v>
      </c>
      <c r="R74" s="296" t="n">
        <v>1800000</v>
      </c>
      <c r="S74" s="296" t="n">
        <v>288000</v>
      </c>
      <c r="T74" s="296" t="n">
        <v>2088000</v>
      </c>
      <c r="U74" s="78" t="inlineStr">
        <is>
          <t>OFTALMO</t>
        </is>
      </c>
      <c r="V74" s="81" t="inlineStr">
        <is>
          <t>ARFAMEX</t>
        </is>
      </c>
      <c r="W74" s="83" t="inlineStr">
        <is>
          <t>ADJUDICADO</t>
        </is>
      </c>
      <c r="X74" s="5" t="inlineStr">
        <is>
          <t>PROYECTADO</t>
        </is>
      </c>
    </row>
    <row r="75" hidden="1" ht="28.2" customHeight="1" s="227">
      <c r="A75" s="86" t="n">
        <v>82</v>
      </c>
      <c r="B75" s="68" t="inlineStr">
        <is>
          <t>CDMX</t>
        </is>
      </c>
      <c r="C75" s="69" t="inlineStr">
        <is>
          <t>Retinógrafo de campo ultra amplio, marca Optos, modelo California</t>
        </is>
      </c>
      <c r="D75" s="68" t="inlineStr">
        <is>
          <t>41652</t>
        </is>
      </c>
      <c r="E75" s="69" t="inlineStr">
        <is>
          <t>H.M.E.O. Constituyentes</t>
        </is>
      </c>
      <c r="F75" s="95" t="inlineStr">
        <is>
          <t>Servicio de mantenimiento integral para: Retinógrafo de campo ultra amplio, marca Optos, modelo California, serie 41652;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5" s="79" t="n">
        <v>1</v>
      </c>
      <c r="H75" s="79" t="n">
        <v>2</v>
      </c>
      <c r="I75" s="291" t="n">
        <v>100000</v>
      </c>
      <c r="J75" s="291" t="n">
        <v>100000</v>
      </c>
      <c r="K75" s="291" t="n">
        <v>100000</v>
      </c>
      <c r="L75" s="291" t="n">
        <v>300000</v>
      </c>
      <c r="M75" s="291" t="n">
        <v>48000</v>
      </c>
      <c r="N75" s="291" t="n">
        <v>348000</v>
      </c>
      <c r="O75" s="296" t="n">
        <v>220000</v>
      </c>
      <c r="P75" s="296" t="n">
        <v>220000</v>
      </c>
      <c r="Q75" s="296" t="n">
        <v>440000</v>
      </c>
      <c r="R75" s="296" t="n">
        <v>660000</v>
      </c>
      <c r="S75" s="296" t="n">
        <v>105600</v>
      </c>
      <c r="T75" s="296" t="n">
        <v>765600</v>
      </c>
      <c r="U75" s="78" t="inlineStr">
        <is>
          <t>OFTALMO</t>
        </is>
      </c>
      <c r="V75" s="81" t="inlineStr">
        <is>
          <t>DEWIMED</t>
        </is>
      </c>
      <c r="W75" s="83" t="inlineStr">
        <is>
          <t>ADJUDICADO</t>
        </is>
      </c>
      <c r="X75" s="5" t="inlineStr">
        <is>
          <t>PROYECTADO</t>
        </is>
      </c>
    </row>
    <row r="76" hidden="1" ht="28.2" customHeight="1" s="227">
      <c r="A76" s="86" t="n">
        <v>83</v>
      </c>
      <c r="B76" s="68" t="inlineStr">
        <is>
          <t>CDMX</t>
        </is>
      </c>
      <c r="C76" s="69" t="inlineStr">
        <is>
          <t>Retinógrafo de campo ultra amplio, marca Optos, modelo California</t>
        </is>
      </c>
      <c r="D76" s="68" t="inlineStr">
        <is>
          <t>41656</t>
        </is>
      </c>
      <c r="E76" s="69" t="inlineStr">
        <is>
          <t>H.M.E.O. Constituyentes</t>
        </is>
      </c>
      <c r="F76" s="95" t="inlineStr">
        <is>
          <t>Servicio de mantenimiento integral para: Retinógrafo de campo ultra amplio, marca Optos, modelo California, serie 41656;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6" s="79" t="n">
        <v>1</v>
      </c>
      <c r="H76" s="79" t="n">
        <v>2</v>
      </c>
      <c r="I76" s="291" t="n">
        <v>100000</v>
      </c>
      <c r="J76" s="291" t="n">
        <v>100000</v>
      </c>
      <c r="K76" s="291" t="n">
        <v>100000</v>
      </c>
      <c r="L76" s="291" t="n">
        <v>300000</v>
      </c>
      <c r="M76" s="291" t="n">
        <v>48000</v>
      </c>
      <c r="N76" s="291" t="n">
        <v>348000</v>
      </c>
      <c r="O76" s="296" t="n">
        <v>220000</v>
      </c>
      <c r="P76" s="296" t="n">
        <v>220000</v>
      </c>
      <c r="Q76" s="296" t="n">
        <v>440000</v>
      </c>
      <c r="R76" s="296" t="n">
        <v>660000</v>
      </c>
      <c r="S76" s="296" t="n">
        <v>105600</v>
      </c>
      <c r="T76" s="296" t="n">
        <v>765600</v>
      </c>
      <c r="U76" s="78" t="inlineStr">
        <is>
          <t>OFTALMO</t>
        </is>
      </c>
      <c r="V76" s="81" t="inlineStr">
        <is>
          <t>DEWIMED</t>
        </is>
      </c>
      <c r="W76" s="83" t="inlineStr">
        <is>
          <t>ADJUDICADO</t>
        </is>
      </c>
      <c r="X76" s="5" t="inlineStr">
        <is>
          <t>PROYECTADO</t>
        </is>
      </c>
    </row>
    <row r="77" hidden="1" ht="28.2" customHeight="1" s="227">
      <c r="A77" s="86" t="n">
        <v>87</v>
      </c>
      <c r="B77" s="68" t="inlineStr">
        <is>
          <t>EDO DE MEX</t>
        </is>
      </c>
      <c r="C77" s="69" t="inlineStr">
        <is>
          <t>Autoqueratorrefractor, marca Nidek, modelo ARK-F</t>
        </is>
      </c>
      <c r="D77" s="68" t="inlineStr">
        <is>
          <t>270010</t>
        </is>
      </c>
      <c r="E77" s="69" t="inlineStr">
        <is>
          <t>H.M.R. Santa Lucía</t>
        </is>
      </c>
      <c r="F77" s="95" t="inlineStr">
        <is>
          <t>Servicio de mantenimiento integral para: Autoqueratorrefractor, marca Nidek, modelo ARK-F, serie 270010;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77" s="79" t="n">
        <v>1</v>
      </c>
      <c r="H77" s="79" t="n">
        <v>2</v>
      </c>
      <c r="I77" s="291" t="n">
        <v>15000</v>
      </c>
      <c r="J77" s="291" t="n">
        <v>15000</v>
      </c>
      <c r="K77" s="291" t="n">
        <v>15000</v>
      </c>
      <c r="L77" s="291" t="n">
        <v>45000</v>
      </c>
      <c r="M77" s="291" t="n">
        <v>7200</v>
      </c>
      <c r="N77" s="291" t="n">
        <v>52200</v>
      </c>
      <c r="O77" s="296" t="n">
        <v>120000</v>
      </c>
      <c r="P77" s="296" t="n">
        <v>120000</v>
      </c>
      <c r="Q77" s="296" t="n">
        <v>240000</v>
      </c>
      <c r="R77" s="296" t="n">
        <v>360000</v>
      </c>
      <c r="S77" s="296" t="n">
        <v>57600</v>
      </c>
      <c r="T77" s="296" t="n">
        <v>417600</v>
      </c>
      <c r="U77" s="78" t="inlineStr">
        <is>
          <t>OFTALMO</t>
        </is>
      </c>
      <c r="V77" s="81" t="inlineStr">
        <is>
          <t>S4</t>
        </is>
      </c>
      <c r="W77" s="83" t="inlineStr">
        <is>
          <t>ADJUDICADO</t>
        </is>
      </c>
      <c r="X77" s="5" t="inlineStr">
        <is>
          <t>PROYECTADO</t>
        </is>
      </c>
    </row>
    <row r="78" hidden="1" ht="28.2" customHeight="1" s="227">
      <c r="A78" s="86" t="n">
        <v>88</v>
      </c>
      <c r="B78" s="68" t="inlineStr">
        <is>
          <t>EDO DE MEX</t>
        </is>
      </c>
      <c r="C78" s="69" t="inlineStr">
        <is>
          <t>Tomógrafo-topógrafo corneal, marca CSO, modelo Sirius</t>
        </is>
      </c>
      <c r="D78" s="68" t="inlineStr">
        <is>
          <t>21091186</t>
        </is>
      </c>
      <c r="E78" s="69" t="inlineStr">
        <is>
          <t>H.M.R. Santa Lucía</t>
        </is>
      </c>
      <c r="F78" s="95" t="inlineStr">
        <is>
          <t>Servicio de mantenimiento integral para: Tomógrafo-topógrafo corneal, marca CSO, modelo Sirius, serie 21091186;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78" s="79" t="n">
        <v>1</v>
      </c>
      <c r="H78" s="79" t="n">
        <v>2</v>
      </c>
      <c r="I78" s="291" t="n">
        <v>100000</v>
      </c>
      <c r="J78" s="291" t="n">
        <v>100000</v>
      </c>
      <c r="K78" s="291" t="n">
        <v>100000</v>
      </c>
      <c r="L78" s="291" t="n">
        <v>300000</v>
      </c>
      <c r="M78" s="291" t="n">
        <v>48000</v>
      </c>
      <c r="N78" s="291" t="n">
        <v>348000</v>
      </c>
      <c r="O78" s="296" t="n">
        <v>175000</v>
      </c>
      <c r="P78" s="296" t="n">
        <v>175000</v>
      </c>
      <c r="Q78" s="296" t="n">
        <v>350000</v>
      </c>
      <c r="R78" s="296" t="n">
        <v>525000</v>
      </c>
      <c r="S78" s="296" t="n">
        <v>84000</v>
      </c>
      <c r="T78" s="296" t="n">
        <v>609000</v>
      </c>
      <c r="U78" s="78" t="inlineStr">
        <is>
          <t>OFTALMO</t>
        </is>
      </c>
      <c r="V78" s="81" t="inlineStr">
        <is>
          <t>S4</t>
        </is>
      </c>
      <c r="W78" s="83" t="inlineStr">
        <is>
          <t>ADJUDICADO</t>
        </is>
      </c>
      <c r="X78" s="5" t="inlineStr">
        <is>
          <t>PROYECTADO</t>
        </is>
      </c>
    </row>
    <row r="79" hidden="1" ht="28.2" customHeight="1" s="227">
      <c r="A79" s="86" t="n">
        <v>94</v>
      </c>
      <c r="B79" s="68" t="inlineStr">
        <is>
          <t>EDO DE MEX</t>
        </is>
      </c>
      <c r="C79" s="69" t="inlineStr">
        <is>
          <t>Fotocoagulador láser, marca Topcon, modelo Pascal Synthesis</t>
        </is>
      </c>
      <c r="D79" s="68" t="inlineStr">
        <is>
          <t>79140219</t>
        </is>
      </c>
      <c r="E79" s="69" t="inlineStr">
        <is>
          <t>H.M.R. Santa Lucía</t>
        </is>
      </c>
      <c r="F79" s="95" t="inlineStr">
        <is>
          <t>Servicio de mantenimiento integral para: Fotocoagulador láser, marca Topcon, modelo Pascal Synthesis, serie 79140219;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79" s="79" t="n">
        <v>1</v>
      </c>
      <c r="H79" s="79" t="n">
        <v>2</v>
      </c>
      <c r="I79" s="291" t="n">
        <v>200000</v>
      </c>
      <c r="J79" s="291" t="n">
        <v>200000</v>
      </c>
      <c r="K79" s="291" t="n">
        <v>200000</v>
      </c>
      <c r="L79" s="291" t="n">
        <v>600000</v>
      </c>
      <c r="M79" s="291" t="n">
        <v>96000</v>
      </c>
      <c r="N79" s="291" t="n">
        <v>696000</v>
      </c>
      <c r="O79" s="296" t="n">
        <v>420000</v>
      </c>
      <c r="P79" s="296" t="n">
        <v>420000</v>
      </c>
      <c r="Q79" s="296" t="n">
        <v>840000</v>
      </c>
      <c r="R79" s="296" t="n">
        <v>1260000</v>
      </c>
      <c r="S79" s="296" t="n">
        <v>201600</v>
      </c>
      <c r="T79" s="296" t="n">
        <v>1461600</v>
      </c>
      <c r="U79" s="78" t="inlineStr">
        <is>
          <t>OFTALMO</t>
        </is>
      </c>
      <c r="V79" s="81" t="inlineStr">
        <is>
          <t>TOPCON</t>
        </is>
      </c>
      <c r="W79" s="83" t="inlineStr">
        <is>
          <t>ADJUDICADO</t>
        </is>
      </c>
      <c r="X79" s="5" t="inlineStr">
        <is>
          <t>PROYECTADO</t>
        </is>
      </c>
    </row>
    <row r="80" ht="28.2" customHeight="1" s="227">
      <c r="A80" s="92" t="n">
        <v>99</v>
      </c>
      <c r="B80" s="68" t="inlineStr">
        <is>
          <t>DURANGO</t>
        </is>
      </c>
      <c r="C80" s="69" t="inlineStr">
        <is>
          <t>Rayos X fijo, marca Del Medical, modelo EV 800</t>
        </is>
      </c>
      <c r="D80" s="68" t="inlineStr">
        <is>
          <t>02776-1019-W</t>
        </is>
      </c>
      <c r="E80" s="69" t="inlineStr">
        <is>
          <t>H.M.Z. Cinco de Mayo</t>
        </is>
      </c>
      <c r="F80" s="95" t="inlineStr">
        <is>
          <t>Servicio de mantenimiento integral para: Rayos X fijo, marca Del Medical, modelo EV 800, serie 02776-1019-W; ubicado en H.M.Z. Cinco de Mayo, Dgo.
Consistente en 1 evento de mantenimiento preventivo por semestre y todos los mantenimientos correctivos que se requieran para mantener, conservar y/o recuperar la operatividad del equipo al 100% durante el periodo de cobertura.</t>
        </is>
      </c>
      <c r="G80" s="79" t="n">
        <v>1</v>
      </c>
      <c r="H80" s="79" t="n">
        <v>2</v>
      </c>
      <c r="I80" s="291" t="n">
        <v>150000</v>
      </c>
      <c r="J80" s="291">
        <f>I80</f>
        <v/>
      </c>
      <c r="K80" s="291">
        <f>J80</f>
        <v/>
      </c>
      <c r="L80" s="291">
        <f>I80+J80+K80</f>
        <v/>
      </c>
      <c r="M80" s="291">
        <f>L80*0.16</f>
        <v/>
      </c>
      <c r="N80" s="291">
        <f>L80+M80</f>
        <v/>
      </c>
      <c r="O80" s="296" t="n">
        <v>350000</v>
      </c>
      <c r="P80" s="296" t="n">
        <v>350000</v>
      </c>
      <c r="Q80" s="296" t="n">
        <v>700000</v>
      </c>
      <c r="R80" s="296" t="n">
        <v>1050000</v>
      </c>
      <c r="S80" s="296" t="n">
        <v>168000</v>
      </c>
      <c r="T80" s="296" t="n">
        <v>1218000</v>
      </c>
      <c r="U80" s="78" t="inlineStr">
        <is>
          <t>IMAGEN</t>
        </is>
      </c>
      <c r="V80" s="85" t="n"/>
      <c r="W80" s="103" t="inlineStr">
        <is>
          <t>ADJUDICADO</t>
        </is>
      </c>
      <c r="X80" s="5" t="inlineStr">
        <is>
          <t>NO PROYECTADO</t>
        </is>
      </c>
    </row>
    <row r="81" ht="28.2" customHeight="1" s="227">
      <c r="A81" s="92" t="n">
        <v>107</v>
      </c>
      <c r="B81" s="68" t="inlineStr">
        <is>
          <t>CDMX</t>
        </is>
      </c>
      <c r="C81" s="69" t="inlineStr">
        <is>
          <t>Rayos X móvil, marca Fujifilm, modelo DR-XD 1000</t>
        </is>
      </c>
      <c r="D81" s="68" t="inlineStr">
        <is>
          <t>77250288</t>
        </is>
      </c>
      <c r="E81" s="69" t="inlineStr">
        <is>
          <t>H.C.M. Lomas de Sotelo</t>
        </is>
      </c>
      <c r="F81" s="95" t="inlineStr">
        <is>
          <t>Servicio de mantenimiento integral para: Rayos X móvil, marca Fujifilm, modelo DR-XD 1000, serie 77250288;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1" s="79" t="n">
        <v>1</v>
      </c>
      <c r="H81" s="79" t="n">
        <v>2</v>
      </c>
      <c r="I81" s="291" t="n">
        <v>100000</v>
      </c>
      <c r="J81" s="291">
        <f>I81</f>
        <v/>
      </c>
      <c r="K81" s="291">
        <f>J81</f>
        <v/>
      </c>
      <c r="L81" s="291">
        <f>I81+J81+K81</f>
        <v/>
      </c>
      <c r="M81" s="291">
        <f>L81*0.16</f>
        <v/>
      </c>
      <c r="N81" s="291">
        <f>L81+M81</f>
        <v/>
      </c>
      <c r="O81" s="296" t="n">
        <v>220000</v>
      </c>
      <c r="P81" s="296" t="n">
        <v>220000</v>
      </c>
      <c r="Q81" s="296" t="n">
        <v>440000</v>
      </c>
      <c r="R81" s="296" t="n">
        <v>660000</v>
      </c>
      <c r="S81" s="296" t="n">
        <v>105600</v>
      </c>
      <c r="T81" s="296" t="n">
        <v>765600</v>
      </c>
      <c r="U81" s="78" t="inlineStr">
        <is>
          <t>IMAGEN</t>
        </is>
      </c>
      <c r="V81" s="85" t="n"/>
      <c r="W81" s="103" t="inlineStr">
        <is>
          <t>ADJUDICADO</t>
        </is>
      </c>
      <c r="X81" s="5" t="inlineStr">
        <is>
          <t>NO PROYECTADO</t>
        </is>
      </c>
    </row>
    <row r="82" ht="28.2" customHeight="1" s="227">
      <c r="A82" s="92" t="n">
        <v>111</v>
      </c>
      <c r="B82" s="68" t="inlineStr">
        <is>
          <t>CDMX</t>
        </is>
      </c>
      <c r="C82" s="69" t="inlineStr">
        <is>
          <t>Rayos X móvil, marca Fujifilm, modelo FDR Go</t>
        </is>
      </c>
      <c r="D82" s="68" t="inlineStr">
        <is>
          <t>566-19888-11</t>
        </is>
      </c>
      <c r="E82" s="69" t="inlineStr">
        <is>
          <t>H.M.E.M. Y N. Lomas de Sotelo</t>
        </is>
      </c>
      <c r="F82" s="95" t="inlineStr">
        <is>
          <t>Servicio de mantenimiento integral para: Rayos X móvil, marca Fujifilm, modelo FDR Go, serie 566-19888-11;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2" s="79" t="n">
        <v>1</v>
      </c>
      <c r="H82" s="79" t="n">
        <v>2</v>
      </c>
      <c r="I82" s="291" t="n">
        <v>100000</v>
      </c>
      <c r="J82" s="291">
        <f>I82</f>
        <v/>
      </c>
      <c r="K82" s="291">
        <f>J82</f>
        <v/>
      </c>
      <c r="L82" s="291">
        <f>I82+J82+K82</f>
        <v/>
      </c>
      <c r="M82" s="291">
        <f>L82*0.16</f>
        <v/>
      </c>
      <c r="N82" s="291">
        <f>L82+M82</f>
        <v/>
      </c>
      <c r="O82" s="296" t="n">
        <v>210000</v>
      </c>
      <c r="P82" s="296" t="n">
        <v>210000</v>
      </c>
      <c r="Q82" s="296" t="n">
        <v>420000</v>
      </c>
      <c r="R82" s="296" t="n">
        <v>630000</v>
      </c>
      <c r="S82" s="296" t="n">
        <v>100800</v>
      </c>
      <c r="T82" s="296" t="n">
        <v>730800</v>
      </c>
      <c r="U82" s="78" t="inlineStr">
        <is>
          <t>IMAGEN</t>
        </is>
      </c>
      <c r="V82" s="85" t="n"/>
      <c r="W82" s="103" t="inlineStr">
        <is>
          <t>ADJUDICADO</t>
        </is>
      </c>
      <c r="X82" s="5" t="inlineStr">
        <is>
          <t>NO PROYECTADO</t>
        </is>
      </c>
    </row>
    <row r="83" hidden="1" ht="28.2" customHeight="1" s="227">
      <c r="A83" s="86" t="n">
        <v>112</v>
      </c>
      <c r="B83" s="68" t="inlineStr">
        <is>
          <t>CDMX</t>
        </is>
      </c>
      <c r="C83" s="69" t="inlineStr">
        <is>
          <t>Sistema digital de imagen de campo amplio, marca Clarity Medical Systems, modelo RetCam 3</t>
        </is>
      </c>
      <c r="D83" s="68" t="inlineStr">
        <is>
          <t>RC7406</t>
        </is>
      </c>
      <c r="E83" s="69" t="inlineStr">
        <is>
          <t>H.M.E.M. Y N. Lomas de Sotelo</t>
        </is>
      </c>
      <c r="F83" s="95" t="inlineStr">
        <is>
          <t>Servicio de mantenimiento integral para: Sistema digital de imagen de campo amplio, marca Clarity Medical Systems, modelo RetCam 3, serie RC7406;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3" s="79" t="n">
        <v>1</v>
      </c>
      <c r="H83" s="79" t="n">
        <v>2</v>
      </c>
      <c r="I83" s="291" t="n">
        <v>150000</v>
      </c>
      <c r="J83" s="291" t="n">
        <v>150000</v>
      </c>
      <c r="K83" s="291" t="n">
        <v>150000</v>
      </c>
      <c r="L83" s="291" t="n">
        <v>450000</v>
      </c>
      <c r="M83" s="291" t="n">
        <v>72000</v>
      </c>
      <c r="N83" s="291" t="n">
        <v>522000</v>
      </c>
      <c r="O83" s="296" t="n">
        <v>320000</v>
      </c>
      <c r="P83" s="296" t="n">
        <v>320000</v>
      </c>
      <c r="Q83" s="296" t="n">
        <v>640000</v>
      </c>
      <c r="R83" s="296" t="n">
        <v>960000</v>
      </c>
      <c r="S83" s="296" t="n">
        <v>153600</v>
      </c>
      <c r="T83" s="296" t="n">
        <v>1113600</v>
      </c>
      <c r="U83" s="78" t="inlineStr">
        <is>
          <t>OFTALMO</t>
        </is>
      </c>
      <c r="V83" s="85" t="n"/>
      <c r="W83" s="83" t="inlineStr">
        <is>
          <t>ADJUDICADO</t>
        </is>
      </c>
      <c r="X83" s="5" t="inlineStr">
        <is>
          <t>PROYECTADO</t>
        </is>
      </c>
    </row>
    <row r="84" ht="28.2" customHeight="1" s="227">
      <c r="A84" s="92" t="n">
        <v>134</v>
      </c>
      <c r="B84" s="68" t="inlineStr">
        <is>
          <t>VERACRUZ</t>
        </is>
      </c>
      <c r="C84" s="69" t="inlineStr">
        <is>
          <t>Rayos X móvil, marca Fujifilm, modelo FDR Go</t>
        </is>
      </c>
      <c r="D84" s="68" t="inlineStr">
        <is>
          <t>41DBBA14A019</t>
        </is>
      </c>
      <c r="E84" s="69" t="inlineStr">
        <is>
          <t>H.M.R. Tuxpan</t>
        </is>
      </c>
      <c r="F84" s="95" t="inlineStr">
        <is>
          <t>Servicio de mantenimiento integral para: Rayos X móvil, marca Fujifilm, modelo FDR Go, serie 41DBBA14A019; ubicado en H.M.R. Tuxpan, Ver.
Consistente en 1 evento de mantenimiento preventivo por semestre y todos los mantenimientos correctivos que se requieran para mantener, conservar y/o recuperar la operatividad del equipo al 100% durante el periodo de cobertura.</t>
        </is>
      </c>
      <c r="G84" s="79" t="n">
        <v>1</v>
      </c>
      <c r="H84" s="79" t="n">
        <v>2</v>
      </c>
      <c r="I84" s="291" t="n">
        <v>70000</v>
      </c>
      <c r="J84" s="291">
        <f>I84</f>
        <v/>
      </c>
      <c r="K84" s="291">
        <f>J84</f>
        <v/>
      </c>
      <c r="L84" s="291">
        <f>I84+J84+K84</f>
        <v/>
      </c>
      <c r="M84" s="291">
        <f>L84*0.16</f>
        <v/>
      </c>
      <c r="N84" s="291">
        <f>L84+M84</f>
        <v/>
      </c>
      <c r="O84" s="296" t="n">
        <v>140000</v>
      </c>
      <c r="P84" s="296" t="n">
        <v>140000</v>
      </c>
      <c r="Q84" s="296" t="n">
        <v>280000</v>
      </c>
      <c r="R84" s="296" t="n">
        <v>420000</v>
      </c>
      <c r="S84" s="296" t="n">
        <v>67200</v>
      </c>
      <c r="T84" s="296" t="n">
        <v>487200</v>
      </c>
      <c r="U84" s="78" t="inlineStr">
        <is>
          <t>IMAGEN</t>
        </is>
      </c>
      <c r="V84" s="85" t="n"/>
      <c r="W84" s="103" t="inlineStr">
        <is>
          <t>ADJUDICADO</t>
        </is>
      </c>
      <c r="X84" s="5" t="inlineStr">
        <is>
          <t>NO PROYECTADO</t>
        </is>
      </c>
    </row>
    <row r="85" ht="28.2" customHeight="1" s="227">
      <c r="A85" s="92" t="n">
        <v>140</v>
      </c>
      <c r="B85" s="68" t="inlineStr">
        <is>
          <t>CHIAPAS</t>
        </is>
      </c>
      <c r="C85" s="69" t="inlineStr">
        <is>
          <t>Rayos X móvil, marca Fujifilm, modelo FDR Go</t>
        </is>
      </c>
      <c r="D85" s="68" t="inlineStr">
        <is>
          <t>41DBBA146046</t>
        </is>
      </c>
      <c r="E85" s="69" t="inlineStr">
        <is>
          <t>H.M.R. Tuxtla Gutiérrez</t>
        </is>
      </c>
      <c r="F85" s="95" t="inlineStr">
        <is>
          <t>Servicio de mantenimiento integral para: Rayos X móvil, marca Fujifilm, modelo FDR Go, serie 41DBBA146046;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85" s="79" t="n">
        <v>1</v>
      </c>
      <c r="H85" s="79" t="n">
        <v>2</v>
      </c>
      <c r="I85" s="291" t="n">
        <v>100000</v>
      </c>
      <c r="J85" s="291">
        <f>I85</f>
        <v/>
      </c>
      <c r="K85" s="291">
        <f>J85</f>
        <v/>
      </c>
      <c r="L85" s="291">
        <f>I85+J85+K85</f>
        <v/>
      </c>
      <c r="M85" s="291">
        <f>L85*0.16</f>
        <v/>
      </c>
      <c r="N85" s="291">
        <f>L85+M85</f>
        <v/>
      </c>
      <c r="O85" s="296" t="n">
        <v>230000</v>
      </c>
      <c r="P85" s="296" t="n">
        <v>230000</v>
      </c>
      <c r="Q85" s="296" t="n">
        <v>460000</v>
      </c>
      <c r="R85" s="296" t="n">
        <v>690000</v>
      </c>
      <c r="S85" s="296" t="n">
        <v>110400</v>
      </c>
      <c r="T85" s="296" t="n">
        <v>800400</v>
      </c>
      <c r="U85" s="78" t="inlineStr">
        <is>
          <t>IMAGEN</t>
        </is>
      </c>
      <c r="V85" s="85" t="n"/>
      <c r="W85" s="103" t="inlineStr">
        <is>
          <t>ADJUDICADO</t>
        </is>
      </c>
      <c r="X85" s="5" t="inlineStr">
        <is>
          <t>NO PROYECTADO</t>
        </is>
      </c>
    </row>
    <row r="86" ht="28.2" customHeight="1" s="227">
      <c r="A86" s="92" t="n">
        <v>144</v>
      </c>
      <c r="B86" s="68" t="inlineStr">
        <is>
          <t>YUCATAN</t>
        </is>
      </c>
      <c r="C86" s="69" t="inlineStr">
        <is>
          <t>Rayos X móvil, marca Villa Sistemi Medicali, modelo Visitor T30 M-DR</t>
        </is>
      </c>
      <c r="D86" s="68" t="inlineStr">
        <is>
          <t>17091017</t>
        </is>
      </c>
      <c r="E86" s="69" t="inlineStr">
        <is>
          <t>H.M.R.E. Mérida</t>
        </is>
      </c>
      <c r="F86" s="95" t="inlineStr">
        <is>
          <t>Servicio de mantenimiento integral para: Rayos X móvil, marca Villa Sistemi Medicali, modelo Visitor T30 M-DR, serie 17091017;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86" s="79" t="n">
        <v>1</v>
      </c>
      <c r="H86" s="79" t="n">
        <v>2</v>
      </c>
      <c r="I86" s="291" t="n">
        <v>150000</v>
      </c>
      <c r="J86" s="291">
        <f>I86</f>
        <v/>
      </c>
      <c r="K86" s="291">
        <f>J86</f>
        <v/>
      </c>
      <c r="L86" s="291">
        <f>I86+J86+K86</f>
        <v/>
      </c>
      <c r="M86" s="291">
        <f>L86*0.16</f>
        <v/>
      </c>
      <c r="N86" s="291">
        <f>L86+M86</f>
        <v/>
      </c>
      <c r="O86" s="296" t="n">
        <v>350000</v>
      </c>
      <c r="P86" s="296" t="n">
        <v>350000</v>
      </c>
      <c r="Q86" s="296" t="n">
        <v>700000</v>
      </c>
      <c r="R86" s="296" t="n">
        <v>1050000</v>
      </c>
      <c r="S86" s="296" t="n">
        <v>168000</v>
      </c>
      <c r="T86" s="296" t="n">
        <v>1218000</v>
      </c>
      <c r="U86" s="78" t="inlineStr">
        <is>
          <t>IMAGEN</t>
        </is>
      </c>
      <c r="V86" s="85" t="n"/>
      <c r="W86" s="103" t="inlineStr">
        <is>
          <t>ADJUDICADO</t>
        </is>
      </c>
      <c r="X86" s="5" t="inlineStr">
        <is>
          <t>NO PROYECTADO</t>
        </is>
      </c>
    </row>
    <row r="87" ht="28.2" customHeight="1" s="227">
      <c r="A87" s="92" t="n">
        <v>145</v>
      </c>
      <c r="B87" s="68" t="inlineStr">
        <is>
          <t>YUCATAN</t>
        </is>
      </c>
      <c r="C87" s="69" t="inlineStr">
        <is>
          <t>Equipo de rayos X móvil, marca Technix, modelo TMS 320</t>
        </is>
      </c>
      <c r="D87" s="68" t="inlineStr">
        <is>
          <t>80-16-103-174</t>
        </is>
      </c>
      <c r="E87" s="69" t="inlineStr">
        <is>
          <t>H.M.R.E. Mérida</t>
        </is>
      </c>
      <c r="F87" s="95" t="inlineStr">
        <is>
          <t>Servicio de mantenimiento integral para: Equipo de rayos X móvil, marca Technix, modelo TMS 320, serie 80-16-103-174;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87" s="79" t="n">
        <v>1</v>
      </c>
      <c r="H87" s="79" t="n">
        <v>2</v>
      </c>
      <c r="I87" s="291" t="n">
        <v>100000</v>
      </c>
      <c r="J87" s="291">
        <f>I87</f>
        <v/>
      </c>
      <c r="K87" s="291">
        <f>J87</f>
        <v/>
      </c>
      <c r="L87" s="291">
        <f>I87+J87+K87</f>
        <v/>
      </c>
      <c r="M87" s="291">
        <f>L87*0.16</f>
        <v/>
      </c>
      <c r="N87" s="291">
        <f>L87+M87</f>
        <v/>
      </c>
      <c r="O87" s="296" t="n">
        <v>220000</v>
      </c>
      <c r="P87" s="296" t="n">
        <v>220000</v>
      </c>
      <c r="Q87" s="296" t="n">
        <v>440000</v>
      </c>
      <c r="R87" s="296" t="n">
        <v>660000</v>
      </c>
      <c r="S87" s="296" t="n">
        <v>105600</v>
      </c>
      <c r="T87" s="296" t="n">
        <v>765600</v>
      </c>
      <c r="U87" s="78" t="inlineStr">
        <is>
          <t>IMAGEN</t>
        </is>
      </c>
      <c r="V87" s="85" t="n"/>
      <c r="W87" s="103" t="inlineStr">
        <is>
          <t>ADJUDICADO</t>
        </is>
      </c>
      <c r="X87" s="5" t="inlineStr">
        <is>
          <t>NO PROYECTADO</t>
        </is>
      </c>
    </row>
    <row r="88" ht="28.2" customHeight="1" s="227">
      <c r="A88" s="92" t="n">
        <v>149</v>
      </c>
      <c r="B88" s="68" t="inlineStr">
        <is>
          <t>SAN LUIS POTOSI</t>
        </is>
      </c>
      <c r="C88" s="69" t="inlineStr">
        <is>
          <t>Equipo de rayos X móvil, marca Technix, modelo TMS 320</t>
        </is>
      </c>
      <c r="D88" s="68" t="inlineStr">
        <is>
          <t>80-16-87-158</t>
        </is>
      </c>
      <c r="E88" s="69" t="inlineStr">
        <is>
          <t>H.M.R. San Luis Potosí</t>
        </is>
      </c>
      <c r="F88" s="95" t="inlineStr">
        <is>
          <t>Servicio de mantenimiento integral para: Equipo de rayos X móvil, marca Technix, modelo TMS 320, serie 80-16-87-158; ubicado en H.M.R. San Luis Potosí, S.L.P.
Consistente en 1 evento de mantenimiento preventivo por semestre y todos los mantenimientos correctivos que se requieran para mantener, conservar y/o recuperar la operatividad del equipo al 100% durante el periodo de cobertura.</t>
        </is>
      </c>
      <c r="G88" s="79" t="n">
        <v>1</v>
      </c>
      <c r="H88" s="79" t="n">
        <v>2</v>
      </c>
      <c r="I88" s="291" t="n">
        <v>100000</v>
      </c>
      <c r="J88" s="291">
        <f>I88</f>
        <v/>
      </c>
      <c r="K88" s="291">
        <f>J88</f>
        <v/>
      </c>
      <c r="L88" s="291">
        <f>I88+J88+K88</f>
        <v/>
      </c>
      <c r="M88" s="291">
        <f>L88*0.16</f>
        <v/>
      </c>
      <c r="N88" s="291">
        <f>L88+M88</f>
        <v/>
      </c>
      <c r="O88" s="296" t="n">
        <v>250000</v>
      </c>
      <c r="P88" s="296" t="n">
        <v>250000</v>
      </c>
      <c r="Q88" s="296" t="n">
        <v>500000</v>
      </c>
      <c r="R88" s="296" t="n">
        <v>750000</v>
      </c>
      <c r="S88" s="296" t="n">
        <v>120000</v>
      </c>
      <c r="T88" s="296" t="n">
        <v>870000</v>
      </c>
      <c r="U88" s="78" t="inlineStr">
        <is>
          <t>IMAGEN</t>
        </is>
      </c>
      <c r="V88" s="85" t="n"/>
      <c r="W88" s="103" t="inlineStr">
        <is>
          <t>ADJUDICADO</t>
        </is>
      </c>
      <c r="X88" s="5" t="inlineStr">
        <is>
          <t>NO PROYECTADO</t>
        </is>
      </c>
    </row>
    <row r="89" ht="28.2" customHeight="1" s="227">
      <c r="A89" s="92" t="n">
        <v>152</v>
      </c>
      <c r="B89" s="68" t="inlineStr">
        <is>
          <t>SINALOA</t>
        </is>
      </c>
      <c r="C89" s="69" t="inlineStr">
        <is>
          <t>Impresora para placas radiográficas, marca Codonics, modelo Horizon Ci</t>
        </is>
      </c>
      <c r="D89" s="68" t="inlineStr">
        <is>
          <t>50C00404C</t>
        </is>
      </c>
      <c r="E89" s="69" t="inlineStr">
        <is>
          <t>H.M.R.E. Mazatlán</t>
        </is>
      </c>
      <c r="F89" s="95" t="inlineStr">
        <is>
          <t>Servicio de mantenimiento integral para: Impresora para placas radiográficas, marca Codonics, modelo Horizon Ci, serie 50C00404C;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89" s="79" t="n">
        <v>1</v>
      </c>
      <c r="H89" s="79" t="n">
        <v>2</v>
      </c>
      <c r="I89" s="291" t="n">
        <v>150000</v>
      </c>
      <c r="J89" s="291">
        <f>I89</f>
        <v/>
      </c>
      <c r="K89" s="291">
        <f>J89</f>
        <v/>
      </c>
      <c r="L89" s="291">
        <f>I89+J89+K89</f>
        <v/>
      </c>
      <c r="M89" s="291">
        <f>L89*0.16</f>
        <v/>
      </c>
      <c r="N89" s="291">
        <f>L89+M89</f>
        <v/>
      </c>
      <c r="O89" s="296" t="n">
        <v>300000</v>
      </c>
      <c r="P89" s="296" t="n">
        <v>300000</v>
      </c>
      <c r="Q89" s="296" t="n">
        <v>600000</v>
      </c>
      <c r="R89" s="296" t="n">
        <v>900000</v>
      </c>
      <c r="S89" s="296" t="n">
        <v>144000</v>
      </c>
      <c r="T89" s="296" t="n">
        <v>1044000</v>
      </c>
      <c r="U89" s="78" t="inlineStr">
        <is>
          <t>IMAGEN</t>
        </is>
      </c>
      <c r="V89" s="85" t="n"/>
      <c r="W89" s="103" t="inlineStr">
        <is>
          <t>ADJUDICADO</t>
        </is>
      </c>
      <c r="X89" s="5" t="inlineStr">
        <is>
          <t>NO PROYECTADO</t>
        </is>
      </c>
    </row>
    <row r="90" hidden="1" ht="28.2" customHeight="1" s="227">
      <c r="A90" s="86" t="n">
        <v>154</v>
      </c>
      <c r="B90" s="68" t="inlineStr">
        <is>
          <t>SINALOA</t>
        </is>
      </c>
      <c r="C90" s="69" t="inlineStr">
        <is>
          <t>Microscopio para cirugía, marca Haag-Streit Surgical, modelo Moller Wedel</t>
        </is>
      </c>
      <c r="D90" s="68" t="inlineStr">
        <is>
          <t>30155514</t>
        </is>
      </c>
      <c r="E90" s="69" t="inlineStr">
        <is>
          <t>H.M.R.E. Mazatlán</t>
        </is>
      </c>
      <c r="F90" s="95" t="inlineStr">
        <is>
          <t>Servicio de mantenimiento integral para: Microscopio para cirugía, marca Haag-Streit Surgical, modelo Moller Wedel, serie 30155514;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90" s="79" t="n">
        <v>1</v>
      </c>
      <c r="H90" s="79" t="n">
        <v>2</v>
      </c>
      <c r="I90" s="291" t="n">
        <v>80000</v>
      </c>
      <c r="J90" s="291" t="n">
        <v>80000</v>
      </c>
      <c r="K90" s="291" t="n">
        <v>80000</v>
      </c>
      <c r="L90" s="291" t="n">
        <v>240000</v>
      </c>
      <c r="M90" s="291" t="n">
        <v>38400</v>
      </c>
      <c r="N90" s="291" t="n">
        <v>278400</v>
      </c>
      <c r="O90" s="296" t="n">
        <v>160000</v>
      </c>
      <c r="P90" s="296" t="n">
        <v>160000</v>
      </c>
      <c r="Q90" s="296" t="n">
        <v>320000</v>
      </c>
      <c r="R90" s="296" t="n">
        <v>480000</v>
      </c>
      <c r="S90" s="296" t="n">
        <v>76800</v>
      </c>
      <c r="T90" s="296" t="n">
        <v>556800</v>
      </c>
      <c r="U90" s="78" t="inlineStr">
        <is>
          <t>OFTALMO</t>
        </is>
      </c>
      <c r="V90" s="81" t="inlineStr">
        <is>
          <t>DEWIMED</t>
        </is>
      </c>
      <c r="W90" s="83" t="inlineStr">
        <is>
          <t>ADJUDICADO</t>
        </is>
      </c>
      <c r="X90" s="5" t="inlineStr">
        <is>
          <t>PROYECTADO</t>
        </is>
      </c>
    </row>
    <row r="91" ht="28.2" customHeight="1" s="227">
      <c r="A91" s="86" t="n">
        <v>156</v>
      </c>
      <c r="B91" s="68" t="inlineStr">
        <is>
          <t>CDMX</t>
        </is>
      </c>
      <c r="C91" s="69" t="inlineStr">
        <is>
          <t>Equipo de rayos X móvil, marca Technix, modelo TMS 320</t>
        </is>
      </c>
      <c r="D91" s="68" t="inlineStr">
        <is>
          <t>80-16-79-150</t>
        </is>
      </c>
      <c r="E91" s="69" t="inlineStr">
        <is>
          <t>H.C.M. Lomas de Sotelo</t>
        </is>
      </c>
      <c r="F91" s="95" t="inlineStr">
        <is>
          <t>Servicio de mantenimiento integral para: Equipo de rayos X móvil, marca Technix, modelo TMS 320, serie 80-16-79-150;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91" s="79" t="n">
        <v>1</v>
      </c>
      <c r="H91" s="79" t="n">
        <v>2</v>
      </c>
      <c r="I91" s="291" t="n">
        <v>100000</v>
      </c>
      <c r="J91" s="291">
        <f>I91</f>
        <v/>
      </c>
      <c r="K91" s="291">
        <f>J91</f>
        <v/>
      </c>
      <c r="L91" s="291">
        <f>I91+J91+K91</f>
        <v/>
      </c>
      <c r="M91" s="291">
        <f>L91*0.16</f>
        <v/>
      </c>
      <c r="N91" s="291">
        <f>L91+M91</f>
        <v/>
      </c>
      <c r="O91" s="296" t="n">
        <v>220000</v>
      </c>
      <c r="P91" s="296" t="n">
        <v>220000</v>
      </c>
      <c r="Q91" s="296" t="n">
        <v>440000</v>
      </c>
      <c r="R91" s="296" t="n">
        <v>660000</v>
      </c>
      <c r="S91" s="296" t="n">
        <v>105600</v>
      </c>
      <c r="T91" s="296" t="n">
        <v>765600</v>
      </c>
      <c r="U91" s="78" t="inlineStr">
        <is>
          <t>IMAGEN</t>
        </is>
      </c>
      <c r="V91" s="85" t="n"/>
      <c r="W91" s="83" t="inlineStr">
        <is>
          <t>ADJUDICADO</t>
        </is>
      </c>
      <c r="X91" s="5" t="inlineStr">
        <is>
          <t>PROYECTADO</t>
        </is>
      </c>
    </row>
    <row r="92" hidden="1" ht="28.2" customHeight="1" s="227">
      <c r="A92" s="86" t="n">
        <v>159</v>
      </c>
      <c r="B92" s="68" t="inlineStr">
        <is>
          <t>NUEVO LEON</t>
        </is>
      </c>
      <c r="C92" s="69" t="inlineStr">
        <is>
          <t>Microscopio para cirugía, marca Haag-Streit Surgical, modelo HS Hi-R 700</t>
        </is>
      </c>
      <c r="D92" s="68" t="inlineStr">
        <is>
          <t>1303</t>
        </is>
      </c>
      <c r="E92" s="69" t="inlineStr">
        <is>
          <t>H.M.R.E. Monterrey</t>
        </is>
      </c>
      <c r="F92" s="95" t="inlineStr">
        <is>
          <t>Servicio de mantenimiento integral para: Microscopio para cirugía, marca Haag-Streit Surgical, modelo HS Hi-R 700, serie 1303;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92" s="79" t="n">
        <v>1</v>
      </c>
      <c r="H92" s="79" t="n">
        <v>2</v>
      </c>
      <c r="I92" s="291" t="n">
        <v>80000</v>
      </c>
      <c r="J92" s="291" t="n">
        <v>80000</v>
      </c>
      <c r="K92" s="291" t="n">
        <v>80000</v>
      </c>
      <c r="L92" s="291" t="n">
        <v>240000</v>
      </c>
      <c r="M92" s="291" t="n">
        <v>38400</v>
      </c>
      <c r="N92" s="291" t="n">
        <v>278400</v>
      </c>
      <c r="O92" s="296" t="n">
        <v>160000</v>
      </c>
      <c r="P92" s="296" t="n">
        <v>160000</v>
      </c>
      <c r="Q92" s="296" t="n">
        <v>320000</v>
      </c>
      <c r="R92" s="296" t="n">
        <v>480000</v>
      </c>
      <c r="S92" s="296" t="n">
        <v>76800</v>
      </c>
      <c r="T92" s="296" t="n">
        <v>556800</v>
      </c>
      <c r="U92" s="78" t="inlineStr">
        <is>
          <t>OFTALMO</t>
        </is>
      </c>
      <c r="V92" s="81" t="inlineStr">
        <is>
          <t>DEWIMED</t>
        </is>
      </c>
      <c r="W92" s="83" t="inlineStr">
        <is>
          <t>ADJUDICADO</t>
        </is>
      </c>
      <c r="X92" s="5" t="inlineStr">
        <is>
          <t>PROYECTADO</t>
        </is>
      </c>
    </row>
    <row r="93" ht="28.2" customHeight="1" s="227">
      <c r="A93" s="92" t="n">
        <v>162</v>
      </c>
      <c r="B93" s="68" t="inlineStr">
        <is>
          <t>TAMAULIPAS</t>
        </is>
      </c>
      <c r="C93" s="69" t="inlineStr">
        <is>
          <t>Equipo de rayos X móvil, marca Technix, modelo TMS 320</t>
        </is>
      </c>
      <c r="D93" s="68" t="inlineStr">
        <is>
          <t>80-16-89-160</t>
        </is>
      </c>
      <c r="E93" s="69" t="inlineStr">
        <is>
          <t>H.M.R. Tampico</t>
        </is>
      </c>
      <c r="F93" s="95" t="inlineStr">
        <is>
          <t>Servicio de mantenimiento integral para: Equipo de rayos X móvil, marca Technix, modelo TMS 320, serie 80-16-89-160; ubicado en H.M.R. Tampico, Tamps.
Consistente en 1 evento de mantenimiento preventivo por semestre y todos los mantenimientos correctivos que se requieran para mantener, conservar y/o recuperar la operatividad del equipo al 100% durante el periodo de cobertura.</t>
        </is>
      </c>
      <c r="G93" s="79" t="n">
        <v>1</v>
      </c>
      <c r="H93" s="79" t="n">
        <v>2</v>
      </c>
      <c r="I93" s="291" t="n">
        <v>150000</v>
      </c>
      <c r="J93" s="291">
        <f>I93</f>
        <v/>
      </c>
      <c r="K93" s="291">
        <f>J93</f>
        <v/>
      </c>
      <c r="L93" s="291">
        <f>I93+J93+K93</f>
        <v/>
      </c>
      <c r="M93" s="291">
        <f>L93*0.16</f>
        <v/>
      </c>
      <c r="N93" s="291">
        <f>L93+M93</f>
        <v/>
      </c>
      <c r="O93" s="296" t="n">
        <v>300000</v>
      </c>
      <c r="P93" s="296" t="n">
        <v>300000</v>
      </c>
      <c r="Q93" s="296" t="n">
        <v>600000</v>
      </c>
      <c r="R93" s="296" t="n">
        <v>900000</v>
      </c>
      <c r="S93" s="296" t="n">
        <v>144000</v>
      </c>
      <c r="T93" s="296" t="n">
        <v>1044000</v>
      </c>
      <c r="U93" s="78" t="inlineStr">
        <is>
          <t>IMAGEN</t>
        </is>
      </c>
      <c r="V93" s="85" t="n"/>
      <c r="W93" s="103" t="inlineStr">
        <is>
          <t>ADJUDICADO</t>
        </is>
      </c>
      <c r="X93" s="5" t="inlineStr">
        <is>
          <t>NO PROYECTADO</t>
        </is>
      </c>
    </row>
    <row r="94" ht="28.2" customHeight="1" s="227">
      <c r="A94" s="92" t="n">
        <v>163</v>
      </c>
      <c r="B94" s="68" t="inlineStr">
        <is>
          <t>CDMX</t>
        </is>
      </c>
      <c r="C94" s="69" t="inlineStr">
        <is>
          <t>Equipo de rayos X móvil, marca Technix, modelo TMS 320</t>
        </is>
      </c>
      <c r="D94" s="68" t="inlineStr">
        <is>
          <t>80-16-90-161</t>
        </is>
      </c>
      <c r="E94" s="69" t="inlineStr">
        <is>
          <t>H.M.Z. El Vergel, Iztapalapa</t>
        </is>
      </c>
      <c r="F94" s="95" t="inlineStr">
        <is>
          <t>Servicio de mantenimiento integral para: Equipo de rayos X móvil, marca Technix, modelo TMS 320, serie 80-16-90-161; ubicado en H.M.Z. El Vergel, Iztapalapa,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94" s="79" t="n">
        <v>1</v>
      </c>
      <c r="H94" s="79" t="n">
        <v>2</v>
      </c>
      <c r="I94" s="291" t="n">
        <v>100000</v>
      </c>
      <c r="J94" s="291">
        <f>I94</f>
        <v/>
      </c>
      <c r="K94" s="291">
        <f>J94</f>
        <v/>
      </c>
      <c r="L94" s="291">
        <f>I94+J94+K94</f>
        <v/>
      </c>
      <c r="M94" s="291">
        <f>L94*0.16</f>
        <v/>
      </c>
      <c r="N94" s="291">
        <f>L94+M94</f>
        <v/>
      </c>
      <c r="O94" s="296" t="n">
        <v>220000</v>
      </c>
      <c r="P94" s="296" t="n">
        <v>220000</v>
      </c>
      <c r="Q94" s="296" t="n">
        <v>440000</v>
      </c>
      <c r="R94" s="296" t="n">
        <v>660000</v>
      </c>
      <c r="S94" s="296" t="n">
        <v>105600</v>
      </c>
      <c r="T94" s="296" t="n">
        <v>765600</v>
      </c>
      <c r="U94" s="78" t="inlineStr">
        <is>
          <t>IMAGEN</t>
        </is>
      </c>
      <c r="V94" s="85" t="n"/>
      <c r="W94" s="103" t="inlineStr">
        <is>
          <t>ADJUDICADO</t>
        </is>
      </c>
      <c r="X94" s="5" t="inlineStr">
        <is>
          <t>NO PROYECTADO</t>
        </is>
      </c>
    </row>
    <row r="95" ht="28.2" customHeight="1" s="227">
      <c r="A95" s="92" t="n">
        <v>164</v>
      </c>
      <c r="B95" s="68" t="inlineStr">
        <is>
          <t>JALISCO</t>
        </is>
      </c>
      <c r="C95" s="69" t="inlineStr">
        <is>
          <t>Equipo de rayos X móvil, marca Technix, modelo TMS 320</t>
        </is>
      </c>
      <c r="D95" s="68" t="inlineStr">
        <is>
          <t>80-16-95-166</t>
        </is>
      </c>
      <c r="E95" s="69" t="inlineStr">
        <is>
          <t>H.M.Z. Zapopan</t>
        </is>
      </c>
      <c r="F95" s="95" t="inlineStr">
        <is>
          <t>Servicio de mantenimiento integral para: Equipo de rayos X móvil, marca Technix, modelo TMS 320, serie 80-16-95-166;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95" s="79" t="n">
        <v>1</v>
      </c>
      <c r="H95" s="79" t="n">
        <v>2</v>
      </c>
      <c r="I95" s="291" t="n">
        <v>100000</v>
      </c>
      <c r="J95" s="291">
        <f>I95</f>
        <v/>
      </c>
      <c r="K95" s="291">
        <f>J95</f>
        <v/>
      </c>
      <c r="L95" s="291">
        <f>I95+J95+K95</f>
        <v/>
      </c>
      <c r="M95" s="291">
        <f>L95*0.16</f>
        <v/>
      </c>
      <c r="N95" s="291">
        <f>L95+M95</f>
        <v/>
      </c>
      <c r="O95" s="296" t="n">
        <v>220000</v>
      </c>
      <c r="P95" s="296" t="n">
        <v>220000</v>
      </c>
      <c r="Q95" s="296" t="n">
        <v>440000</v>
      </c>
      <c r="R95" s="296" t="n">
        <v>660000</v>
      </c>
      <c r="S95" s="296" t="n">
        <v>105600</v>
      </c>
      <c r="T95" s="296" t="n">
        <v>765600</v>
      </c>
      <c r="U95" s="78" t="inlineStr">
        <is>
          <t>IMAGEN</t>
        </is>
      </c>
      <c r="V95" s="85" t="n"/>
      <c r="W95" s="103" t="inlineStr">
        <is>
          <t>ADJUDICADO</t>
        </is>
      </c>
      <c r="X95" s="5" t="inlineStr">
        <is>
          <t>NO PROYECTADO</t>
        </is>
      </c>
    </row>
    <row r="96" ht="28.2" customHeight="1" s="227">
      <c r="A96" s="92" t="n">
        <v>165</v>
      </c>
      <c r="B96" s="68" t="inlineStr">
        <is>
          <t>EDO DE MEX</t>
        </is>
      </c>
      <c r="C96" s="69" t="inlineStr">
        <is>
          <t>Equipo de rayos X móvil, marca Technix, modelo TMS 320</t>
        </is>
      </c>
      <c r="D96" s="68" t="inlineStr">
        <is>
          <t>80-16-105-176</t>
        </is>
      </c>
      <c r="E96" s="69" t="inlineStr">
        <is>
          <t>H.M.Z. Temamatla</t>
        </is>
      </c>
      <c r="F96" s="95" t="inlineStr">
        <is>
          <t>Servicio de mantenimiento integral para: Equipo de rayos X móvil, marca Technix, modelo TMS 320, serie 80-16-105-176;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96" s="79" t="n">
        <v>1</v>
      </c>
      <c r="H96" s="79" t="n">
        <v>2</v>
      </c>
      <c r="I96" s="291" t="n">
        <v>100000</v>
      </c>
      <c r="J96" s="291">
        <f>I96</f>
        <v/>
      </c>
      <c r="K96" s="291">
        <f>J96</f>
        <v/>
      </c>
      <c r="L96" s="291">
        <f>I96+J96+K96</f>
        <v/>
      </c>
      <c r="M96" s="291">
        <f>L96*0.16</f>
        <v/>
      </c>
      <c r="N96" s="291">
        <f>L96+M96</f>
        <v/>
      </c>
      <c r="O96" s="296" t="n">
        <v>220000</v>
      </c>
      <c r="P96" s="296" t="n">
        <v>220000</v>
      </c>
      <c r="Q96" s="296" t="n">
        <v>440000</v>
      </c>
      <c r="R96" s="296" t="n">
        <v>660000</v>
      </c>
      <c r="S96" s="296" t="n">
        <v>105600</v>
      </c>
      <c r="T96" s="296" t="n">
        <v>765600</v>
      </c>
      <c r="U96" s="78" t="inlineStr">
        <is>
          <t>IMAGEN</t>
        </is>
      </c>
      <c r="V96" s="85" t="n"/>
      <c r="W96" s="103" t="inlineStr">
        <is>
          <t>ADJUDICADO</t>
        </is>
      </c>
      <c r="X96" s="5" t="inlineStr">
        <is>
          <t>NO PROYECTADO</t>
        </is>
      </c>
    </row>
    <row r="97" ht="28.2" customHeight="1" s="227">
      <c r="A97" s="92" t="n">
        <v>166</v>
      </c>
      <c r="B97" s="68" t="inlineStr">
        <is>
          <t>OAXACA</t>
        </is>
      </c>
      <c r="C97" s="69" t="inlineStr">
        <is>
          <t>Equipo de rayos X móvil, marca Technix, modelo TMS 320</t>
        </is>
      </c>
      <c r="D97" s="68" t="inlineStr">
        <is>
          <t>80-16-104-175</t>
        </is>
      </c>
      <c r="E97" s="69" t="inlineStr">
        <is>
          <t>H.M.Z. Ixcotel</t>
        </is>
      </c>
      <c r="F97" s="95" t="inlineStr">
        <is>
          <t>Servicio de mantenimiento integral para: Equipo de rayos X móvil, marca Technix, modelo TMS 320, serie 80-16-104-175;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97" s="79" t="n">
        <v>1</v>
      </c>
      <c r="H97" s="79" t="n">
        <v>2</v>
      </c>
      <c r="I97" s="291" t="n">
        <v>150000</v>
      </c>
      <c r="J97" s="291">
        <f>I97</f>
        <v/>
      </c>
      <c r="K97" s="291">
        <f>J97</f>
        <v/>
      </c>
      <c r="L97" s="291">
        <f>I97+J97+K97</f>
        <v/>
      </c>
      <c r="M97" s="291">
        <f>L97*0.16</f>
        <v/>
      </c>
      <c r="N97" s="291">
        <f>L97+M97</f>
        <v/>
      </c>
      <c r="O97" s="296" t="n">
        <v>300000</v>
      </c>
      <c r="P97" s="296" t="n">
        <v>300000</v>
      </c>
      <c r="Q97" s="296" t="n">
        <v>600000</v>
      </c>
      <c r="R97" s="296" t="n">
        <v>900000</v>
      </c>
      <c r="S97" s="296" t="n">
        <v>144000</v>
      </c>
      <c r="T97" s="296" t="n">
        <v>1044000</v>
      </c>
      <c r="U97" s="78" t="inlineStr">
        <is>
          <t>IMAGEN</t>
        </is>
      </c>
      <c r="V97" s="85" t="n"/>
      <c r="W97" s="103" t="inlineStr">
        <is>
          <t>ADJUDICADO</t>
        </is>
      </c>
      <c r="X97" s="5" t="inlineStr">
        <is>
          <t>NO PROYECTADO</t>
        </is>
      </c>
    </row>
    <row r="98" ht="28.2" customHeight="1" s="227">
      <c r="A98" s="92" t="n">
        <v>167</v>
      </c>
      <c r="B98" s="68" t="inlineStr">
        <is>
          <t>SONORA</t>
        </is>
      </c>
      <c r="C98" s="69" t="inlineStr">
        <is>
          <t>Equipo de rayos X móvil, marca Technix, modelo TMS 320</t>
        </is>
      </c>
      <c r="D98" s="68" t="inlineStr">
        <is>
          <t>80-16-80-151</t>
        </is>
      </c>
      <c r="E98" s="69" t="inlineStr">
        <is>
          <t>H.M.R. Hermosillo</t>
        </is>
      </c>
      <c r="F98" s="95" t="inlineStr">
        <is>
          <t>Servicio de mantenimiento integral para: Equipo de rayos X móvil, marca Technix, modelo TMS 320, serie 80-16-80-151; ubicado en H.M.R. 
Hermosillo, Son.
Consistente en 1 evento de mantenimiento preventivo por semestre y todos los mantenimientos correctivos que se requieran para mantener, conservar y/o recuperar la operatividad del equipo al 100% durante el periodo de cobertura.</t>
        </is>
      </c>
      <c r="G98" s="79" t="n">
        <v>1</v>
      </c>
      <c r="H98" s="79" t="n">
        <v>2</v>
      </c>
      <c r="I98" s="291" t="n">
        <v>150000</v>
      </c>
      <c r="J98" s="291">
        <f>I98</f>
        <v/>
      </c>
      <c r="K98" s="291">
        <f>J98</f>
        <v/>
      </c>
      <c r="L98" s="291">
        <f>I98+J98+K98</f>
        <v/>
      </c>
      <c r="M98" s="291">
        <f>L98*0.16</f>
        <v/>
      </c>
      <c r="N98" s="291">
        <f>L98+M98</f>
        <v/>
      </c>
      <c r="O98" s="296" t="n">
        <v>300000</v>
      </c>
      <c r="P98" s="296" t="n">
        <v>300000</v>
      </c>
      <c r="Q98" s="296" t="n">
        <v>600000</v>
      </c>
      <c r="R98" s="296" t="n">
        <v>900000</v>
      </c>
      <c r="S98" s="296" t="n">
        <v>144000</v>
      </c>
      <c r="T98" s="296" t="n">
        <v>1044000</v>
      </c>
      <c r="U98" s="78" t="inlineStr">
        <is>
          <t>IMAGEN</t>
        </is>
      </c>
      <c r="V98" s="85" t="n"/>
      <c r="W98" s="103" t="inlineStr">
        <is>
          <t>ADJUDICADO</t>
        </is>
      </c>
      <c r="X98" s="5" t="inlineStr">
        <is>
          <t>NO PROYECTADO</t>
        </is>
      </c>
    </row>
    <row r="99" ht="28.2" customHeight="1" s="227">
      <c r="A99" s="92" t="n">
        <v>168</v>
      </c>
      <c r="B99" s="68" t="inlineStr">
        <is>
          <t>CHIAPAS</t>
        </is>
      </c>
      <c r="C99" s="69" t="inlineStr">
        <is>
          <t>Equipo de rayos X móvil, marca Technix, modelo TMS 320</t>
        </is>
      </c>
      <c r="D99" s="68" t="inlineStr">
        <is>
          <t>80-16-102-173</t>
        </is>
      </c>
      <c r="E99" s="69" t="inlineStr">
        <is>
          <t>H.M.R. Tuxtla Gutiérrez</t>
        </is>
      </c>
      <c r="F99" s="95" t="inlineStr">
        <is>
          <t>Servicio de mantenimiento integral para: Equipo de rayos X móvil, marca Technix, modelo TMS 320, serie 80-16-102-173;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99" s="79" t="n">
        <v>1</v>
      </c>
      <c r="H99" s="79" t="n">
        <v>2</v>
      </c>
      <c r="I99" s="291" t="n">
        <v>100000</v>
      </c>
      <c r="J99" s="291">
        <f>I99</f>
        <v/>
      </c>
      <c r="K99" s="291">
        <f>J99</f>
        <v/>
      </c>
      <c r="L99" s="291">
        <f>I99+J99+K99</f>
        <v/>
      </c>
      <c r="M99" s="291">
        <f>L99*0.16</f>
        <v/>
      </c>
      <c r="N99" s="291">
        <f>L99+M99</f>
        <v/>
      </c>
      <c r="O99" s="296" t="n">
        <v>250000</v>
      </c>
      <c r="P99" s="296" t="n">
        <v>250000</v>
      </c>
      <c r="Q99" s="296" t="n">
        <v>500000</v>
      </c>
      <c r="R99" s="296" t="n">
        <v>750000</v>
      </c>
      <c r="S99" s="296" t="n">
        <v>120000</v>
      </c>
      <c r="T99" s="296" t="n">
        <v>870000</v>
      </c>
      <c r="U99" s="78" t="inlineStr">
        <is>
          <t>IMAGEN</t>
        </is>
      </c>
      <c r="V99" s="85" t="n"/>
      <c r="W99" s="103" t="inlineStr">
        <is>
          <t>ADJUDICADO</t>
        </is>
      </c>
      <c r="X99" s="5" t="inlineStr">
        <is>
          <t>NO PROYECTADO</t>
        </is>
      </c>
    </row>
    <row r="100" ht="28.2" customHeight="1" s="227">
      <c r="A100" s="92" t="n">
        <v>171</v>
      </c>
      <c r="B100" s="68" t="inlineStr">
        <is>
          <t>MORELOS</t>
        </is>
      </c>
      <c r="C100" s="69" t="inlineStr">
        <is>
          <t>Equipo de rayos X móvil, marca Technix, modelo TMS 320</t>
        </is>
      </c>
      <c r="D100" s="68" t="inlineStr">
        <is>
          <t>80-16-88-159</t>
        </is>
      </c>
      <c r="E100" s="69" t="inlineStr">
        <is>
          <t>H.M.Z. Cuernavaca</t>
        </is>
      </c>
      <c r="F100" s="95" t="inlineStr">
        <is>
          <t>Servicio de mantenimiento integral para: Equipo de rayos X móvil, marca Technix, modelo TMS 320, serie 80-16-88-159;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G100" s="79" t="n">
        <v>1</v>
      </c>
      <c r="H100" s="79" t="n">
        <v>2</v>
      </c>
      <c r="I100" s="291" t="n">
        <v>100000</v>
      </c>
      <c r="J100" s="291">
        <f>I100</f>
        <v/>
      </c>
      <c r="K100" s="291">
        <f>J100</f>
        <v/>
      </c>
      <c r="L100" s="291">
        <f>I100+J100+K100</f>
        <v/>
      </c>
      <c r="M100" s="291">
        <f>L100*0.16</f>
        <v/>
      </c>
      <c r="N100" s="291">
        <f>L100+M100</f>
        <v/>
      </c>
      <c r="O100" s="296" t="n">
        <v>230000</v>
      </c>
      <c r="P100" s="296" t="n">
        <v>230000</v>
      </c>
      <c r="Q100" s="296" t="n">
        <v>460000</v>
      </c>
      <c r="R100" s="296" t="n">
        <v>690000</v>
      </c>
      <c r="S100" s="296" t="n">
        <v>110400</v>
      </c>
      <c r="T100" s="296" t="n">
        <v>800400</v>
      </c>
      <c r="U100" s="78" t="inlineStr">
        <is>
          <t>IMAGEN</t>
        </is>
      </c>
      <c r="V100" s="85" t="n"/>
      <c r="W100" s="103" t="inlineStr">
        <is>
          <t>ADJUDICADO</t>
        </is>
      </c>
      <c r="X100" s="5" t="inlineStr">
        <is>
          <t>NO PROYECTADO</t>
        </is>
      </c>
    </row>
    <row r="101" ht="28.2" customHeight="1" s="227">
      <c r="A101" s="92" t="n">
        <v>172</v>
      </c>
      <c r="B101" s="68" t="inlineStr">
        <is>
          <t>BAJA CALIFORNIA</t>
        </is>
      </c>
      <c r="C101" s="69" t="inlineStr">
        <is>
          <t>Equipo de rayos X móvil, marca Technix, modelo TMS 320</t>
        </is>
      </c>
      <c r="D101" s="68" t="inlineStr">
        <is>
          <t>80-16-83-154</t>
        </is>
      </c>
      <c r="E101" s="69" t="inlineStr">
        <is>
          <t>H.M.Z. Mexicali</t>
        </is>
      </c>
      <c r="F101" s="95" t="inlineStr">
        <is>
          <t>Servicio de mantenimiento integral para: Equipo de rayos X móvil, marca Technix, modelo TMS 320, serie 80-16-83-154; ubicado en H.M.Z. Mexicali, B.C.
Consistente en 1 evento de mantenimiento preventivo por semestre y todos los mantenimientos correctivos que se requieran para mantener, conservar y/o recuperar la operatividad del equipo al 100% durante el periodo de cobertura.</t>
        </is>
      </c>
      <c r="G101" s="79" t="n">
        <v>1</v>
      </c>
      <c r="H101" s="79" t="n">
        <v>2</v>
      </c>
      <c r="I101" s="291" t="n">
        <v>150000</v>
      </c>
      <c r="J101" s="291">
        <f>I101</f>
        <v/>
      </c>
      <c r="K101" s="291">
        <f>J101</f>
        <v/>
      </c>
      <c r="L101" s="291">
        <f>I101+J101+K101</f>
        <v/>
      </c>
      <c r="M101" s="291">
        <f>L101*0.16</f>
        <v/>
      </c>
      <c r="N101" s="291">
        <f>L101+M101</f>
        <v/>
      </c>
      <c r="O101" s="296" t="n">
        <v>300000</v>
      </c>
      <c r="P101" s="296" t="n">
        <v>300000</v>
      </c>
      <c r="Q101" s="296" t="n">
        <v>600000</v>
      </c>
      <c r="R101" s="296" t="n">
        <v>900000</v>
      </c>
      <c r="S101" s="296" t="n">
        <v>144000</v>
      </c>
      <c r="T101" s="296" t="n">
        <v>1044000</v>
      </c>
      <c r="U101" s="78" t="inlineStr">
        <is>
          <t>IMAGEN</t>
        </is>
      </c>
      <c r="V101" s="85" t="n"/>
      <c r="W101" s="103" t="inlineStr">
        <is>
          <t>ADJUDICADO</t>
        </is>
      </c>
      <c r="X101" s="5" t="inlineStr">
        <is>
          <t>NO PROYECTADO</t>
        </is>
      </c>
    </row>
    <row r="102" ht="28.2" customHeight="1" s="227">
      <c r="A102" s="92" t="n">
        <v>175</v>
      </c>
      <c r="B102" s="68" t="inlineStr">
        <is>
          <t>BAJA CALIFORNIA</t>
        </is>
      </c>
      <c r="C102" s="69" t="inlineStr">
        <is>
          <t>Equipo de rayos X móvil, marca Technix, modelo TMS 320</t>
        </is>
      </c>
      <c r="D102" s="68" t="inlineStr">
        <is>
          <t>80-16-81-152</t>
        </is>
      </c>
      <c r="E102" s="69" t="inlineStr">
        <is>
          <t>H.M.R. El Ciprés</t>
        </is>
      </c>
      <c r="F102" s="95" t="inlineStr">
        <is>
          <t>Servicio de mantenimiento integral para: Equipo de rayos X móvil, marca Technix, modelo TMS 320, serie 80-16-81-152; ubicado en H.M.R. El Ciprés, B.C.
Consistente en 1 evento de mantenimiento preventivo por semestre y todos los mantenimientos correctivos que se requieran para mantener, conservar y/o recuperar la operatividad del equipo al 100% durante el periodo de cobertura.</t>
        </is>
      </c>
      <c r="G102" s="79" t="n">
        <v>1</v>
      </c>
      <c r="H102" s="79" t="n">
        <v>2</v>
      </c>
      <c r="I102" s="291" t="n">
        <v>150000</v>
      </c>
      <c r="J102" s="291">
        <f>I102</f>
        <v/>
      </c>
      <c r="K102" s="291">
        <f>J102</f>
        <v/>
      </c>
      <c r="L102" s="291">
        <f>I102+J102+K102</f>
        <v/>
      </c>
      <c r="M102" s="291">
        <f>L102*0.16</f>
        <v/>
      </c>
      <c r="N102" s="291">
        <f>L102+M102</f>
        <v/>
      </c>
      <c r="O102" s="296" t="n">
        <v>300000</v>
      </c>
      <c r="P102" s="296" t="n">
        <v>300000</v>
      </c>
      <c r="Q102" s="296" t="n">
        <v>600000</v>
      </c>
      <c r="R102" s="296" t="n">
        <v>900000</v>
      </c>
      <c r="S102" s="296" t="n">
        <v>144000</v>
      </c>
      <c r="T102" s="296" t="n">
        <v>1044000</v>
      </c>
      <c r="U102" s="78" t="inlineStr">
        <is>
          <t>IMAGEN</t>
        </is>
      </c>
      <c r="V102" s="85" t="n"/>
      <c r="W102" s="103" t="inlineStr">
        <is>
          <t>ADJUDICADO</t>
        </is>
      </c>
      <c r="X102" s="5" t="inlineStr">
        <is>
          <t>NO PROYECTADO</t>
        </is>
      </c>
    </row>
    <row r="103" ht="28.2" customHeight="1" s="227">
      <c r="A103" s="92" t="n">
        <v>179</v>
      </c>
      <c r="B103" s="68" t="inlineStr">
        <is>
          <t>JALISCO</t>
        </is>
      </c>
      <c r="C103" s="69" t="inlineStr">
        <is>
          <t>Equipo de rayos X móvil, marca Technix, modelo TMS 320</t>
        </is>
      </c>
      <c r="D103" s="68" t="inlineStr">
        <is>
          <t>80-16-91-162</t>
        </is>
      </c>
      <c r="E103" s="69" t="inlineStr">
        <is>
          <t>H.M.R.E. Guadalajara</t>
        </is>
      </c>
      <c r="F103" s="95" t="inlineStr">
        <is>
          <t>Servicio de mantenimiento integral para: Equipo de rayos X móvil, marca Technix, modelo TMS 320, serie 80-16-91-162;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03" s="79" t="n">
        <v>1</v>
      </c>
      <c r="H103" s="79" t="n">
        <v>2</v>
      </c>
      <c r="I103" s="291" t="n">
        <v>100000</v>
      </c>
      <c r="J103" s="291">
        <f>I103</f>
        <v/>
      </c>
      <c r="K103" s="291">
        <f>J103</f>
        <v/>
      </c>
      <c r="L103" s="291">
        <f>I103+J103+K103</f>
        <v/>
      </c>
      <c r="M103" s="291">
        <f>L103*0.16</f>
        <v/>
      </c>
      <c r="N103" s="291">
        <f>L103+M103</f>
        <v/>
      </c>
      <c r="O103" s="296" t="n">
        <v>230000</v>
      </c>
      <c r="P103" s="296" t="n">
        <v>230000</v>
      </c>
      <c r="Q103" s="296" t="n">
        <v>460000</v>
      </c>
      <c r="R103" s="296" t="n">
        <v>690000</v>
      </c>
      <c r="S103" s="296" t="n">
        <v>110400</v>
      </c>
      <c r="T103" s="296" t="n">
        <v>800400</v>
      </c>
      <c r="U103" s="78" t="inlineStr">
        <is>
          <t>IMAGEN</t>
        </is>
      </c>
      <c r="V103" s="85" t="n"/>
      <c r="W103" s="103" t="inlineStr">
        <is>
          <t>ADJUDICADO</t>
        </is>
      </c>
      <c r="X103" s="5" t="inlineStr">
        <is>
          <t>NO PROYECTADO</t>
        </is>
      </c>
    </row>
    <row r="104" ht="28.2" customHeight="1" s="227">
      <c r="A104" s="92" t="n">
        <v>183</v>
      </c>
      <c r="B104" s="68" t="inlineStr">
        <is>
          <t>SINALOA</t>
        </is>
      </c>
      <c r="C104" s="69" t="inlineStr">
        <is>
          <t>Impresora para placas radiográficas, marca Fujifilm, modelo Drypix Smart</t>
        </is>
      </c>
      <c r="D104" s="68" t="inlineStr">
        <is>
          <t>56728475</t>
        </is>
      </c>
      <c r="E104" s="69" t="inlineStr">
        <is>
          <t>H.M.R.E. Mazatlán</t>
        </is>
      </c>
      <c r="F104" s="95" t="inlineStr">
        <is>
          <t>Servicio de mantenimiento integral para: Impresora para placas radiográficas, marca Fujifilm, modelo Drypix Smart, serie 56728475;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04" s="79" t="n">
        <v>1</v>
      </c>
      <c r="H104" s="79" t="n">
        <v>2</v>
      </c>
      <c r="I104" s="291" t="n">
        <v>150000</v>
      </c>
      <c r="J104" s="291">
        <f>I104</f>
        <v/>
      </c>
      <c r="K104" s="291">
        <f>J104</f>
        <v/>
      </c>
      <c r="L104" s="291">
        <f>I104+J104+K104</f>
        <v/>
      </c>
      <c r="M104" s="291">
        <f>L104*0.16</f>
        <v/>
      </c>
      <c r="N104" s="291">
        <f>L104+M104</f>
        <v/>
      </c>
      <c r="O104" s="296" t="n">
        <v>300000</v>
      </c>
      <c r="P104" s="296" t="n">
        <v>300000</v>
      </c>
      <c r="Q104" s="296" t="n">
        <v>600000</v>
      </c>
      <c r="R104" s="296" t="n">
        <v>900000</v>
      </c>
      <c r="S104" s="296" t="n">
        <v>144000</v>
      </c>
      <c r="T104" s="296" t="n">
        <v>1044000</v>
      </c>
      <c r="U104" s="78" t="inlineStr">
        <is>
          <t>IMAGEN</t>
        </is>
      </c>
      <c r="V104" s="85" t="n"/>
      <c r="W104" s="103" t="inlineStr">
        <is>
          <t>ADJUDICADO</t>
        </is>
      </c>
      <c r="X104" s="5" t="inlineStr">
        <is>
          <t>NO PROYECTADO</t>
        </is>
      </c>
    </row>
    <row r="105" ht="28.2" customHeight="1" s="227">
      <c r="A105" s="92" t="n">
        <v>184</v>
      </c>
      <c r="B105" s="68" t="inlineStr">
        <is>
          <t>SINALOA</t>
        </is>
      </c>
      <c r="C105" s="69" t="inlineStr">
        <is>
          <t>Impresora para placas radiográficas, marca Fujifilm, modelo Drypix Smart</t>
        </is>
      </c>
      <c r="D105" s="68" t="inlineStr">
        <is>
          <t>66131122</t>
        </is>
      </c>
      <c r="E105" s="69" t="inlineStr">
        <is>
          <t>H.M.R.E. Mazatlán</t>
        </is>
      </c>
      <c r="F105" s="95" t="inlineStr">
        <is>
          <t>Servicio de mantenimiento integral para: Impresora para placas radiográficas, marca Fujifilm, modelo Drypix Smart, serie 66131122;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05" s="79" t="n">
        <v>1</v>
      </c>
      <c r="H105" s="79" t="n">
        <v>2</v>
      </c>
      <c r="I105" s="291" t="n">
        <v>150000</v>
      </c>
      <c r="J105" s="291">
        <f>I105</f>
        <v/>
      </c>
      <c r="K105" s="291">
        <f>J105</f>
        <v/>
      </c>
      <c r="L105" s="291">
        <f>I105+J105+K105</f>
        <v/>
      </c>
      <c r="M105" s="291">
        <f>L105*0.16</f>
        <v/>
      </c>
      <c r="N105" s="291">
        <f>L105+M105</f>
        <v/>
      </c>
      <c r="O105" s="296" t="n">
        <v>300000</v>
      </c>
      <c r="P105" s="296" t="n">
        <v>300000</v>
      </c>
      <c r="Q105" s="296" t="n">
        <v>600000</v>
      </c>
      <c r="R105" s="296" t="n">
        <v>900000</v>
      </c>
      <c r="S105" s="296" t="n">
        <v>144000</v>
      </c>
      <c r="T105" s="296" t="n">
        <v>1044000</v>
      </c>
      <c r="U105" s="78" t="inlineStr">
        <is>
          <t>IMAGEN</t>
        </is>
      </c>
      <c r="V105" s="85" t="n"/>
      <c r="W105" s="103" t="inlineStr">
        <is>
          <t>ADJUDICADO</t>
        </is>
      </c>
      <c r="X105" s="5" t="inlineStr">
        <is>
          <t>NO PROYECTADO</t>
        </is>
      </c>
    </row>
    <row r="106" hidden="1" ht="28.2" customHeight="1" s="227">
      <c r="A106" s="86" t="n">
        <v>185</v>
      </c>
      <c r="B106" s="68" t="inlineStr">
        <is>
          <t>CDMX</t>
        </is>
      </c>
      <c r="C106" s="69" t="inlineStr">
        <is>
          <t>Sistema de diagnóstico oftálmico avanzado, marca Heidelberg Engineering, modelo Spectralis</t>
        </is>
      </c>
      <c r="D106" s="68" t="inlineStr">
        <is>
          <t>SPECT-KT-05789</t>
        </is>
      </c>
      <c r="E106" s="69" t="inlineStr">
        <is>
          <t>H.C.M. Lomas de Sotelo</t>
        </is>
      </c>
      <c r="F106" s="95" t="inlineStr">
        <is>
          <t>Servicio de mantenimiento integral para: Sistema de diagnóstico oftálmico avanzado, marca Heidelberg Engineering, modelo Spectralis, serie SPECT-KT-05789; ubicado en H.C.M. Lomas de Sotelo,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106" s="79" t="n">
        <v>2</v>
      </c>
      <c r="H106" s="79" t="n">
        <v>4</v>
      </c>
      <c r="I106" s="291" t="n">
        <v>122850</v>
      </c>
      <c r="J106" s="291" t="n">
        <v>122850</v>
      </c>
      <c r="K106" s="291" t="n">
        <v>122850</v>
      </c>
      <c r="L106" s="291" t="n">
        <v>368550</v>
      </c>
      <c r="M106" s="291" t="n">
        <v>58968</v>
      </c>
      <c r="N106" s="291" t="n">
        <v>427518</v>
      </c>
      <c r="O106" s="296" t="n">
        <v>300000</v>
      </c>
      <c r="P106" s="296" t="n">
        <v>600000</v>
      </c>
      <c r="Q106" s="296" t="n">
        <v>1200000</v>
      </c>
      <c r="R106" s="296" t="n">
        <v>1800000</v>
      </c>
      <c r="S106" s="296" t="n">
        <v>288000</v>
      </c>
      <c r="T106" s="296" t="n">
        <v>2088000</v>
      </c>
      <c r="U106" s="78" t="inlineStr">
        <is>
          <t>OFTALMO</t>
        </is>
      </c>
      <c r="V106" s="81" t="inlineStr">
        <is>
          <t>ARFAMEX</t>
        </is>
      </c>
      <c r="W106" s="83" t="inlineStr">
        <is>
          <t>ADJUDICADO</t>
        </is>
      </c>
      <c r="X106" s="5" t="inlineStr">
        <is>
          <t>PROYECTADO</t>
        </is>
      </c>
    </row>
    <row r="107" ht="28.2" customHeight="1" s="227">
      <c r="A107" s="86" t="n">
        <v>196</v>
      </c>
      <c r="B107" s="68" t="inlineStr">
        <is>
          <t>NUEVO LEON</t>
        </is>
      </c>
      <c r="C107" s="69" t="inlineStr">
        <is>
          <t>Sistema de digitalización de imágenes, marca SUNI, modelo SUNI</t>
        </is>
      </c>
      <c r="D107" s="68" t="inlineStr">
        <is>
          <t>DI2014106149</t>
        </is>
      </c>
      <c r="E107" s="69" t="inlineStr">
        <is>
          <t>H.M.R.E. Monterrey</t>
        </is>
      </c>
      <c r="F107" s="95" t="inlineStr">
        <is>
          <t>Servicio de mantenimiento integral para: Sistema de digitalización de imágenes, marca SUNI, modelo SUNI, serie DI2014106149;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07" s="79" t="n">
        <v>1</v>
      </c>
      <c r="H107" s="79" t="n">
        <v>2</v>
      </c>
      <c r="I107" s="291" t="n">
        <v>150000</v>
      </c>
      <c r="J107" s="291">
        <f>I107</f>
        <v/>
      </c>
      <c r="K107" s="291">
        <f>J107</f>
        <v/>
      </c>
      <c r="L107" s="291">
        <f>I107+J107+K107</f>
        <v/>
      </c>
      <c r="M107" s="291">
        <f>L107*0.16</f>
        <v/>
      </c>
      <c r="N107" s="291">
        <f>L107+M107</f>
        <v/>
      </c>
      <c r="O107" s="296" t="n">
        <v>350000</v>
      </c>
      <c r="P107" s="296" t="n">
        <v>350000</v>
      </c>
      <c r="Q107" s="296" t="n">
        <v>700000</v>
      </c>
      <c r="R107" s="296" t="n">
        <v>1050000</v>
      </c>
      <c r="S107" s="296" t="n">
        <v>168000</v>
      </c>
      <c r="T107" s="296" t="n">
        <v>1218000</v>
      </c>
      <c r="U107" s="78" t="inlineStr">
        <is>
          <t>IMAGEN</t>
        </is>
      </c>
      <c r="V107" s="85" t="n"/>
      <c r="W107" s="83" t="inlineStr">
        <is>
          <t>ADJUDICADO</t>
        </is>
      </c>
      <c r="X107" s="5" t="inlineStr">
        <is>
          <t>PROYECTADO</t>
        </is>
      </c>
    </row>
    <row r="108" ht="28.2" customHeight="1" s="227">
      <c r="A108" s="92" t="n">
        <v>198</v>
      </c>
      <c r="B108" s="68" t="inlineStr">
        <is>
          <t>VERACRUZ</t>
        </is>
      </c>
      <c r="C108" s="69" t="inlineStr">
        <is>
          <t>Arco en C, marca Ziehm Imaging, modelo Vision R</t>
        </is>
      </c>
      <c r="D108" s="68" t="inlineStr">
        <is>
          <t>10704</t>
        </is>
      </c>
      <c r="E108" s="69" t="inlineStr">
        <is>
          <t>H.M.Z. La Boticaría</t>
        </is>
      </c>
      <c r="F108" s="95" t="inlineStr">
        <is>
          <t>Servicio de mantenimiento integral para: Arco en C, marca Ziehm Imaging, modelo Vision R, serie 10704;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08" s="79" t="n">
        <v>1</v>
      </c>
      <c r="H108" s="79" t="n">
        <v>2</v>
      </c>
      <c r="I108" s="291" t="n">
        <v>100000</v>
      </c>
      <c r="J108" s="291">
        <f>I108</f>
        <v/>
      </c>
      <c r="K108" s="291">
        <f>J108</f>
        <v/>
      </c>
      <c r="L108" s="291">
        <f>I108+J108+K108</f>
        <v/>
      </c>
      <c r="M108" s="291">
        <f>L108*0.16</f>
        <v/>
      </c>
      <c r="N108" s="291">
        <f>L108+M108</f>
        <v/>
      </c>
      <c r="O108" s="296" t="n">
        <v>220000</v>
      </c>
      <c r="P108" s="296" t="n">
        <v>220000</v>
      </c>
      <c r="Q108" s="296" t="n">
        <v>440000</v>
      </c>
      <c r="R108" s="296" t="n">
        <v>660000</v>
      </c>
      <c r="S108" s="296" t="n">
        <v>105600</v>
      </c>
      <c r="T108" s="296" t="n">
        <v>765600</v>
      </c>
      <c r="U108" s="78" t="inlineStr">
        <is>
          <t>IMAGEN</t>
        </is>
      </c>
      <c r="V108" s="85" t="n"/>
      <c r="W108" s="103" t="inlineStr">
        <is>
          <t>ADJUDICADO</t>
        </is>
      </c>
      <c r="X108" s="5" t="inlineStr">
        <is>
          <t>NO PROYECTADO</t>
        </is>
      </c>
    </row>
    <row r="109" ht="28.2" customHeight="1" s="227">
      <c r="A109" s="92" t="n">
        <v>200</v>
      </c>
      <c r="B109" s="68" t="inlineStr">
        <is>
          <t>CHIHUAHUA</t>
        </is>
      </c>
      <c r="C109" s="69" t="inlineStr">
        <is>
          <t>Arco en C, marca Ziehm Imaging, modelo Vision R</t>
        </is>
      </c>
      <c r="D109" s="68" t="inlineStr">
        <is>
          <t>10703</t>
        </is>
      </c>
      <c r="E109" s="69" t="inlineStr">
        <is>
          <t>H.M.R. Chihuahua</t>
        </is>
      </c>
      <c r="F109" s="95" t="inlineStr">
        <is>
          <t>Servicio de mantenimiento integral para: Arco en C, marca Ziehm Imaging, modelo Vision R, serie 10703;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G109" s="79" t="n">
        <v>1</v>
      </c>
      <c r="H109" s="79" t="n">
        <v>2</v>
      </c>
      <c r="I109" s="291" t="n">
        <v>150000</v>
      </c>
      <c r="J109" s="291">
        <f>I109</f>
        <v/>
      </c>
      <c r="K109" s="291">
        <f>J109</f>
        <v/>
      </c>
      <c r="L109" s="291">
        <f>I109+J109+K109</f>
        <v/>
      </c>
      <c r="M109" s="291">
        <f>L109*0.16</f>
        <v/>
      </c>
      <c r="N109" s="291">
        <f>L109+M109</f>
        <v/>
      </c>
      <c r="O109" s="296" t="n">
        <v>300000</v>
      </c>
      <c r="P109" s="296" t="n">
        <v>300000</v>
      </c>
      <c r="Q109" s="296" t="n">
        <v>600000</v>
      </c>
      <c r="R109" s="296" t="n">
        <v>900000</v>
      </c>
      <c r="S109" s="296" t="n">
        <v>144000</v>
      </c>
      <c r="T109" s="296" t="n">
        <v>1044000</v>
      </c>
      <c r="U109" s="78" t="inlineStr">
        <is>
          <t>IMAGEN</t>
        </is>
      </c>
      <c r="V109" s="85" t="n"/>
      <c r="W109" s="103" t="inlineStr">
        <is>
          <t>ADJUDICADO</t>
        </is>
      </c>
      <c r="X109" s="5" t="inlineStr">
        <is>
          <t>NO PROYECTADO</t>
        </is>
      </c>
    </row>
    <row r="110" hidden="1" ht="28.2" customHeight="1" s="227">
      <c r="A110" s="92" t="n">
        <v>203</v>
      </c>
      <c r="B110" s="68" t="inlineStr">
        <is>
          <t>CHIAPAS</t>
        </is>
      </c>
      <c r="C110" s="69" t="inlineStr">
        <is>
          <t>Topógrafo corneal , marca Bausch &amp; Lomb, modelo ORBSCAN lll</t>
        </is>
      </c>
      <c r="D110" s="68" t="inlineStr">
        <is>
          <t>50004019-0093</t>
        </is>
      </c>
      <c r="E110" s="69" t="inlineStr">
        <is>
          <t>H.M.R. Tuxtla Gutiérrez</t>
        </is>
      </c>
      <c r="F110" s="95" t="inlineStr">
        <is>
          <t>Servicio de mantenimiento integral para: Topógrafo corneal , marca Bausch &amp; Lomb, modelo ORBSCAN lll, serie 50004019-0093;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10" s="79" t="n">
        <v>1</v>
      </c>
      <c r="H110" s="79" t="n">
        <v>2</v>
      </c>
      <c r="I110" s="291" t="n"/>
      <c r="J110" s="291" t="n">
        <v>0</v>
      </c>
      <c r="K110" s="291" t="n">
        <v>0</v>
      </c>
      <c r="L110" s="291" t="n"/>
      <c r="M110" s="291" t="n"/>
      <c r="N110" s="291" t="n"/>
      <c r="O110" s="296" t="n">
        <v>350000</v>
      </c>
      <c r="P110" s="296" t="n">
        <v>350000</v>
      </c>
      <c r="Q110" s="296" t="n">
        <v>700000</v>
      </c>
      <c r="R110" s="296" t="n">
        <v>1050000</v>
      </c>
      <c r="S110" s="296" t="n">
        <v>168000</v>
      </c>
      <c r="T110" s="296" t="n">
        <v>1218000</v>
      </c>
      <c r="U110" s="78" t="inlineStr">
        <is>
          <t>OFTALMO</t>
        </is>
      </c>
      <c r="V110" s="81" t="inlineStr">
        <is>
          <t>BAUSH</t>
        </is>
      </c>
      <c r="W110" s="103" t="inlineStr">
        <is>
          <t>ADJUDICADO</t>
        </is>
      </c>
      <c r="X110" s="5" t="inlineStr">
        <is>
          <t>NO PROYECTADO</t>
        </is>
      </c>
      <c r="Y110" s="5" t="inlineStr">
        <is>
          <t>SOBREPRECIO ADJUDICADO</t>
        </is>
      </c>
    </row>
    <row r="111" hidden="1" ht="28.2" customHeight="1" s="227">
      <c r="A111" s="86" t="n">
        <v>208</v>
      </c>
      <c r="B111" s="68" t="inlineStr">
        <is>
          <t>YUCATAN</t>
        </is>
      </c>
      <c r="C111" s="69" t="inlineStr">
        <is>
          <t>Microscopio para cirugía, marca Leica, modelo M844F40</t>
        </is>
      </c>
      <c r="D111" s="68" t="inlineStr">
        <is>
          <t>160516003</t>
        </is>
      </c>
      <c r="E111" s="69" t="inlineStr">
        <is>
          <t>H.M.R.E. Mérida</t>
        </is>
      </c>
      <c r="F111" s="95" t="inlineStr">
        <is>
          <t>Servicio de mantenimiento integral para: Microscopio para cirugía, marca Leica, modelo M844F40, serie 160516003;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111" s="79" t="n">
        <v>1</v>
      </c>
      <c r="H111" s="79" t="n">
        <v>2</v>
      </c>
      <c r="I111" s="291" t="n">
        <v>230000</v>
      </c>
      <c r="J111" s="291" t="n">
        <v>230000</v>
      </c>
      <c r="K111" s="291" t="n">
        <v>230000</v>
      </c>
      <c r="L111" s="291" t="n">
        <v>690000</v>
      </c>
      <c r="M111" s="291" t="n">
        <v>110400</v>
      </c>
      <c r="N111" s="291" t="n">
        <v>800400</v>
      </c>
      <c r="O111" s="296" t="n">
        <v>195000</v>
      </c>
      <c r="P111" s="296" t="n">
        <v>195000</v>
      </c>
      <c r="Q111" s="296" t="n">
        <v>390000</v>
      </c>
      <c r="R111" s="296" t="n">
        <v>585000</v>
      </c>
      <c r="S111" s="296" t="n">
        <v>93600</v>
      </c>
      <c r="T111" s="296" t="n">
        <v>678600</v>
      </c>
      <c r="U111" s="78" t="inlineStr">
        <is>
          <t>OFTALMO</t>
        </is>
      </c>
      <c r="V111" s="81" t="inlineStr">
        <is>
          <t>COINDISA</t>
        </is>
      </c>
      <c r="W111" s="83" t="inlineStr">
        <is>
          <t>ADJUDICADO</t>
        </is>
      </c>
      <c r="X111" s="5" t="inlineStr">
        <is>
          <t>PROYECTADO</t>
        </is>
      </c>
    </row>
    <row r="112" hidden="1" ht="28.2" customHeight="1" s="227">
      <c r="A112" s="92" t="n">
        <v>213</v>
      </c>
      <c r="B112" s="68" t="inlineStr">
        <is>
          <t>CDMX</t>
        </is>
      </c>
      <c r="C112" s="69" t="inlineStr">
        <is>
          <t>Ultrasonido modo A-B y UBM, marca Quantel Medical, modelo Compact Touch</t>
        </is>
      </c>
      <c r="D112" s="68" t="inlineStr">
        <is>
          <t>2746</t>
        </is>
      </c>
      <c r="E112" s="69" t="inlineStr">
        <is>
          <t>H.M.E.O. Constituyentes</t>
        </is>
      </c>
      <c r="F112" s="95" t="inlineStr">
        <is>
          <t>Servicio de mantenimiento integral para: Ultrasonido modo A-B y UBM, marca Quantel Medical, modelo Compact Touch, serie 2746;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12" s="79" t="n">
        <v>1</v>
      </c>
      <c r="H112" s="79" t="n">
        <v>2</v>
      </c>
      <c r="I112" s="291" t="n">
        <v>47500</v>
      </c>
      <c r="J112" s="291" t="n">
        <v>47500</v>
      </c>
      <c r="K112" s="291" t="n">
        <v>47500</v>
      </c>
      <c r="L112" s="291" t="n">
        <v>142500</v>
      </c>
      <c r="M112" s="291" t="n">
        <v>22800</v>
      </c>
      <c r="N112" s="291" t="n">
        <v>165300</v>
      </c>
      <c r="O112" s="296" t="n">
        <v>150000</v>
      </c>
      <c r="P112" s="296" t="n">
        <v>150000</v>
      </c>
      <c r="Q112" s="296" t="n">
        <v>300000</v>
      </c>
      <c r="R112" s="296" t="n">
        <v>450000</v>
      </c>
      <c r="S112" s="296" t="n">
        <v>72000</v>
      </c>
      <c r="T112" s="296" t="n">
        <v>522000</v>
      </c>
      <c r="U112" s="78" t="inlineStr">
        <is>
          <t>OFTALMO</t>
        </is>
      </c>
      <c r="V112" s="81" t="inlineStr">
        <is>
          <t>ARFAMEX</t>
        </is>
      </c>
      <c r="W112" s="103" t="inlineStr">
        <is>
          <t>ADJUDICADO</t>
        </is>
      </c>
      <c r="X112" s="5" t="inlineStr">
        <is>
          <t>NO PROYECTADO</t>
        </is>
      </c>
    </row>
    <row r="113" hidden="1" ht="28.2" customHeight="1" s="227">
      <c r="A113" s="86" t="n">
        <v>214</v>
      </c>
      <c r="B113" s="68" t="inlineStr">
        <is>
          <t>CDMX</t>
        </is>
      </c>
      <c r="C113" s="69" t="inlineStr">
        <is>
          <t>Cámara de Scheimpflug, marca Oculus, modelo Pentacam HR</t>
        </is>
      </c>
      <c r="D113" s="68" t="inlineStr">
        <is>
          <t>64835160</t>
        </is>
      </c>
      <c r="E113" s="69" t="inlineStr">
        <is>
          <t>H.M.E.O. Constituyentes</t>
        </is>
      </c>
      <c r="F113" s="95" t="inlineStr">
        <is>
          <t>Servicio de mantenimiento integral para: Cámara de Scheimpflug, marca Oculus, modelo Pentacam HR, serie 64835160;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13" s="79" t="n">
        <v>1</v>
      </c>
      <c r="H113" s="79" t="n">
        <v>2</v>
      </c>
      <c r="I113" s="291" t="n">
        <v>50000</v>
      </c>
      <c r="J113" s="291" t="n">
        <v>50000</v>
      </c>
      <c r="K113" s="291" t="n">
        <v>50000</v>
      </c>
      <c r="L113" s="291" t="n">
        <v>150000</v>
      </c>
      <c r="M113" s="291" t="n">
        <v>24000</v>
      </c>
      <c r="N113" s="291" t="n">
        <v>174000</v>
      </c>
      <c r="O113" s="296" t="n">
        <v>150000</v>
      </c>
      <c r="P113" s="296" t="n">
        <v>150000</v>
      </c>
      <c r="Q113" s="296" t="n">
        <v>300000</v>
      </c>
      <c r="R113" s="296" t="n">
        <v>450000</v>
      </c>
      <c r="S113" s="296" t="n">
        <v>72000</v>
      </c>
      <c r="T113" s="296" t="n">
        <v>522000</v>
      </c>
      <c r="U113" s="78" t="inlineStr">
        <is>
          <t>OFTALMO</t>
        </is>
      </c>
      <c r="V113" s="81" t="inlineStr">
        <is>
          <t>CYAN</t>
        </is>
      </c>
      <c r="W113" s="83" t="inlineStr">
        <is>
          <t>ADJUDICADO</t>
        </is>
      </c>
      <c r="X113" s="5" t="inlineStr">
        <is>
          <t>PROYECTADO</t>
        </is>
      </c>
    </row>
    <row r="114" hidden="1" ht="28.2" customHeight="1" s="227">
      <c r="A114" s="86" t="n">
        <v>215</v>
      </c>
      <c r="B114" s="68" t="inlineStr">
        <is>
          <t>CDMX</t>
        </is>
      </c>
      <c r="C114" s="69" t="inlineStr">
        <is>
          <t>Unidad de banco de ojos, marca Varios, modelo Varios</t>
        </is>
      </c>
      <c r="D114" s="68" t="inlineStr">
        <is>
          <t>Varios</t>
        </is>
      </c>
      <c r="E114" s="69" t="inlineStr">
        <is>
          <t>H.M.E.O. Constituyentes</t>
        </is>
      </c>
      <c r="F114" s="95" t="inlineStr">
        <is>
          <t>Servicio de mantenimiento integral para: Unidad de banco de ojos, marca Varios, modelo Varios, serie Varios;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14" s="79" t="n">
        <v>1</v>
      </c>
      <c r="H114" s="79" t="n">
        <v>2</v>
      </c>
      <c r="I114" s="291" t="n">
        <v>70000</v>
      </c>
      <c r="J114" s="291" t="n">
        <v>70000</v>
      </c>
      <c r="K114" s="291" t="n">
        <v>70000</v>
      </c>
      <c r="L114" s="291" t="n">
        <v>210000</v>
      </c>
      <c r="M114" s="291" t="n">
        <v>33600</v>
      </c>
      <c r="N114" s="291" t="n">
        <v>243600</v>
      </c>
      <c r="O114" s="296" t="n">
        <v>130000</v>
      </c>
      <c r="P114" s="296" t="n">
        <v>130000</v>
      </c>
      <c r="Q114" s="296" t="n">
        <v>260000</v>
      </c>
      <c r="R114" s="296" t="n">
        <v>390000</v>
      </c>
      <c r="S114" s="296" t="n">
        <v>62400</v>
      </c>
      <c r="T114" s="296" t="n">
        <v>452400</v>
      </c>
      <c r="U114" s="78" t="inlineStr">
        <is>
          <t>OFTALMO</t>
        </is>
      </c>
      <c r="V114" s="81" t="inlineStr">
        <is>
          <t>MD</t>
        </is>
      </c>
      <c r="W114" s="83" t="inlineStr">
        <is>
          <t>ADJUDICADO</t>
        </is>
      </c>
      <c r="X114" s="5" t="inlineStr">
        <is>
          <t>PROYECTADO</t>
        </is>
      </c>
    </row>
    <row r="115" ht="124.95" customHeight="1" s="227">
      <c r="A115" s="86" t="n">
        <v>218</v>
      </c>
      <c r="B115" s="68" t="inlineStr">
        <is>
          <t>CDMX</t>
        </is>
      </c>
      <c r="C115" s="69" t="inlineStr">
        <is>
          <t>Impresora para placas radiográficas, marca Codonics, modelo Horizon Ci</t>
        </is>
      </c>
      <c r="D115" s="68" t="inlineStr">
        <is>
          <t>50C00394C</t>
        </is>
      </c>
      <c r="E115" s="69" t="inlineStr">
        <is>
          <t>H.M.E.M. Y N. Lomas de Sotelo</t>
        </is>
      </c>
      <c r="F115" s="95" t="inlineStr">
        <is>
          <t>Servicio de mantenimiento integral para: Impresora para placas radiográficas, marca Codonics, modelo Horizon Ci, serie 50C00394C;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15" s="79" t="n">
        <v>1</v>
      </c>
      <c r="H115" s="79" t="n">
        <v>2</v>
      </c>
      <c r="I115" s="291" t="n">
        <v>100000</v>
      </c>
      <c r="J115" s="291">
        <f>I115</f>
        <v/>
      </c>
      <c r="K115" s="291">
        <f>J115</f>
        <v/>
      </c>
      <c r="L115" s="291">
        <f>I115+J115+K115</f>
        <v/>
      </c>
      <c r="M115" s="291">
        <f>L115*0.16</f>
        <v/>
      </c>
      <c r="N115" s="291">
        <f>L115+M115</f>
        <v/>
      </c>
      <c r="O115" s="296" t="n">
        <v>220000</v>
      </c>
      <c r="P115" s="296" t="n">
        <v>220000</v>
      </c>
      <c r="Q115" s="296" t="n">
        <v>440000</v>
      </c>
      <c r="R115" s="296" t="n">
        <v>660000</v>
      </c>
      <c r="S115" s="296" t="n">
        <v>105600</v>
      </c>
      <c r="T115" s="296" t="n">
        <v>765600</v>
      </c>
      <c r="U115" s="78" t="inlineStr">
        <is>
          <t>IMAGEN</t>
        </is>
      </c>
      <c r="V115" s="85" t="n"/>
      <c r="W115" s="83" t="inlineStr">
        <is>
          <t>ADJUDICADO</t>
        </is>
      </c>
      <c r="X115" s="5" t="inlineStr">
        <is>
          <t>PROYECTADO</t>
        </is>
      </c>
    </row>
    <row r="116" ht="124.95" customHeight="1" s="227">
      <c r="A116" s="86" t="n">
        <v>221</v>
      </c>
      <c r="B116" s="68" t="inlineStr">
        <is>
          <t>VERACRUZ</t>
        </is>
      </c>
      <c r="C116" s="69" t="inlineStr">
        <is>
          <t>Sistema de digitalización de imágenes, marca Fujifilm, modelo Digitalizador: FCR Capsula XLII (CR-IR 359) Impresora: Drypix Plus</t>
        </is>
      </c>
      <c r="D116" s="68" t="inlineStr">
        <is>
          <t>Digitalizador: 46770610 Impresora: 36753809</t>
        </is>
      </c>
      <c r="E116" s="69" t="inlineStr">
        <is>
          <t>H.M.Z. La Boticaría</t>
        </is>
      </c>
      <c r="F116" s="95" t="inlineStr">
        <is>
          <t>Servicio de mantenimiento integral para: Sistema de digitalización de imágenes, marca Fujifilm, modelo Digitalizador: FCR Capsula XLII (CR-IR 359) Impresora: Drypix Plus, serie Digitalizador: 46770610 Impresora: 36753809 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16" s="79" t="n">
        <v>1</v>
      </c>
      <c r="H116" s="79" t="n">
        <v>2</v>
      </c>
      <c r="I116" s="291" t="n">
        <v>100000</v>
      </c>
      <c r="J116" s="291">
        <f>I116</f>
        <v/>
      </c>
      <c r="K116" s="291">
        <f>J116</f>
        <v/>
      </c>
      <c r="L116" s="291">
        <f>I116+J116+K116</f>
        <v/>
      </c>
      <c r="M116" s="291">
        <f>L116*0.16</f>
        <v/>
      </c>
      <c r="N116" s="291">
        <f>L116+M116</f>
        <v/>
      </c>
      <c r="O116" s="296" t="n">
        <v>220000</v>
      </c>
      <c r="P116" s="296" t="n">
        <v>220000</v>
      </c>
      <c r="Q116" s="296" t="n">
        <v>440000</v>
      </c>
      <c r="R116" s="296" t="n">
        <v>660000</v>
      </c>
      <c r="S116" s="296" t="n">
        <v>105600</v>
      </c>
      <c r="T116" s="296" t="n">
        <v>765600</v>
      </c>
      <c r="U116" s="78" t="inlineStr">
        <is>
          <t>IMAGEN</t>
        </is>
      </c>
      <c r="V116" s="85" t="n"/>
      <c r="W116" s="83" t="inlineStr">
        <is>
          <t>ADJUDICADO</t>
        </is>
      </c>
      <c r="X116" s="5" t="inlineStr">
        <is>
          <t>PROYECTADO</t>
        </is>
      </c>
    </row>
    <row r="117" hidden="1" ht="16.2" customHeight="1" s="227">
      <c r="A117" s="86" t="n">
        <v>222</v>
      </c>
      <c r="B117" s="68" t="inlineStr">
        <is>
          <t>VERACRUZ</t>
        </is>
      </c>
      <c r="C117" s="69" t="inlineStr">
        <is>
          <t>Ultrasonido oftálmico, marca OPTIKON, modelo HiScan</t>
        </is>
      </c>
      <c r="D117" s="68" t="inlineStr">
        <is>
          <t>387BC</t>
        </is>
      </c>
      <c r="E117" s="69" t="inlineStr">
        <is>
          <t>H.M.Z. La Boticaría</t>
        </is>
      </c>
      <c r="F117" s="95" t="inlineStr">
        <is>
          <t>Servicio de mantenimiento integral para: Ultrasonido oftálmico, marca OPTIKON, modelo HiScan, serie 387BC;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17" s="79" t="n">
        <v>1</v>
      </c>
      <c r="H117" s="79" t="n">
        <v>2</v>
      </c>
      <c r="I117" s="291" t="n">
        <v>150000</v>
      </c>
      <c r="J117" s="291" t="n">
        <v>150000</v>
      </c>
      <c r="K117" s="291" t="n">
        <v>150000</v>
      </c>
      <c r="L117" s="291" t="n">
        <v>450000</v>
      </c>
      <c r="M117" s="291" t="n">
        <v>72000</v>
      </c>
      <c r="N117" s="291" t="n">
        <v>522000</v>
      </c>
      <c r="O117" s="296" t="n">
        <v>365000</v>
      </c>
      <c r="P117" s="296" t="n">
        <v>365000</v>
      </c>
      <c r="Q117" s="296" t="n">
        <v>730000</v>
      </c>
      <c r="R117" s="296" t="n">
        <v>1095000</v>
      </c>
      <c r="S117" s="296" t="n">
        <v>175200</v>
      </c>
      <c r="T117" s="296" t="n">
        <v>1270200</v>
      </c>
      <c r="U117" s="78" t="inlineStr">
        <is>
          <t>OFTALMO</t>
        </is>
      </c>
      <c r="V117" s="81" t="inlineStr">
        <is>
          <t>OPTIKON</t>
        </is>
      </c>
      <c r="W117" s="83" t="inlineStr">
        <is>
          <t>ADJUDICADO</t>
        </is>
      </c>
      <c r="X117" s="5" t="inlineStr">
        <is>
          <t>PROYECTADO</t>
        </is>
      </c>
    </row>
    <row r="118" ht="61.95" customHeight="1" s="227">
      <c r="A118" s="92" t="n">
        <v>223</v>
      </c>
      <c r="B118" s="68" t="inlineStr">
        <is>
          <t>GUERRERO</t>
        </is>
      </c>
      <c r="C118" s="69" t="inlineStr">
        <is>
          <t>Rayos X móvil, marca Shimadzu, modelo MobileArt Evolution</t>
        </is>
      </c>
      <c r="D118" s="68" t="inlineStr">
        <is>
          <t>41000333B017</t>
        </is>
      </c>
      <c r="E118" s="69" t="inlineStr">
        <is>
          <t>H.M.R. Chilpancingo</t>
        </is>
      </c>
      <c r="F118" s="95" t="inlineStr">
        <is>
          <t>Servicio de mantenimiento integral para: Rayos X móvil, marca Shimadzu, modelo MobileArt Evolution, serie 41000333B017; ubicado en H.M.R. Chilpancingo, Gro .
Consistente en 1 evento de mantenimiento preventivo por semestre y todos los mantenimientos correctivos que se requieran para mantener, conservar y/o recuperar la operatividad del equipo al 100% durante el periodo de cobertura.</t>
        </is>
      </c>
      <c r="G118" s="79" t="n">
        <v>1</v>
      </c>
      <c r="H118" s="79" t="n">
        <v>2</v>
      </c>
      <c r="I118" s="291" t="n">
        <v>100000</v>
      </c>
      <c r="J118" s="291">
        <f>I118</f>
        <v/>
      </c>
      <c r="K118" s="291">
        <f>J118</f>
        <v/>
      </c>
      <c r="L118" s="291">
        <f>I118+J118+K118</f>
        <v/>
      </c>
      <c r="M118" s="291">
        <f>L118*0.16</f>
        <v/>
      </c>
      <c r="N118" s="291">
        <f>L118+M118</f>
        <v/>
      </c>
      <c r="O118" s="296" t="n">
        <v>220000</v>
      </c>
      <c r="P118" s="296" t="n">
        <v>220000</v>
      </c>
      <c r="Q118" s="296" t="n">
        <v>440000</v>
      </c>
      <c r="R118" s="296" t="n">
        <v>660000</v>
      </c>
      <c r="S118" s="296" t="n">
        <v>105600</v>
      </c>
      <c r="T118" s="296" t="n">
        <v>765600</v>
      </c>
      <c r="U118" s="78" t="inlineStr">
        <is>
          <t>IMAGEN</t>
        </is>
      </c>
      <c r="V118" s="85" t="n"/>
      <c r="W118" s="103" t="inlineStr">
        <is>
          <t>ADJUDICADO</t>
        </is>
      </c>
      <c r="X118" s="5" t="inlineStr">
        <is>
          <t>NO PROYECTADO</t>
        </is>
      </c>
    </row>
    <row r="119" ht="105" customHeight="1" s="227">
      <c r="A119" s="92" t="n">
        <v>225</v>
      </c>
      <c r="B119" s="68" t="inlineStr">
        <is>
          <t>ZACATECAS</t>
        </is>
      </c>
      <c r="C119" s="69" t="inlineStr">
        <is>
          <t>Equipo de rayos X móvil, marca Technix, modelo TMS 320</t>
        </is>
      </c>
      <c r="D119" s="68" t="inlineStr">
        <is>
          <t>80-16-86-157</t>
        </is>
      </c>
      <c r="E119" s="69" t="inlineStr">
        <is>
          <t>H.M.Z. Guadalupe</t>
        </is>
      </c>
      <c r="F119" s="95" t="inlineStr">
        <is>
          <t>Servicio de mantenimiento integral para: Equipo de rayos X móvil, marca Technix, modelo TMS 320, serie 80-16-86-157; ubicado en H.M.Z. Guadalupe, Zac.
Consistente en 1 evento de mantenimiento preventivo por semestre y todos los mantenimientos correctivos que se requieran para mantener, conservar y/o recuperar la operatividad del equipo al 100% durante el periodo de cobertura.</t>
        </is>
      </c>
      <c r="G119" s="79" t="n">
        <v>1</v>
      </c>
      <c r="H119" s="79" t="n">
        <v>2</v>
      </c>
      <c r="I119" s="291" t="n">
        <v>150000</v>
      </c>
      <c r="J119" s="291">
        <f>I119</f>
        <v/>
      </c>
      <c r="K119" s="291">
        <f>J119</f>
        <v/>
      </c>
      <c r="L119" s="291">
        <f>I119+J119+K119</f>
        <v/>
      </c>
      <c r="M119" s="291">
        <f>L119*0.16</f>
        <v/>
      </c>
      <c r="N119" s="291">
        <f>L119+M119</f>
        <v/>
      </c>
      <c r="O119" s="296" t="n">
        <v>300000</v>
      </c>
      <c r="P119" s="296" t="n">
        <v>300000</v>
      </c>
      <c r="Q119" s="296" t="n">
        <v>600000</v>
      </c>
      <c r="R119" s="296" t="n">
        <v>900000</v>
      </c>
      <c r="S119" s="296" t="n">
        <v>144000</v>
      </c>
      <c r="T119" s="296" t="n">
        <v>1044000</v>
      </c>
      <c r="U119" s="78" t="inlineStr">
        <is>
          <t>IMAGEN</t>
        </is>
      </c>
      <c r="V119" s="85" t="n"/>
      <c r="W119" s="103" t="inlineStr">
        <is>
          <t>ADJUDICADO</t>
        </is>
      </c>
      <c r="X119" s="5" t="inlineStr">
        <is>
          <t>NO PROYECTADO</t>
        </is>
      </c>
    </row>
    <row r="120" ht="135.75" customHeight="1" s="227">
      <c r="A120" s="92" t="n">
        <v>226</v>
      </c>
      <c r="B120" s="68" t="inlineStr">
        <is>
          <t>CHIHUAHUA</t>
        </is>
      </c>
      <c r="C120" s="69" t="inlineStr">
        <is>
          <t>Sistema de digitalización de imágenes, marca Fujifilm, modelo Digitalizador: FCR Capsula XLII (CR-IR 359) Impresora: Drypix 4000</t>
        </is>
      </c>
      <c r="D120" s="68" t="inlineStr">
        <is>
          <t>Digitalizador: 37240106 Impresora: 36653761</t>
        </is>
      </c>
      <c r="E120" s="69" t="inlineStr">
        <is>
          <t>H.M.R. Chihuahua</t>
        </is>
      </c>
      <c r="F120" s="95" t="inlineStr">
        <is>
          <t>Servicio de mantenimiento integral para: Sistema de digitalización de imágenes, marca Fujifilm, modelo Digitalizador: FCR Capsula XLII (CR-IR 359) Impresora: Drypix 4000, serie Digitalizador: 37240106 Impresora: 36653761;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G120" s="79" t="n">
        <v>1</v>
      </c>
      <c r="H120" s="79" t="n">
        <v>2</v>
      </c>
      <c r="I120" s="291" t="n">
        <v>150000</v>
      </c>
      <c r="J120" s="291">
        <f>I120</f>
        <v/>
      </c>
      <c r="K120" s="291">
        <f>J120</f>
        <v/>
      </c>
      <c r="L120" s="291">
        <f>I120+J120+K120</f>
        <v/>
      </c>
      <c r="M120" s="291">
        <f>L120*0.16</f>
        <v/>
      </c>
      <c r="N120" s="291">
        <f>L120+M120</f>
        <v/>
      </c>
      <c r="O120" s="296" t="n">
        <v>300000</v>
      </c>
      <c r="P120" s="296" t="n">
        <v>300000</v>
      </c>
      <c r="Q120" s="296" t="n">
        <v>600000</v>
      </c>
      <c r="R120" s="296" t="n">
        <v>900000</v>
      </c>
      <c r="S120" s="296" t="n">
        <v>144000</v>
      </c>
      <c r="T120" s="296" t="n">
        <v>1044000</v>
      </c>
      <c r="U120" s="78" t="inlineStr">
        <is>
          <t>IMAGEN</t>
        </is>
      </c>
      <c r="V120" s="85" t="n"/>
      <c r="W120" s="103" t="inlineStr">
        <is>
          <t>ADJUDICADO</t>
        </is>
      </c>
      <c r="X120" s="5" t="inlineStr">
        <is>
          <t>NO PROYECTADO</t>
        </is>
      </c>
    </row>
    <row r="121" ht="135" customHeight="1" s="227">
      <c r="A121" s="86" t="n">
        <v>227</v>
      </c>
      <c r="B121" s="68" t="inlineStr">
        <is>
          <t>EDO DE MEX</t>
        </is>
      </c>
      <c r="C121" s="69" t="inlineStr">
        <is>
          <t>Sistema de digitalización de imágenes, marca Fujifilm, modelo Digitalizador: FCR Capsula XLII (CR-IR 359) Impresora: Drypix 4000</t>
        </is>
      </c>
      <c r="D121" s="68" t="inlineStr">
        <is>
          <t>Digitalizador: 46370281 Impresora: 36753805</t>
        </is>
      </c>
      <c r="E121" s="69" t="inlineStr">
        <is>
          <t>H.M.Z. Temamatla</t>
        </is>
      </c>
      <c r="F121" s="95" t="inlineStr">
        <is>
          <t>Servicio de mantenimiento integral para: Sistema de digitalización de imágenes, marca Fujifilm, modelo Digitalizador: FCR Capsula XLII (CR-IR 359) Impresora: Drypix 4000, serie Digitalizador: 46370281 Impresora: 36753805;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1" s="79" t="n">
        <v>1</v>
      </c>
      <c r="H121" s="79" t="n">
        <v>2</v>
      </c>
      <c r="I121" s="291" t="n">
        <v>100000</v>
      </c>
      <c r="J121" s="291">
        <f>I121</f>
        <v/>
      </c>
      <c r="K121" s="291">
        <f>J121</f>
        <v/>
      </c>
      <c r="L121" s="291">
        <f>I121+J121+K121</f>
        <v/>
      </c>
      <c r="M121" s="291">
        <f>L121*0.16</f>
        <v/>
      </c>
      <c r="N121" s="291">
        <f>L121+M121</f>
        <v/>
      </c>
      <c r="O121" s="296" t="n">
        <v>220000</v>
      </c>
      <c r="P121" s="296" t="n">
        <v>220000</v>
      </c>
      <c r="Q121" s="296" t="n">
        <v>440000</v>
      </c>
      <c r="R121" s="296" t="n">
        <v>660000</v>
      </c>
      <c r="S121" s="296" t="n">
        <v>105600</v>
      </c>
      <c r="T121" s="296" t="n">
        <v>765600</v>
      </c>
      <c r="U121" s="78" t="inlineStr">
        <is>
          <t>IMAGEN</t>
        </is>
      </c>
      <c r="V121" s="85" t="n"/>
      <c r="W121" s="83" t="inlineStr">
        <is>
          <t>ADJUDICADO</t>
        </is>
      </c>
      <c r="X121" s="5" t="inlineStr">
        <is>
          <t>PROYECTADO</t>
        </is>
      </c>
    </row>
    <row r="122" ht="105" customHeight="1" s="227">
      <c r="A122" s="86" t="n">
        <v>228</v>
      </c>
      <c r="B122" s="68" t="inlineStr">
        <is>
          <t>EDO DE MEX</t>
        </is>
      </c>
      <c r="C122" s="69" t="inlineStr">
        <is>
          <t>Impresora para placas radiográficas, marca Konica Minolta, modelo DryPro 873</t>
        </is>
      </c>
      <c r="D122" s="68" t="inlineStr">
        <is>
          <t>0992-50128</t>
        </is>
      </c>
      <c r="E122" s="69" t="inlineStr">
        <is>
          <t>H.M.Z. Temamatla</t>
        </is>
      </c>
      <c r="F122" s="95" t="inlineStr">
        <is>
          <t>Servicio de mantenimiento integral para: Impresora para placas radiográficas, marca Konica Minolta, modelo DryPro 873, serie 0992-50128;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2" s="79" t="n">
        <v>1</v>
      </c>
      <c r="H122" s="79" t="n">
        <v>2</v>
      </c>
      <c r="I122" s="291" t="n">
        <v>100000</v>
      </c>
      <c r="J122" s="291">
        <f>I122</f>
        <v/>
      </c>
      <c r="K122" s="291">
        <f>J122</f>
        <v/>
      </c>
      <c r="L122" s="291">
        <f>I122+J122+K122</f>
        <v/>
      </c>
      <c r="M122" s="291">
        <f>L122*0.16</f>
        <v/>
      </c>
      <c r="N122" s="291">
        <f>L122+M122</f>
        <v/>
      </c>
      <c r="O122" s="296" t="n">
        <v>220000</v>
      </c>
      <c r="P122" s="296" t="n">
        <v>220000</v>
      </c>
      <c r="Q122" s="296" t="n">
        <v>440000</v>
      </c>
      <c r="R122" s="296" t="n">
        <v>660000</v>
      </c>
      <c r="S122" s="296" t="n">
        <v>105600</v>
      </c>
      <c r="T122" s="296" t="n">
        <v>765600</v>
      </c>
      <c r="U122" s="78" t="inlineStr">
        <is>
          <t>IMAGEN</t>
        </is>
      </c>
      <c r="V122" s="85" t="n"/>
      <c r="W122" s="83" t="inlineStr">
        <is>
          <t>ADJUDICADO</t>
        </is>
      </c>
      <c r="X122" s="5" t="inlineStr">
        <is>
          <t>PROYECTADO</t>
        </is>
      </c>
    </row>
    <row r="123" ht="105" customHeight="1" s="227">
      <c r="A123" s="92" t="n">
        <v>230</v>
      </c>
      <c r="B123" s="68" t="inlineStr">
        <is>
          <t>GUANAJUATO</t>
        </is>
      </c>
      <c r="C123" s="69" t="inlineStr">
        <is>
          <t>Equipo de rayos X móvil, marca Technix, modelo TMS 320</t>
        </is>
      </c>
      <c r="D123" s="68" t="inlineStr">
        <is>
          <t>80-16-85-156</t>
        </is>
      </c>
      <c r="E123" s="69" t="inlineStr">
        <is>
          <t>H.M.R., Irapuato</t>
        </is>
      </c>
      <c r="F123" s="95" t="inlineStr">
        <is>
          <t>Servicio de mantenimiento integral para: Equipo de rayos X móvil, marca Technix, modelo TMS 320, serie 80-16-85-156; ubicado en H.M.R., Irapuato, Gto..
Consistente en 1 evento de mantenimiento preventivo por semestre y todos los mantenimientos correctivos que se requieran para mantener, conservar y/o recuperar la operatividad del equipo al 100% durante el periodo de cobertura.</t>
        </is>
      </c>
      <c r="G123" s="79" t="n">
        <v>1</v>
      </c>
      <c r="H123" s="79" t="n">
        <v>2</v>
      </c>
      <c r="I123" s="291" t="n">
        <v>100000</v>
      </c>
      <c r="J123" s="291">
        <f>I123</f>
        <v/>
      </c>
      <c r="K123" s="291">
        <f>J123</f>
        <v/>
      </c>
      <c r="L123" s="291">
        <f>I123+J123+K123</f>
        <v/>
      </c>
      <c r="M123" s="291">
        <f>L123*0.16</f>
        <v/>
      </c>
      <c r="N123" s="291">
        <f>L123+M123</f>
        <v/>
      </c>
      <c r="O123" s="296" t="n">
        <v>220000</v>
      </c>
      <c r="P123" s="296" t="n">
        <v>220000</v>
      </c>
      <c r="Q123" s="296" t="n">
        <v>440000</v>
      </c>
      <c r="R123" s="296" t="n">
        <v>660000</v>
      </c>
      <c r="S123" s="296" t="n">
        <v>105600</v>
      </c>
      <c r="T123" s="296" t="n">
        <v>765600</v>
      </c>
      <c r="U123" s="78" t="inlineStr">
        <is>
          <t>IMAGEN</t>
        </is>
      </c>
      <c r="V123" s="85" t="n"/>
      <c r="W123" s="103" t="inlineStr">
        <is>
          <t>ADJUDICADO</t>
        </is>
      </c>
      <c r="X123" s="5" t="inlineStr">
        <is>
          <t>NO PROYECTADO</t>
        </is>
      </c>
    </row>
    <row r="124" ht="135" customHeight="1" s="227">
      <c r="A124" s="86" t="n">
        <v>231</v>
      </c>
      <c r="B124" s="68" t="inlineStr">
        <is>
          <t>MORELOS</t>
        </is>
      </c>
      <c r="C124" s="69" t="inlineStr">
        <is>
          <t>Sistema de digitalización de imágenes, marca Fujifilm, modelo Digitalizador: FCR Capsula XLII (CR-IR 359) Impresora: Drypix 4000</t>
        </is>
      </c>
      <c r="D124" s="68" t="inlineStr">
        <is>
          <t>Digitalizador: 46770614 Impresora: 36653758</t>
        </is>
      </c>
      <c r="E124" s="69" t="inlineStr">
        <is>
          <t>H.M.Z. Cuernavaca</t>
        </is>
      </c>
      <c r="F124" s="95" t="inlineStr">
        <is>
          <t>Servicio de mantenimiento integral para: Sistema de digitalización de imágenes, marca Fujifilm, modelo Digitalizador: FCR Capsula XLII (CR-IR 359) Impresora: Drypix 4000, serie Digitalizador: 46770614 Impresora: 36653758 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G124" s="79" t="n">
        <v>1</v>
      </c>
      <c r="H124" s="79" t="n">
        <v>2</v>
      </c>
      <c r="I124" s="291" t="n">
        <v>100000</v>
      </c>
      <c r="J124" s="291">
        <f>I124</f>
        <v/>
      </c>
      <c r="K124" s="291">
        <f>J124</f>
        <v/>
      </c>
      <c r="L124" s="291">
        <f>I124+J124+K124</f>
        <v/>
      </c>
      <c r="M124" s="291">
        <f>L124*0.16</f>
        <v/>
      </c>
      <c r="N124" s="291">
        <f>L124+M124</f>
        <v/>
      </c>
      <c r="O124" s="296" t="n">
        <v>220000</v>
      </c>
      <c r="P124" s="296" t="n">
        <v>220000</v>
      </c>
      <c r="Q124" s="296" t="n">
        <v>440000</v>
      </c>
      <c r="R124" s="296" t="n">
        <v>660000</v>
      </c>
      <c r="S124" s="296" t="n">
        <v>105600</v>
      </c>
      <c r="T124" s="296" t="n">
        <v>765600</v>
      </c>
      <c r="U124" s="78" t="inlineStr">
        <is>
          <t>IMAGEN</t>
        </is>
      </c>
      <c r="V124" s="85" t="n"/>
      <c r="W124" s="83" t="inlineStr">
        <is>
          <t>ADJUDICADO</t>
        </is>
      </c>
      <c r="X124" s="5" t="inlineStr">
        <is>
          <t>PROYECTADO</t>
        </is>
      </c>
    </row>
    <row r="125" ht="105" customHeight="1" s="227">
      <c r="A125" s="86" t="n">
        <v>232</v>
      </c>
      <c r="B125" s="68" t="inlineStr">
        <is>
          <t>GUERRERO</t>
        </is>
      </c>
      <c r="C125" s="69" t="inlineStr">
        <is>
          <t>Digitalizador de placas radiográficas, marca Fujifilm, modelo CR-IR359</t>
        </is>
      </c>
      <c r="D125" s="68" t="inlineStr">
        <is>
          <t>46270262</t>
        </is>
      </c>
      <c r="E125" s="69" t="inlineStr">
        <is>
          <t>H.M.R. Acapulco</t>
        </is>
      </c>
      <c r="F125" s="95" t="inlineStr">
        <is>
          <t>Servicio de mantenimiento integral para: Digitalizador de placas radiográficas, marca Fujifilm, modelo CR-IR359, serie 46270262; ubicado en H.M.R. Acapulco, Gro.
Consistente en 1 evento de mantenimiento preventivo por semestre y todos los mantenimientos correctivos que se requieran para mantener, conservar y/o recuperar la operatividad del equipo al 100% durante el periodo de cobertura.</t>
        </is>
      </c>
      <c r="G125" s="79" t="n">
        <v>1</v>
      </c>
      <c r="H125" s="79" t="n">
        <v>2</v>
      </c>
      <c r="I125" s="291" t="n">
        <v>100000</v>
      </c>
      <c r="J125" s="291">
        <f>I125</f>
        <v/>
      </c>
      <c r="K125" s="291">
        <f>J125</f>
        <v/>
      </c>
      <c r="L125" s="291">
        <f>I125+J125+K125</f>
        <v/>
      </c>
      <c r="M125" s="291">
        <f>L125*0.16</f>
        <v/>
      </c>
      <c r="N125" s="291">
        <f>L125+M125</f>
        <v/>
      </c>
      <c r="O125" s="296" t="n">
        <v>220000</v>
      </c>
      <c r="P125" s="296" t="n">
        <v>220000</v>
      </c>
      <c r="Q125" s="296" t="n">
        <v>440000</v>
      </c>
      <c r="R125" s="296" t="n">
        <v>660000</v>
      </c>
      <c r="S125" s="296" t="n">
        <v>105600</v>
      </c>
      <c r="T125" s="296" t="n">
        <v>765600</v>
      </c>
      <c r="U125" s="78" t="inlineStr">
        <is>
          <t>IMAGEN</t>
        </is>
      </c>
      <c r="V125" s="85" t="n"/>
      <c r="W125" s="83" t="inlineStr">
        <is>
          <t>ADJUDICADO</t>
        </is>
      </c>
      <c r="X125" s="5" t="inlineStr">
        <is>
          <t>PROYECTADO</t>
        </is>
      </c>
    </row>
    <row r="126" ht="105" customHeight="1" s="227">
      <c r="A126" s="92" t="n">
        <v>265</v>
      </c>
      <c r="B126" s="68" t="inlineStr">
        <is>
          <t>EDO DE MEX</t>
        </is>
      </c>
      <c r="C126" s="69" t="inlineStr">
        <is>
          <t>Rayos X móvil, marca Listem, modelo MOBIX-1000</t>
        </is>
      </c>
      <c r="D126" s="68" t="inlineStr">
        <is>
          <t>10 0155</t>
        </is>
      </c>
      <c r="E126" s="69" t="inlineStr">
        <is>
          <t>H.M.Z. Santa María Rayón</t>
        </is>
      </c>
      <c r="F126" s="95" t="inlineStr">
        <is>
          <t>Servicio de mantenimiento integral para: Rayos X móvil, marca Listem, modelo MOBIX-1000, serie 10 0155; ubicado en H.M.Z. Santa María Rayón,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6" s="79" t="n">
        <v>1</v>
      </c>
      <c r="H126" s="79" t="n">
        <v>2</v>
      </c>
      <c r="I126" s="291" t="n">
        <v>100000</v>
      </c>
      <c r="J126" s="291">
        <f>I126</f>
        <v/>
      </c>
      <c r="K126" s="291">
        <f>J126</f>
        <v/>
      </c>
      <c r="L126" s="291">
        <f>I126+J126+K126</f>
        <v/>
      </c>
      <c r="M126" s="291">
        <f>L126*0.16</f>
        <v/>
      </c>
      <c r="N126" s="291">
        <f>L126+M126</f>
        <v/>
      </c>
      <c r="O126" s="296" t="n">
        <v>220000</v>
      </c>
      <c r="P126" s="296" t="n">
        <v>220000</v>
      </c>
      <c r="Q126" s="296" t="n">
        <v>440000</v>
      </c>
      <c r="R126" s="296" t="n">
        <v>660000</v>
      </c>
      <c r="S126" s="296" t="n">
        <v>105600</v>
      </c>
      <c r="T126" s="296" t="n">
        <v>765600</v>
      </c>
      <c r="U126" s="78" t="inlineStr">
        <is>
          <t>IMAGEN</t>
        </is>
      </c>
      <c r="V126" s="85" t="n"/>
      <c r="W126" s="103" t="inlineStr">
        <is>
          <t>ADJUDICADO</t>
        </is>
      </c>
      <c r="X126" s="5" t="inlineStr">
        <is>
          <t>NO PROYECTADO</t>
        </is>
      </c>
    </row>
    <row r="127" hidden="1" ht="105" customHeight="1" s="227">
      <c r="A127" s="86" t="n">
        <v>268</v>
      </c>
      <c r="B127" s="68" t="inlineStr">
        <is>
          <t>OAXACA</t>
        </is>
      </c>
      <c r="C127" s="69" t="inlineStr">
        <is>
          <t>Fotocoagulador láser , marca Meridian AG, modelo SLA-UNI</t>
        </is>
      </c>
      <c r="D127" s="68" t="inlineStr">
        <is>
          <t>0069</t>
        </is>
      </c>
      <c r="E127" s="69" t="inlineStr">
        <is>
          <t>H.M.Z. Ixcotel</t>
        </is>
      </c>
      <c r="F127" s="95" t="inlineStr">
        <is>
          <t>Servicio de mantenimiento integral para: Fotocoagulador láser , marca Meridian AG, modelo SLA-UNI, serie 0069;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27" s="79" t="n">
        <v>1</v>
      </c>
      <c r="H127" s="79" t="n">
        <v>2</v>
      </c>
      <c r="I127" s="291" t="n">
        <v>200000</v>
      </c>
      <c r="J127" s="291" t="n">
        <v>200000</v>
      </c>
      <c r="K127" s="291" t="n">
        <v>200000</v>
      </c>
      <c r="L127" s="291" t="n">
        <v>600000</v>
      </c>
      <c r="M127" s="291" t="n">
        <v>96000</v>
      </c>
      <c r="N127" s="291" t="n">
        <v>696000</v>
      </c>
      <c r="O127" s="296" t="n">
        <v>425000</v>
      </c>
      <c r="P127" s="296" t="n">
        <v>425000</v>
      </c>
      <c r="Q127" s="296" t="n">
        <v>850000</v>
      </c>
      <c r="R127" s="296" t="n">
        <v>1275000</v>
      </c>
      <c r="S127" s="296" t="n">
        <v>204000</v>
      </c>
      <c r="T127" s="296" t="n">
        <v>1479000</v>
      </c>
      <c r="U127" s="78" t="inlineStr">
        <is>
          <t>OFTALMO</t>
        </is>
      </c>
      <c r="V127" s="81" t="inlineStr">
        <is>
          <t>DEWIMED</t>
        </is>
      </c>
      <c r="W127" s="83" t="inlineStr">
        <is>
          <t>ADJUDICADO</t>
        </is>
      </c>
      <c r="X127" s="5" t="inlineStr">
        <is>
          <t>PROYECTADO</t>
        </is>
      </c>
    </row>
    <row r="128" hidden="1" ht="105" customHeight="1" s="227">
      <c r="A128" s="86" t="n">
        <v>273</v>
      </c>
      <c r="B128" s="68" t="inlineStr">
        <is>
          <t>OAXACA</t>
        </is>
      </c>
      <c r="C128" s="69" t="inlineStr">
        <is>
          <t>Láser oftálmico, marca Alcon, modelo 3000LE</t>
        </is>
      </c>
      <c r="D128" s="68" t="inlineStr">
        <is>
          <t>5342LX</t>
        </is>
      </c>
      <c r="E128" s="69" t="inlineStr">
        <is>
          <t>H.M.Z. Ixcotel</t>
        </is>
      </c>
      <c r="F128" s="95" t="inlineStr">
        <is>
          <t>Servicio de mantenimiento integral para: Láser oftálmico, marca Alcon, modelo 3000LE, serie 5342LX;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28" s="79" t="n">
        <v>1</v>
      </c>
      <c r="H128" s="79" t="n">
        <v>2</v>
      </c>
      <c r="I128" s="291" t="n">
        <v>200000</v>
      </c>
      <c r="J128" s="291" t="n">
        <v>200000</v>
      </c>
      <c r="K128" s="291" t="n">
        <v>200000</v>
      </c>
      <c r="L128" s="291" t="n">
        <v>600000</v>
      </c>
      <c r="M128" s="291" t="n">
        <v>96000</v>
      </c>
      <c r="N128" s="291" t="n">
        <v>696000</v>
      </c>
      <c r="O128" s="296" t="n">
        <v>400000</v>
      </c>
      <c r="P128" s="296" t="n">
        <v>400000</v>
      </c>
      <c r="Q128" s="296" t="n">
        <v>800000</v>
      </c>
      <c r="R128" s="296" t="n">
        <v>1200000</v>
      </c>
      <c r="S128" s="296" t="n">
        <v>192000</v>
      </c>
      <c r="T128" s="296" t="n">
        <v>1392000</v>
      </c>
      <c r="U128" s="78" t="inlineStr">
        <is>
          <t>OFTALMO</t>
        </is>
      </c>
      <c r="V128" s="81" t="inlineStr">
        <is>
          <t>ALCON</t>
        </is>
      </c>
      <c r="W128" s="83" t="inlineStr">
        <is>
          <t>ADJUDICADO</t>
        </is>
      </c>
      <c r="X128" s="5" t="inlineStr">
        <is>
          <t>PROYECTADO</t>
        </is>
      </c>
    </row>
    <row r="129" hidden="1" ht="105" customHeight="1" s="227">
      <c r="A129" s="86" t="n">
        <v>283</v>
      </c>
      <c r="B129" s="68" t="inlineStr">
        <is>
          <t>CDMX</t>
        </is>
      </c>
      <c r="C129" s="69" t="inlineStr">
        <is>
          <t>Láser excimer, marca Bausch &amp; Lomb, modelo Zyoptix XP</t>
        </is>
      </c>
      <c r="D129" s="68" t="inlineStr">
        <is>
          <t>2805</t>
        </is>
      </c>
      <c r="E129" s="69" t="inlineStr">
        <is>
          <t>H.M.E.O. Constituyentes</t>
        </is>
      </c>
      <c r="F129" s="95" t="inlineStr">
        <is>
          <t>Servicio de mantenimiento integral para: Láser excimer, marca Bausch &amp; Lomb, modelo Zyoptix XP, serie 2805;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9" s="79" t="n">
        <v>1</v>
      </c>
      <c r="H129" s="79" t="n">
        <v>2</v>
      </c>
      <c r="I129" s="291" t="n">
        <v>80000</v>
      </c>
      <c r="J129" s="291" t="n">
        <v>80000</v>
      </c>
      <c r="K129" s="291" t="n">
        <v>80000</v>
      </c>
      <c r="L129" s="291" t="n">
        <v>240000</v>
      </c>
      <c r="M129" s="291" t="n">
        <v>38400</v>
      </c>
      <c r="N129" s="291" t="n">
        <v>278400</v>
      </c>
      <c r="O129" s="296" t="n">
        <v>170000</v>
      </c>
      <c r="P129" s="296" t="n">
        <v>170000</v>
      </c>
      <c r="Q129" s="296" t="n">
        <v>340000</v>
      </c>
      <c r="R129" s="296" t="n">
        <v>510000</v>
      </c>
      <c r="S129" s="296" t="n">
        <v>81600</v>
      </c>
      <c r="T129" s="296" t="n">
        <v>591600</v>
      </c>
      <c r="U129" s="78" t="inlineStr">
        <is>
          <t>OFTALMO</t>
        </is>
      </c>
      <c r="V129" s="81" t="inlineStr">
        <is>
          <t>BAUSH</t>
        </is>
      </c>
      <c r="W129" s="83" t="inlineStr">
        <is>
          <t>ADJUDICADO</t>
        </is>
      </c>
      <c r="X129" s="5" t="inlineStr">
        <is>
          <t>PROYECTADO</t>
        </is>
      </c>
    </row>
    <row r="130" hidden="1" ht="105" customHeight="1" s="227">
      <c r="A130" s="86" t="n">
        <v>291</v>
      </c>
      <c r="B130" s="68" t="inlineStr">
        <is>
          <t>CDMX</t>
        </is>
      </c>
      <c r="C130" s="69" t="inlineStr">
        <is>
          <t>Láser excimer, marca Bausch &amp; Lomb, modelo Zyoptix XP</t>
        </is>
      </c>
      <c r="D130" s="68" t="inlineStr">
        <is>
          <t>XL500322</t>
        </is>
      </c>
      <c r="E130" s="69" t="inlineStr">
        <is>
          <t>H.M.E.O. Constituyentes</t>
        </is>
      </c>
      <c r="F130" s="95" t="inlineStr">
        <is>
          <t>Servicio de mantenimiento integral para: Láser excimer, marca Bausch &amp; Lomb, modelo Zyoptix XP, serie XL500322;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0" s="79" t="n">
        <v>1</v>
      </c>
      <c r="H130" s="79" t="n">
        <v>2</v>
      </c>
      <c r="I130" s="291" t="n">
        <v>80000</v>
      </c>
      <c r="J130" s="291" t="n">
        <v>80000</v>
      </c>
      <c r="K130" s="291" t="n">
        <v>80000</v>
      </c>
      <c r="L130" s="291" t="n">
        <v>240000</v>
      </c>
      <c r="M130" s="291" t="n">
        <v>38400</v>
      </c>
      <c r="N130" s="291" t="n">
        <v>278400</v>
      </c>
      <c r="O130" s="296" t="n">
        <v>140000</v>
      </c>
      <c r="P130" s="296" t="n">
        <v>140000</v>
      </c>
      <c r="Q130" s="296" t="n">
        <v>280000</v>
      </c>
      <c r="R130" s="296" t="n">
        <v>420000</v>
      </c>
      <c r="S130" s="296" t="n">
        <v>67200</v>
      </c>
      <c r="T130" s="296" t="n">
        <v>487200</v>
      </c>
      <c r="U130" s="78" t="inlineStr">
        <is>
          <t>OFTALMO</t>
        </is>
      </c>
      <c r="V130" s="81" t="inlineStr">
        <is>
          <t>BAUSH</t>
        </is>
      </c>
      <c r="W130" s="83" t="inlineStr">
        <is>
          <t>ADJUDICADO</t>
        </is>
      </c>
      <c r="X130" s="5" t="inlineStr">
        <is>
          <t>PROYECTADO</t>
        </is>
      </c>
    </row>
    <row r="131" hidden="1" ht="105" customHeight="1" s="227">
      <c r="A131" s="86" t="n">
        <v>292</v>
      </c>
      <c r="B131" s="68" t="inlineStr">
        <is>
          <t>CDMX</t>
        </is>
      </c>
      <c r="C131" s="69" t="inlineStr">
        <is>
          <t>Microscopio especular, marca Konan, modelo CellChek XL NSP9900</t>
        </is>
      </c>
      <c r="D131" s="68" t="inlineStr">
        <is>
          <t>NPA-3-1816</t>
        </is>
      </c>
      <c r="E131" s="69" t="inlineStr">
        <is>
          <t>H.M.E.O. Constituyentes</t>
        </is>
      </c>
      <c r="F131" s="95" t="inlineStr">
        <is>
          <t>Servicio de mantenimiento integral para: Microscopio especular, marca Konan, modelo CellChek XL NSP9900, serie NPA-3-1816;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1" s="79" t="n">
        <v>1</v>
      </c>
      <c r="H131" s="79" t="n">
        <v>2</v>
      </c>
      <c r="I131" s="291" t="n">
        <v>50000</v>
      </c>
      <c r="J131" s="291" t="n">
        <v>50000</v>
      </c>
      <c r="K131" s="291" t="n">
        <v>50000</v>
      </c>
      <c r="L131" s="291" t="n">
        <v>150000</v>
      </c>
      <c r="M131" s="291" t="n">
        <v>24000</v>
      </c>
      <c r="N131" s="291" t="n">
        <v>174000</v>
      </c>
      <c r="O131" s="296" t="n">
        <v>120000</v>
      </c>
      <c r="P131" s="296" t="n">
        <v>120000</v>
      </c>
      <c r="Q131" s="296" t="n">
        <v>240000</v>
      </c>
      <c r="R131" s="296" t="n">
        <v>360000</v>
      </c>
      <c r="S131" s="296" t="n">
        <v>57600</v>
      </c>
      <c r="T131" s="296" t="n">
        <v>417600</v>
      </c>
      <c r="U131" s="78" t="inlineStr">
        <is>
          <t>OFTALMO</t>
        </is>
      </c>
      <c r="V131" s="81" t="inlineStr">
        <is>
          <t>TECHNOMIX</t>
        </is>
      </c>
      <c r="W131" s="83" t="inlineStr">
        <is>
          <t>ADJUDICADO</t>
        </is>
      </c>
      <c r="X131" s="5" t="inlineStr">
        <is>
          <t>PROYECTADO</t>
        </is>
      </c>
    </row>
    <row r="132" ht="120" customHeight="1" s="227">
      <c r="A132" s="86" t="n">
        <v>298</v>
      </c>
      <c r="B132" s="68" t="inlineStr">
        <is>
          <t>QUINTANA ROO</t>
        </is>
      </c>
      <c r="C132" s="69" t="inlineStr">
        <is>
          <t>Sistema de digitalización de imágenes, marca Fujifilm, modelo Digitalizador: FCR Capsula XLII (CR-IR 359)</t>
        </is>
      </c>
      <c r="D132" s="68" t="inlineStr">
        <is>
          <t>46770608</t>
        </is>
      </c>
      <c r="E132" s="69" t="inlineStr">
        <is>
          <t>H.M.Z. Chetumal</t>
        </is>
      </c>
      <c r="F132" s="95" t="inlineStr">
        <is>
          <t>Servicio de mantenimiento integral para: Sistema de digitalización de imágenes, marca Fujifilm, modelo Digitalizador: FCR Capsula XLII (CR-IR 359) , serie 46770608; ubicado en H.M.Z. Chetumal, Q. Roo.
Consistente en 1 evento de mantenimiento preventivo por semestre y todos los mantenimientos correctivos que se requieran para mantener, conservar y/o recuperar la operatividad del equipo al 100% durante el periodo de cobertura.</t>
        </is>
      </c>
      <c r="G132" s="79" t="n">
        <v>1</v>
      </c>
      <c r="H132" s="79" t="n">
        <v>2</v>
      </c>
      <c r="I132" s="291" t="n">
        <v>100000</v>
      </c>
      <c r="J132" s="291">
        <f>I132</f>
        <v/>
      </c>
      <c r="K132" s="291">
        <f>J132</f>
        <v/>
      </c>
      <c r="L132" s="291">
        <f>I132+J132+K132</f>
        <v/>
      </c>
      <c r="M132" s="291">
        <f>L132*0.16</f>
        <v/>
      </c>
      <c r="N132" s="291">
        <f>L132+M132</f>
        <v/>
      </c>
      <c r="O132" s="296" t="n">
        <v>220000</v>
      </c>
      <c r="P132" s="296" t="n">
        <v>220000</v>
      </c>
      <c r="Q132" s="296" t="n">
        <v>440000</v>
      </c>
      <c r="R132" s="296" t="n">
        <v>660000</v>
      </c>
      <c r="S132" s="296" t="n">
        <v>105600</v>
      </c>
      <c r="T132" s="296" t="n">
        <v>765600</v>
      </c>
      <c r="U132" s="78" t="inlineStr">
        <is>
          <t>IMAGEN</t>
        </is>
      </c>
      <c r="V132" s="85" t="n"/>
      <c r="W132" s="83" t="inlineStr">
        <is>
          <t>ADJUDICADO</t>
        </is>
      </c>
      <c r="X132" s="5" t="inlineStr">
        <is>
          <t>PROYECTADO</t>
        </is>
      </c>
    </row>
    <row r="133" ht="105" customHeight="1" s="227">
      <c r="A133" s="92" t="n">
        <v>301</v>
      </c>
      <c r="B133" s="68" t="inlineStr">
        <is>
          <t>CDMX</t>
        </is>
      </c>
      <c r="C133" s="69" t="inlineStr">
        <is>
          <t>Rayos X fijo, marca Osko, modelo XR5</t>
        </is>
      </c>
      <c r="D133" s="68" t="inlineStr">
        <is>
          <t>XRC1094990MX</t>
        </is>
      </c>
      <c r="E133" s="69" t="inlineStr">
        <is>
          <t>Subcentro de Evaluación Médica, Campo Militar 1-A</t>
        </is>
      </c>
      <c r="F133" s="95" t="inlineStr">
        <is>
          <t>Servicio de mantenimiento integral para: Rayos X fijo, marca Osko, modelo XR5, serie XRC1094990MX;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33" s="79" t="n">
        <v>1</v>
      </c>
      <c r="H133" s="79" t="n">
        <v>2</v>
      </c>
      <c r="I133" s="291" t="n">
        <v>100000</v>
      </c>
      <c r="J133" s="291">
        <f>I133</f>
        <v/>
      </c>
      <c r="K133" s="291">
        <f>J133</f>
        <v/>
      </c>
      <c r="L133" s="291">
        <f>I133+J133+K133</f>
        <v/>
      </c>
      <c r="M133" s="291">
        <f>L133*0.16</f>
        <v/>
      </c>
      <c r="N133" s="291">
        <f>L133+M133</f>
        <v/>
      </c>
      <c r="O133" s="296" t="n">
        <v>220000</v>
      </c>
      <c r="P133" s="296" t="n">
        <v>220000</v>
      </c>
      <c r="Q133" s="296" t="n">
        <v>440000</v>
      </c>
      <c r="R133" s="296" t="n">
        <v>660000</v>
      </c>
      <c r="S133" s="296" t="n">
        <v>105600</v>
      </c>
      <c r="T133" s="296" t="n">
        <v>765600</v>
      </c>
      <c r="U133" s="78" t="inlineStr">
        <is>
          <t>IMAGEN</t>
        </is>
      </c>
      <c r="V133" s="85" t="n"/>
      <c r="W133" s="103" t="inlineStr">
        <is>
          <t>ADJUDICADO</t>
        </is>
      </c>
      <c r="X133" s="5" t="inlineStr">
        <is>
          <t>NO PROYECTADO</t>
        </is>
      </c>
    </row>
    <row r="134" ht="105" customHeight="1" s="227">
      <c r="A134" s="92" t="n">
        <v>302</v>
      </c>
      <c r="B134" s="68" t="inlineStr">
        <is>
          <t>CDMX</t>
        </is>
      </c>
      <c r="C134" s="69" t="inlineStr">
        <is>
          <t>Rayos X fijo, marca Osko, modelo XR5</t>
        </is>
      </c>
      <c r="D134" s="68" t="inlineStr">
        <is>
          <t>XRC1095095MX</t>
        </is>
      </c>
      <c r="E134" s="69" t="inlineStr">
        <is>
          <t>Subcentro de Evaluación Médica, Campo Militar 1-A</t>
        </is>
      </c>
      <c r="F134" s="95" t="inlineStr">
        <is>
          <t>Servicio de mantenimiento integral para: Rayos X fijo, marca Osko, modelo XR5, serie XRC1095095MX;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34" s="79" t="n">
        <v>1</v>
      </c>
      <c r="H134" s="79" t="n">
        <v>2</v>
      </c>
      <c r="I134" s="291" t="n">
        <v>100000</v>
      </c>
      <c r="J134" s="291">
        <f>I134</f>
        <v/>
      </c>
      <c r="K134" s="291">
        <f>J134</f>
        <v/>
      </c>
      <c r="L134" s="291">
        <f>I134+J134+K134</f>
        <v/>
      </c>
      <c r="M134" s="291">
        <f>L134*0.16</f>
        <v/>
      </c>
      <c r="N134" s="291">
        <f>L134+M134</f>
        <v/>
      </c>
      <c r="O134" s="296" t="n">
        <v>220000</v>
      </c>
      <c r="P134" s="296" t="n">
        <v>220000</v>
      </c>
      <c r="Q134" s="296" t="n">
        <v>440000</v>
      </c>
      <c r="R134" s="296" t="n">
        <v>660000</v>
      </c>
      <c r="S134" s="296" t="n">
        <v>105600</v>
      </c>
      <c r="T134" s="296" t="n">
        <v>765600</v>
      </c>
      <c r="U134" s="78" t="inlineStr">
        <is>
          <t>IMAGEN</t>
        </is>
      </c>
      <c r="V134" s="85" t="n"/>
      <c r="W134" s="103" t="inlineStr">
        <is>
          <t>ADJUDICADO</t>
        </is>
      </c>
      <c r="X134" s="5" t="inlineStr">
        <is>
          <t>NO PROYECTADO</t>
        </is>
      </c>
    </row>
    <row r="135" ht="105" customHeight="1" s="227">
      <c r="A135" s="92" t="n">
        <v>303</v>
      </c>
      <c r="B135" s="68" t="inlineStr">
        <is>
          <t>CDMX</t>
        </is>
      </c>
      <c r="C135" s="69" t="inlineStr">
        <is>
          <t>Rayos X fijo, marca Osko, modelo XR5</t>
        </is>
      </c>
      <c r="D135" s="68" t="inlineStr">
        <is>
          <t>XRC1094988MX</t>
        </is>
      </c>
      <c r="E135" s="69" t="inlineStr">
        <is>
          <t>Subcentro de Evaluación Médica, Campo Militar 1-A</t>
        </is>
      </c>
      <c r="F135" s="95" t="inlineStr">
        <is>
          <t>Servicio de mantenimiento integral para: Rayos X fijo, marca Osko, modelo XR5, serie XRC1094988MX;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35" s="79" t="n">
        <v>1</v>
      </c>
      <c r="H135" s="79" t="n">
        <v>2</v>
      </c>
      <c r="I135" s="291" t="n">
        <v>100000</v>
      </c>
      <c r="J135" s="291">
        <f>I135</f>
        <v/>
      </c>
      <c r="K135" s="291">
        <f>J135</f>
        <v/>
      </c>
      <c r="L135" s="291">
        <f>I135+J135+K135</f>
        <v/>
      </c>
      <c r="M135" s="291">
        <f>L135*0.16</f>
        <v/>
      </c>
      <c r="N135" s="291">
        <f>L135+M135</f>
        <v/>
      </c>
      <c r="O135" s="296" t="n">
        <v>220000</v>
      </c>
      <c r="P135" s="296" t="n">
        <v>220000</v>
      </c>
      <c r="Q135" s="296" t="n">
        <v>440000</v>
      </c>
      <c r="R135" s="296" t="n">
        <v>660000</v>
      </c>
      <c r="S135" s="296" t="n">
        <v>105600</v>
      </c>
      <c r="T135" s="296" t="n">
        <v>765600</v>
      </c>
      <c r="U135" s="78" t="inlineStr">
        <is>
          <t>IMAGEN</t>
        </is>
      </c>
      <c r="V135" s="85" t="n"/>
      <c r="W135" s="103" t="inlineStr">
        <is>
          <t>ADJUDICADO</t>
        </is>
      </c>
      <c r="X135" s="5" t="inlineStr">
        <is>
          <t>NO PROYECTADO</t>
        </is>
      </c>
    </row>
    <row r="136" ht="120" customHeight="1" s="227">
      <c r="A136" s="86" t="n">
        <v>304</v>
      </c>
      <c r="B136" s="68" t="inlineStr">
        <is>
          <t>CDMX</t>
        </is>
      </c>
      <c r="C136" s="69" t="inlineStr">
        <is>
          <t>Impresora para placas radiográficas, marca Fujifilm, modelo Drypix 8000</t>
        </is>
      </c>
      <c r="D136" s="68" t="inlineStr">
        <is>
          <t>17130510</t>
        </is>
      </c>
      <c r="E136" s="69" t="inlineStr">
        <is>
          <t>Subcentro de Evaluación Médica, Campo Militar 1-A</t>
        </is>
      </c>
      <c r="F136" s="95" t="inlineStr">
        <is>
          <t>Servicio de mantenimiento integral para: Impresora para placas radiográficas, marca Fujifilm, modelo Drypix 8000, serie 17130510;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36" s="79" t="n">
        <v>1</v>
      </c>
      <c r="H136" s="79" t="n">
        <v>2</v>
      </c>
      <c r="I136" s="291" t="n">
        <v>100000</v>
      </c>
      <c r="J136" s="291">
        <f>I136</f>
        <v/>
      </c>
      <c r="K136" s="291">
        <f>J136</f>
        <v/>
      </c>
      <c r="L136" s="291">
        <f>I136+J136+K136</f>
        <v/>
      </c>
      <c r="M136" s="291">
        <f>L136*0.16</f>
        <v/>
      </c>
      <c r="N136" s="291">
        <f>L136+M136</f>
        <v/>
      </c>
      <c r="O136" s="296" t="n">
        <v>220000</v>
      </c>
      <c r="P136" s="296" t="n">
        <v>220000</v>
      </c>
      <c r="Q136" s="296" t="n">
        <v>440000</v>
      </c>
      <c r="R136" s="296" t="n">
        <v>660000</v>
      </c>
      <c r="S136" s="296" t="n">
        <v>105600</v>
      </c>
      <c r="T136" s="296" t="n">
        <v>765600</v>
      </c>
      <c r="U136" s="78" t="inlineStr">
        <is>
          <t>IMAGEN</t>
        </is>
      </c>
      <c r="V136" s="85" t="n"/>
      <c r="W136" s="83" t="inlineStr">
        <is>
          <t>ADJUDICADO</t>
        </is>
      </c>
      <c r="X136" s="5" t="inlineStr">
        <is>
          <t>PROYECTADO</t>
        </is>
      </c>
    </row>
    <row r="137" ht="120" customHeight="1" s="227">
      <c r="A137" s="86" t="n">
        <v>305</v>
      </c>
      <c r="B137" s="68" t="inlineStr">
        <is>
          <t>CDMX</t>
        </is>
      </c>
      <c r="C137" s="69" t="inlineStr">
        <is>
          <t>Impresora para placas radiográficas, marca Fujifilm, modelo Drypix 8000</t>
        </is>
      </c>
      <c r="D137" s="68" t="inlineStr">
        <is>
          <t>17130513</t>
        </is>
      </c>
      <c r="E137" s="69" t="inlineStr">
        <is>
          <t>Subcentro de Evaluación Médica, Campo Militar 1-A</t>
        </is>
      </c>
      <c r="F137" s="95" t="inlineStr">
        <is>
          <t>Servicio de mantenimiento integral para: Impresora para placas radiográficas, marca Fujifilm, modelo Drypix 8000, serie 17130513;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37" s="79" t="n">
        <v>1</v>
      </c>
      <c r="H137" s="79" t="n">
        <v>2</v>
      </c>
      <c r="I137" s="291" t="n">
        <v>100000</v>
      </c>
      <c r="J137" s="291">
        <f>I137</f>
        <v/>
      </c>
      <c r="K137" s="291">
        <f>J137</f>
        <v/>
      </c>
      <c r="L137" s="291">
        <f>I137+J137+K137</f>
        <v/>
      </c>
      <c r="M137" s="291">
        <f>L137*0.16</f>
        <v/>
      </c>
      <c r="N137" s="291">
        <f>L137+M137</f>
        <v/>
      </c>
      <c r="O137" s="296" t="n">
        <v>220000</v>
      </c>
      <c r="P137" s="296" t="n">
        <v>220000</v>
      </c>
      <c r="Q137" s="296" t="n">
        <v>440000</v>
      </c>
      <c r="R137" s="296" t="n">
        <v>660000</v>
      </c>
      <c r="S137" s="296" t="n">
        <v>105600</v>
      </c>
      <c r="T137" s="296" t="n">
        <v>765600</v>
      </c>
      <c r="U137" s="78" t="inlineStr">
        <is>
          <t>IMAGEN</t>
        </is>
      </c>
      <c r="V137" s="85" t="n"/>
      <c r="W137" s="83" t="inlineStr">
        <is>
          <t>ADJUDICADO</t>
        </is>
      </c>
      <c r="X137" s="5" t="inlineStr">
        <is>
          <t>PROYECTADO</t>
        </is>
      </c>
    </row>
    <row r="138" ht="120" customHeight="1" s="227">
      <c r="A138" s="86" t="n">
        <v>306</v>
      </c>
      <c r="B138" s="68" t="inlineStr">
        <is>
          <t>CDMX</t>
        </is>
      </c>
      <c r="C138" s="69" t="inlineStr">
        <is>
          <t>Impresora para placas radiográficas, marca Fujifilm, modelo Drypix 8000</t>
        </is>
      </c>
      <c r="D138" s="68" t="inlineStr">
        <is>
          <t>17130554</t>
        </is>
      </c>
      <c r="E138" s="69" t="inlineStr">
        <is>
          <t>Subcentro de Evaluación Médica, Campo Militar 1-A</t>
        </is>
      </c>
      <c r="F138" s="95" t="inlineStr">
        <is>
          <t>Servicio de mantenimiento integral para: Impresora para placas radiográficas, marca Fujifilm, modelo Drypix 8000, serie 17130554;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38" s="79" t="n">
        <v>1</v>
      </c>
      <c r="H138" s="79" t="n">
        <v>2</v>
      </c>
      <c r="I138" s="291" t="n">
        <v>100000</v>
      </c>
      <c r="J138" s="291">
        <f>I138</f>
        <v/>
      </c>
      <c r="K138" s="291">
        <f>J138</f>
        <v/>
      </c>
      <c r="L138" s="291">
        <f>I138+J138+K138</f>
        <v/>
      </c>
      <c r="M138" s="291">
        <f>L138*0.16</f>
        <v/>
      </c>
      <c r="N138" s="291">
        <f>L138+M138</f>
        <v/>
      </c>
      <c r="O138" s="296" t="n">
        <v>220000</v>
      </c>
      <c r="P138" s="296" t="n">
        <v>220000</v>
      </c>
      <c r="Q138" s="296" t="n">
        <v>440000</v>
      </c>
      <c r="R138" s="296" t="n">
        <v>660000</v>
      </c>
      <c r="S138" s="296" t="n">
        <v>105600</v>
      </c>
      <c r="T138" s="296" t="n">
        <v>765600</v>
      </c>
      <c r="U138" s="78" t="inlineStr">
        <is>
          <t>IMAGEN</t>
        </is>
      </c>
      <c r="V138" s="85" t="n"/>
      <c r="W138" s="83" t="inlineStr">
        <is>
          <t>ADJUDICADO</t>
        </is>
      </c>
      <c r="X138" s="5" t="inlineStr">
        <is>
          <t>PROYECTADO</t>
        </is>
      </c>
    </row>
    <row r="139" hidden="1" ht="120" customHeight="1" s="227">
      <c r="A139" s="86" t="n">
        <v>307</v>
      </c>
      <c r="B139" s="68" t="inlineStr">
        <is>
          <t>CDMX</t>
        </is>
      </c>
      <c r="C139" s="69" t="inlineStr">
        <is>
          <t>Cámara de Scheimpflug, marca Oculus, modelo Pentacam HR</t>
        </is>
      </c>
      <c r="D139" s="68" t="inlineStr">
        <is>
          <t>70900 2455 1210</t>
        </is>
      </c>
      <c r="E139" s="69" t="inlineStr">
        <is>
          <t>Subcentro de Evaluación Médica, Campo Militar 1-A</t>
        </is>
      </c>
      <c r="F139" s="95" t="inlineStr">
        <is>
          <t>Servicio de mantenimiento integral para: Cámara de Scheimpflug, marca Oculus, modelo Pentacam HR, serie 70900 2455 1210;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39" s="79" t="n">
        <v>1</v>
      </c>
      <c r="H139" s="79" t="n">
        <v>2</v>
      </c>
      <c r="I139" s="291" t="n">
        <v>50000</v>
      </c>
      <c r="J139" s="291" t="n">
        <v>50000</v>
      </c>
      <c r="K139" s="291" t="n">
        <v>50000</v>
      </c>
      <c r="L139" s="291" t="n">
        <v>150000</v>
      </c>
      <c r="M139" s="291" t="n">
        <v>24000</v>
      </c>
      <c r="N139" s="291" t="n">
        <v>174000</v>
      </c>
      <c r="O139" s="296" t="n">
        <v>150000</v>
      </c>
      <c r="P139" s="296" t="n">
        <v>150000</v>
      </c>
      <c r="Q139" s="296" t="n">
        <v>300000</v>
      </c>
      <c r="R139" s="296" t="n">
        <v>450000</v>
      </c>
      <c r="S139" s="296" t="n">
        <v>72000</v>
      </c>
      <c r="T139" s="296" t="n">
        <v>522000</v>
      </c>
      <c r="U139" s="78" t="inlineStr">
        <is>
          <t>OFTALMO</t>
        </is>
      </c>
      <c r="V139" s="81" t="inlineStr">
        <is>
          <t>CYAN</t>
        </is>
      </c>
      <c r="W139" s="83" t="inlineStr">
        <is>
          <t>ADJUDICADO</t>
        </is>
      </c>
      <c r="X139" s="5" t="inlineStr">
        <is>
          <t>PROYECTADO</t>
        </is>
      </c>
    </row>
    <row r="140" ht="105" customHeight="1" s="227">
      <c r="A140" s="92" t="n">
        <v>309</v>
      </c>
      <c r="B140" s="68" t="inlineStr">
        <is>
          <t>BAJA CALIFORNIA</t>
        </is>
      </c>
      <c r="C140" s="69" t="inlineStr">
        <is>
          <t>Equipo de rayos X móvil, marca Technix, modelo TMS 320</t>
        </is>
      </c>
      <c r="D140" s="68" t="inlineStr">
        <is>
          <t>80-16-82-153</t>
        </is>
      </c>
      <c r="E140" s="69" t="inlineStr">
        <is>
          <t>H.M.R. La Paz</t>
        </is>
      </c>
      <c r="F140" s="95" t="inlineStr">
        <is>
          <t>Servicio de mantenimiento integral para: Equipo de rayos X móvil, marca Technix, modelo TMS 320, serie 80-16-82-153;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40" s="79" t="n">
        <v>1</v>
      </c>
      <c r="H140" s="79" t="n">
        <v>2</v>
      </c>
      <c r="I140" s="291" t="n">
        <v>150000</v>
      </c>
      <c r="J140" s="291">
        <f>I140</f>
        <v/>
      </c>
      <c r="K140" s="291">
        <f>J140</f>
        <v/>
      </c>
      <c r="L140" s="291">
        <f>I140+J140+K140</f>
        <v/>
      </c>
      <c r="M140" s="291">
        <f>L140*0.16</f>
        <v/>
      </c>
      <c r="N140" s="291">
        <f>L140+M140</f>
        <v/>
      </c>
      <c r="O140" s="296" t="n">
        <v>300000</v>
      </c>
      <c r="P140" s="296" t="n">
        <v>300000</v>
      </c>
      <c r="Q140" s="296" t="n">
        <v>600000</v>
      </c>
      <c r="R140" s="296" t="n">
        <v>900000</v>
      </c>
      <c r="S140" s="296" t="n">
        <v>144000</v>
      </c>
      <c r="T140" s="296" t="n">
        <v>1044000</v>
      </c>
      <c r="U140" s="78" t="inlineStr">
        <is>
          <t>IMAGEN</t>
        </is>
      </c>
      <c r="V140" s="85" t="n"/>
      <c r="W140" s="103" t="inlineStr">
        <is>
          <t>ADJUDICADO</t>
        </is>
      </c>
      <c r="X140" s="5" t="inlineStr">
        <is>
          <t>NO PROYECTADO</t>
        </is>
      </c>
      <c r="Y140" s="5" t="inlineStr">
        <is>
          <t>SOBREPRECIO ADJUDICADO</t>
        </is>
      </c>
    </row>
    <row r="141" hidden="1" ht="105" customHeight="1" s="227">
      <c r="A141" s="86" t="n">
        <v>310</v>
      </c>
      <c r="B141" s="68" t="inlineStr">
        <is>
          <t>BAJA CALIFORNIA</t>
        </is>
      </c>
      <c r="C141" s="69" t="inlineStr">
        <is>
          <t>Fotocoagulador láser , marca Quantel Medical, modelo Supra Scan</t>
        </is>
      </c>
      <c r="D141" s="68" t="inlineStr">
        <is>
          <t>454</t>
        </is>
      </c>
      <c r="E141" s="69" t="inlineStr">
        <is>
          <t>H.M.R. La Paz</t>
        </is>
      </c>
      <c r="F141" s="95" t="inlineStr">
        <is>
          <t>Servicio de mantenimiento integral para: Fotocoagulador láser , marca Quantel Medical, modelo Supra Scan, serie 454;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41" s="79" t="n">
        <v>1</v>
      </c>
      <c r="H141" s="79" t="n">
        <v>2</v>
      </c>
      <c r="I141" s="291" t="n">
        <v>55000</v>
      </c>
      <c r="J141" s="291" t="n">
        <v>55000</v>
      </c>
      <c r="K141" s="291" t="n">
        <v>55000</v>
      </c>
      <c r="L141" s="291" t="n">
        <v>165000</v>
      </c>
      <c r="M141" s="291" t="n">
        <v>26400</v>
      </c>
      <c r="N141" s="291" t="n">
        <v>191400</v>
      </c>
      <c r="O141" s="296" t="n">
        <v>180000</v>
      </c>
      <c r="P141" s="296" t="n">
        <v>180000</v>
      </c>
      <c r="Q141" s="296" t="n">
        <v>360000</v>
      </c>
      <c r="R141" s="296" t="n">
        <v>540000</v>
      </c>
      <c r="S141" s="296" t="n">
        <v>86400</v>
      </c>
      <c r="T141" s="296" t="n">
        <v>626400</v>
      </c>
      <c r="U141" s="78" t="inlineStr">
        <is>
          <t>OFTALMO</t>
        </is>
      </c>
      <c r="V141" s="81" t="inlineStr">
        <is>
          <t>ARFAMEX</t>
        </is>
      </c>
      <c r="W141" s="83" t="inlineStr">
        <is>
          <t>ADJUDICADO</t>
        </is>
      </c>
      <c r="X141" s="5" t="inlineStr">
        <is>
          <t>PROYECTADO</t>
        </is>
      </c>
    </row>
    <row r="142" ht="105" customHeight="1" s="227">
      <c r="A142" s="92" t="n">
        <v>313</v>
      </c>
      <c r="B142" s="68" t="inlineStr">
        <is>
          <t>SINALOA</t>
        </is>
      </c>
      <c r="C142" s="69" t="inlineStr">
        <is>
          <t>Rayos X móvil, marca Villa Sistemi Medicali, modelo Visitor T30 M-DR</t>
        </is>
      </c>
      <c r="D142" s="68" t="inlineStr">
        <is>
          <t>14-11-1038</t>
        </is>
      </c>
      <c r="E142" s="69" t="inlineStr">
        <is>
          <t>H.M.R.E. Mazatlán</t>
        </is>
      </c>
      <c r="F142" s="95" t="inlineStr">
        <is>
          <t>Servicio de mantenimiento integral para: Rayos X móvil, marca Villa Sistemi Medicali, modelo Visitor T30 M-DR, serie 14-11-1038;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42" s="79" t="n">
        <v>1</v>
      </c>
      <c r="H142" s="79" t="n">
        <v>2</v>
      </c>
      <c r="I142" s="291" t="n">
        <v>150000</v>
      </c>
      <c r="J142" s="291">
        <f>I142</f>
        <v/>
      </c>
      <c r="K142" s="291">
        <f>J142</f>
        <v/>
      </c>
      <c r="L142" s="291">
        <f>I142+J142+K142</f>
        <v/>
      </c>
      <c r="M142" s="291">
        <f>L142*0.16</f>
        <v/>
      </c>
      <c r="N142" s="291">
        <f>L142+M142</f>
        <v/>
      </c>
      <c r="O142" s="296" t="n">
        <v>300000</v>
      </c>
      <c r="P142" s="296" t="n">
        <v>300000</v>
      </c>
      <c r="Q142" s="296" t="n">
        <v>600000</v>
      </c>
      <c r="R142" s="296" t="n">
        <v>900000</v>
      </c>
      <c r="S142" s="296" t="n">
        <v>144000</v>
      </c>
      <c r="T142" s="296" t="n">
        <v>1044000</v>
      </c>
      <c r="U142" s="78" t="inlineStr">
        <is>
          <t>IMAGEN</t>
        </is>
      </c>
      <c r="V142" s="85" t="n"/>
      <c r="W142" s="103" t="inlineStr">
        <is>
          <t>ADJUDICADO</t>
        </is>
      </c>
      <c r="X142" s="5" t="inlineStr">
        <is>
          <t>NO PROYECTADO</t>
        </is>
      </c>
      <c r="Y142" s="5" t="inlineStr">
        <is>
          <t>SOBREPRECIO ADJUDICADO</t>
        </is>
      </c>
    </row>
    <row r="143" ht="105" customHeight="1" s="227">
      <c r="A143" s="92" t="n">
        <v>314</v>
      </c>
      <c r="B143" s="68" t="inlineStr">
        <is>
          <t>PUEBLA</t>
        </is>
      </c>
      <c r="C143" s="69" t="inlineStr">
        <is>
          <t>Equipo de rayos X móvil, marca Technix, modelo TMS 320</t>
        </is>
      </c>
      <c r="D143" s="68" t="inlineStr">
        <is>
          <t>80-16-101-172</t>
        </is>
      </c>
      <c r="E143" s="69" t="inlineStr">
        <is>
          <t>H.M.R. Puebla</t>
        </is>
      </c>
      <c r="F143" s="95" t="inlineStr">
        <is>
          <t>Servicio de mantenimiento integral para: Equipo de rayos X móvil, marca Technix, modelo TMS 320, serie 80-16-101-172;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G143" s="79" t="n">
        <v>1</v>
      </c>
      <c r="H143" s="79" t="n">
        <v>2</v>
      </c>
      <c r="I143" s="291" t="n">
        <v>100000</v>
      </c>
      <c r="J143" s="291">
        <f>I143</f>
        <v/>
      </c>
      <c r="K143" s="291">
        <f>J143</f>
        <v/>
      </c>
      <c r="L143" s="291">
        <f>I143+J143+K143</f>
        <v/>
      </c>
      <c r="M143" s="291">
        <f>L143*0.16</f>
        <v/>
      </c>
      <c r="N143" s="291">
        <f>L143+M143</f>
        <v/>
      </c>
      <c r="O143" s="296" t="n">
        <v>220000</v>
      </c>
      <c r="P143" s="296" t="n">
        <v>220000</v>
      </c>
      <c r="Q143" s="296" t="n">
        <v>440000</v>
      </c>
      <c r="R143" s="296" t="n">
        <v>660000</v>
      </c>
      <c r="S143" s="296" t="n">
        <v>105600</v>
      </c>
      <c r="T143" s="296" t="n">
        <v>765600</v>
      </c>
      <c r="U143" s="78" t="inlineStr">
        <is>
          <t>IMAGEN</t>
        </is>
      </c>
      <c r="V143" s="85" t="n"/>
      <c r="W143" s="103" t="inlineStr">
        <is>
          <t>ADJUDICADO</t>
        </is>
      </c>
      <c r="X143" s="5" t="inlineStr">
        <is>
          <t>NO PROYECTADO</t>
        </is>
      </c>
    </row>
    <row r="144" ht="105" customHeight="1" s="227">
      <c r="A144" s="92" t="n">
        <v>316</v>
      </c>
      <c r="B144" s="68" t="inlineStr">
        <is>
          <t>PUEBLA</t>
        </is>
      </c>
      <c r="C144" s="69" t="inlineStr">
        <is>
          <t>Equipo de rayos X móvil, marca Mindray, modelo MobiEye 700</t>
        </is>
      </c>
      <c r="D144" s="68" t="inlineStr">
        <is>
          <t>C8-05002378T</t>
        </is>
      </c>
      <c r="E144" s="69" t="inlineStr">
        <is>
          <t>H.M.R. Puebla</t>
        </is>
      </c>
      <c r="F144" s="95" t="inlineStr">
        <is>
          <t>Servicio de mantenimiento integral para: Equipo de rayos X móvil, marca Mindray, modelo MobiEye 700, serie C8-05002378T;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G144" s="79" t="n">
        <v>1</v>
      </c>
      <c r="H144" s="79" t="n">
        <v>2</v>
      </c>
      <c r="I144" s="291" t="n">
        <v>100000</v>
      </c>
      <c r="J144" s="291">
        <f>I144</f>
        <v/>
      </c>
      <c r="K144" s="291">
        <f>J144</f>
        <v/>
      </c>
      <c r="L144" s="291">
        <f>I144+J144+K144</f>
        <v/>
      </c>
      <c r="M144" s="291">
        <f>L144*0.16</f>
        <v/>
      </c>
      <c r="N144" s="291">
        <f>L144+M144</f>
        <v/>
      </c>
      <c r="O144" s="296" t="n">
        <v>220000</v>
      </c>
      <c r="P144" s="296" t="n">
        <v>220000</v>
      </c>
      <c r="Q144" s="296" t="n">
        <v>440000</v>
      </c>
      <c r="R144" s="296" t="n">
        <v>660000</v>
      </c>
      <c r="S144" s="296" t="n">
        <v>105600</v>
      </c>
      <c r="T144" s="296" t="n">
        <v>765600</v>
      </c>
      <c r="U144" s="78" t="inlineStr">
        <is>
          <t>IMAGEN</t>
        </is>
      </c>
      <c r="V144" s="85" t="n"/>
      <c r="W144" s="103" t="inlineStr">
        <is>
          <t>ADJUDICADO</t>
        </is>
      </c>
      <c r="X144" s="5" t="inlineStr">
        <is>
          <t>NO PROYECTADO</t>
        </is>
      </c>
    </row>
    <row r="145" ht="105" customHeight="1" s="227">
      <c r="A145" s="86" t="n">
        <v>319</v>
      </c>
      <c r="B145" s="68" t="inlineStr">
        <is>
          <t>CDMX</t>
        </is>
      </c>
      <c r="C145" s="69" t="inlineStr">
        <is>
          <t>Arco en C, marca Ziehm Imaging, modelo Vision R</t>
        </is>
      </c>
      <c r="D145" s="68" t="inlineStr">
        <is>
          <t>10705</t>
        </is>
      </c>
      <c r="E145" s="69" t="inlineStr">
        <is>
          <t>H.M.Z. Campo Militar No. 1-A</t>
        </is>
      </c>
      <c r="F145" s="95" t="inlineStr">
        <is>
          <t>Servicio de mantenimiento integral para: Arco en C, marca Ziehm Imaging, modelo Vision R, serie 10705; ubicado en H.M.Z. Campo Militar No. 1-A, Cd. de Méx.
Consistente en 1 evento de mantenimiento preventivo por semestre y todos los mantenimientos correctivos que se requieran para mantener, conservar y/o recuperar la operatividad del equipo al 100% durante el periodo de cobertura.</t>
        </is>
      </c>
      <c r="G145" s="79" t="n">
        <v>1</v>
      </c>
      <c r="H145" s="79" t="n">
        <v>2</v>
      </c>
      <c r="I145" s="291" t="n">
        <v>100000</v>
      </c>
      <c r="J145" s="291">
        <f>I145</f>
        <v/>
      </c>
      <c r="K145" s="291">
        <f>J145</f>
        <v/>
      </c>
      <c r="L145" s="291">
        <f>I145+J145+K145</f>
        <v/>
      </c>
      <c r="M145" s="291">
        <f>L145*0.16</f>
        <v/>
      </c>
      <c r="N145" s="291">
        <f>L145+M145</f>
        <v/>
      </c>
      <c r="O145" s="296" t="n">
        <v>220000</v>
      </c>
      <c r="P145" s="296" t="n">
        <v>220000</v>
      </c>
      <c r="Q145" s="296" t="n">
        <v>440000</v>
      </c>
      <c r="R145" s="296" t="n">
        <v>660000</v>
      </c>
      <c r="S145" s="296" t="n">
        <v>105600</v>
      </c>
      <c r="T145" s="296" t="n">
        <v>765600</v>
      </c>
      <c r="U145" s="78" t="inlineStr">
        <is>
          <t>IMAGEN</t>
        </is>
      </c>
      <c r="V145" s="85" t="n"/>
      <c r="W145" s="83" t="inlineStr">
        <is>
          <t>ADJUDICADO</t>
        </is>
      </c>
      <c r="X145" s="5" t="inlineStr">
        <is>
          <t>PROYECTADO</t>
        </is>
      </c>
    </row>
    <row r="146" hidden="1" ht="105" customHeight="1" s="227">
      <c r="A146" s="86" t="n">
        <v>321</v>
      </c>
      <c r="B146" s="68" t="inlineStr">
        <is>
          <t>JALISCO</t>
        </is>
      </c>
      <c r="C146" s="69" t="inlineStr">
        <is>
          <t>Microscopio quirúrgico oftalmológico, marca Leica, modelo M822 F40</t>
        </is>
      </c>
      <c r="D146" s="68" t="inlineStr">
        <is>
          <t>160219002</t>
        </is>
      </c>
      <c r="E146" s="69" t="inlineStr">
        <is>
          <t>H.M.Z. Zapopan</t>
        </is>
      </c>
      <c r="F146" s="95" t="inlineStr">
        <is>
          <t>Servicio de mantenimiento integral para: Microscopio quirúrgico oftalmológico, marca Leica, modelo M822 F40, serie 160219002;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146" s="79" t="n">
        <v>1</v>
      </c>
      <c r="H146" s="79" t="n">
        <v>2</v>
      </c>
      <c r="I146" s="291" t="n">
        <v>250000</v>
      </c>
      <c r="J146" s="291" t="n">
        <v>250000</v>
      </c>
      <c r="K146" s="291" t="n">
        <v>250000</v>
      </c>
      <c r="L146" s="291" t="n">
        <v>750000</v>
      </c>
      <c r="M146" s="291" t="n">
        <v>120000</v>
      </c>
      <c r="N146" s="291" t="n">
        <v>870000</v>
      </c>
      <c r="O146" s="296" t="n">
        <v>160000</v>
      </c>
      <c r="P146" s="296" t="n">
        <v>160000</v>
      </c>
      <c r="Q146" s="296" t="n">
        <v>320000</v>
      </c>
      <c r="R146" s="296" t="n">
        <v>480000</v>
      </c>
      <c r="S146" s="296" t="n">
        <v>76800</v>
      </c>
      <c r="T146" s="296" t="n">
        <v>556800</v>
      </c>
      <c r="U146" s="78" t="inlineStr">
        <is>
          <t>OFTALMO</t>
        </is>
      </c>
      <c r="V146" s="81" t="inlineStr">
        <is>
          <t>COINDISA</t>
        </is>
      </c>
      <c r="W146" s="83" t="inlineStr">
        <is>
          <t>ADJUDICADO</t>
        </is>
      </c>
      <c r="X146" s="5" t="inlineStr">
        <is>
          <t>PROYECTADO</t>
        </is>
      </c>
    </row>
    <row r="147" ht="105" customHeight="1" s="227">
      <c r="A147" s="92" t="n">
        <v>335</v>
      </c>
      <c r="B147" s="68" t="inlineStr">
        <is>
          <t>CDMX</t>
        </is>
      </c>
      <c r="C147" s="69" t="inlineStr">
        <is>
          <t>Rayos X móvil, marca Philips, modelo MobileDiagnost wDR Release 2</t>
        </is>
      </c>
      <c r="D147" s="68" t="inlineStr">
        <is>
          <t>15100252</t>
        </is>
      </c>
      <c r="E147" s="69" t="inlineStr">
        <is>
          <t>H.M.E.M. Y N. Lomas de Sotelo</t>
        </is>
      </c>
      <c r="F147" s="95" t="inlineStr">
        <is>
          <t>Servicio de mantenimiento integral para: Rayos X móvil, marca Philips, modelo MobileDiagnost wDR Release 2, serie 15100252;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7" s="79" t="n">
        <v>1</v>
      </c>
      <c r="H147" s="79" t="n">
        <v>2</v>
      </c>
      <c r="I147" s="291" t="n">
        <v>100000</v>
      </c>
      <c r="J147" s="291">
        <f>I147</f>
        <v/>
      </c>
      <c r="K147" s="291">
        <f>J147</f>
        <v/>
      </c>
      <c r="L147" s="291">
        <f>I147+J147+K147</f>
        <v/>
      </c>
      <c r="M147" s="291">
        <f>L147*0.16</f>
        <v/>
      </c>
      <c r="N147" s="291">
        <f>L147+M147</f>
        <v/>
      </c>
      <c r="O147" s="296" t="n">
        <v>220000</v>
      </c>
      <c r="P147" s="296" t="n">
        <v>220000</v>
      </c>
      <c r="Q147" s="296" t="n">
        <v>440000</v>
      </c>
      <c r="R147" s="296" t="n">
        <v>660000</v>
      </c>
      <c r="S147" s="296" t="n">
        <v>105600</v>
      </c>
      <c r="T147" s="296" t="n">
        <v>765600</v>
      </c>
      <c r="U147" s="78" t="inlineStr">
        <is>
          <t>IMAGEN</t>
        </is>
      </c>
      <c r="V147" s="85" t="n"/>
      <c r="W147" s="103" t="inlineStr">
        <is>
          <t>ADJUDICADO</t>
        </is>
      </c>
      <c r="X147" s="5" t="inlineStr">
        <is>
          <t>NO PROYECTADO</t>
        </is>
      </c>
    </row>
    <row r="148" ht="105" customHeight="1" s="227">
      <c r="A148" s="92" t="n">
        <v>336</v>
      </c>
      <c r="B148" s="68" t="inlineStr">
        <is>
          <t>NUEVO LEON</t>
        </is>
      </c>
      <c r="C148" s="69" t="inlineStr">
        <is>
          <t>Rayos X móvil, marca Philips, modelo MobileDiagnost wDR Release 2</t>
        </is>
      </c>
      <c r="D148" s="68" t="inlineStr">
        <is>
          <t>16200158</t>
        </is>
      </c>
      <c r="E148" s="69" t="inlineStr">
        <is>
          <t>H.M.R.E. Monterrey</t>
        </is>
      </c>
      <c r="F148" s="95" t="inlineStr">
        <is>
          <t>Servicio de mantenimiento integral para: Rayos X móvil, marca Philips, modelo MobileDiagnost wDR Release 2, serie 16200158;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48" s="79" t="n">
        <v>1</v>
      </c>
      <c r="H148" s="79" t="n">
        <v>2</v>
      </c>
      <c r="I148" s="291" t="n">
        <v>150000</v>
      </c>
      <c r="J148" s="291">
        <f>I148</f>
        <v/>
      </c>
      <c r="K148" s="291">
        <f>J148</f>
        <v/>
      </c>
      <c r="L148" s="291">
        <f>I148+J148+K148</f>
        <v/>
      </c>
      <c r="M148" s="291">
        <f>L148*0.16</f>
        <v/>
      </c>
      <c r="N148" s="291">
        <f>L148+M148</f>
        <v/>
      </c>
      <c r="O148" s="296" t="n">
        <v>300000</v>
      </c>
      <c r="P148" s="296" t="n">
        <v>300000</v>
      </c>
      <c r="Q148" s="296" t="n">
        <v>600000</v>
      </c>
      <c r="R148" s="296" t="n">
        <v>900000</v>
      </c>
      <c r="S148" s="296" t="n">
        <v>144000</v>
      </c>
      <c r="T148" s="296" t="n">
        <v>1044000</v>
      </c>
      <c r="U148" s="78" t="inlineStr">
        <is>
          <t>IMAGEN</t>
        </is>
      </c>
      <c r="V148" s="85" t="n"/>
      <c r="W148" s="103" t="inlineStr">
        <is>
          <t>ADJUDICADO</t>
        </is>
      </c>
      <c r="X148" s="5" t="inlineStr">
        <is>
          <t>NO PROYECTADO</t>
        </is>
      </c>
    </row>
    <row r="149" hidden="1" ht="105" customHeight="1" s="227">
      <c r="A149" s="86" t="n">
        <v>338</v>
      </c>
      <c r="B149" s="68" t="inlineStr">
        <is>
          <t>CDMX</t>
        </is>
      </c>
      <c r="C149" s="69" t="inlineStr">
        <is>
          <t>Láser de femtosegundo, marca Alcon, modelo LenSx</t>
        </is>
      </c>
      <c r="D149" s="68" t="inlineStr">
        <is>
          <t>2102004501X</t>
        </is>
      </c>
      <c r="E149" s="69" t="inlineStr">
        <is>
          <t>H.M.E.O. Constituyentes</t>
        </is>
      </c>
      <c r="F149" s="95" t="inlineStr">
        <is>
          <t>Servicio de mantenimiento integral para: Láser de femtosegundo, marca Alcon, modelo LenSx, serie 2102004501X;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9" s="79" t="n">
        <v>1</v>
      </c>
      <c r="H149" s="79" t="n">
        <v>2</v>
      </c>
      <c r="I149" s="291" t="n">
        <v>280000</v>
      </c>
      <c r="J149" s="291" t="n">
        <v>280000</v>
      </c>
      <c r="K149" s="291" t="n">
        <v>280000</v>
      </c>
      <c r="L149" s="291" t="n">
        <v>840000</v>
      </c>
      <c r="M149" s="291" t="n">
        <v>134400</v>
      </c>
      <c r="N149" s="291" t="n">
        <v>974400</v>
      </c>
      <c r="O149" s="296" t="n">
        <v>390000</v>
      </c>
      <c r="P149" s="296" t="n">
        <v>390000</v>
      </c>
      <c r="Q149" s="296" t="n">
        <v>780000</v>
      </c>
      <c r="R149" s="296" t="n">
        <v>1170000</v>
      </c>
      <c r="S149" s="296" t="n">
        <v>187200</v>
      </c>
      <c r="T149" s="296" t="n">
        <v>1357200</v>
      </c>
      <c r="U149" s="78" t="inlineStr">
        <is>
          <t>OFTALMO</t>
        </is>
      </c>
      <c r="V149" s="81" t="inlineStr">
        <is>
          <t>ALCON</t>
        </is>
      </c>
      <c r="W149" s="83" t="inlineStr">
        <is>
          <t>ADJUDICADO</t>
        </is>
      </c>
      <c r="X149" s="5" t="inlineStr">
        <is>
          <t>PROYECTADO</t>
        </is>
      </c>
    </row>
    <row r="150" hidden="1" ht="105" customHeight="1" s="227">
      <c r="A150" s="86" t="n">
        <v>351</v>
      </c>
      <c r="B150" s="68" t="inlineStr">
        <is>
          <t>CDMX</t>
        </is>
      </c>
      <c r="C150" s="69" t="inlineStr">
        <is>
          <t>Sistema de diagnóstico oftálmico avanzado, marca Nidek, modelo OPD-Scan III</t>
        </is>
      </c>
      <c r="D150" s="68" t="inlineStr">
        <is>
          <t>470023</t>
        </is>
      </c>
      <c r="E150" s="69" t="inlineStr">
        <is>
          <t>H.M.E.O. Constituyentes</t>
        </is>
      </c>
      <c r="F150" s="95" t="inlineStr">
        <is>
          <t>Servicio de mantenimiento integral para: Sistema de diagnóstico oftálmico avanzado, marca Nidek, modelo OPD-Scan III, serie 470023;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50" s="79" t="n">
        <v>1</v>
      </c>
      <c r="H150" s="79" t="n">
        <v>2</v>
      </c>
      <c r="I150" s="291" t="n">
        <v>40000</v>
      </c>
      <c r="J150" s="291" t="n">
        <v>40000</v>
      </c>
      <c r="K150" s="291" t="n">
        <v>40000</v>
      </c>
      <c r="L150" s="291" t="n">
        <v>120000</v>
      </c>
      <c r="M150" s="291" t="n">
        <v>19200</v>
      </c>
      <c r="N150" s="291" t="n">
        <v>139200</v>
      </c>
      <c r="O150" s="296" t="n">
        <v>150000</v>
      </c>
      <c r="P150" s="296" t="n">
        <v>150000</v>
      </c>
      <c r="Q150" s="296" t="n">
        <v>300000</v>
      </c>
      <c r="R150" s="296" t="n">
        <v>450000</v>
      </c>
      <c r="S150" s="296" t="n">
        <v>72000</v>
      </c>
      <c r="T150" s="296" t="n">
        <v>522000</v>
      </c>
      <c r="U150" s="78" t="inlineStr">
        <is>
          <t>OFTALMO</t>
        </is>
      </c>
      <c r="V150" s="81" t="inlineStr">
        <is>
          <t>S4</t>
        </is>
      </c>
      <c r="W150" s="83" t="inlineStr">
        <is>
          <t>ADJUDICADO</t>
        </is>
      </c>
      <c r="X150" s="5" t="inlineStr">
        <is>
          <t>PROYECTADO</t>
        </is>
      </c>
    </row>
    <row r="151" ht="105" customHeight="1" s="227">
      <c r="A151" s="92" t="n">
        <v>353</v>
      </c>
      <c r="B151" s="68" t="inlineStr">
        <is>
          <t>CDMX</t>
        </is>
      </c>
      <c r="C151" s="69" t="inlineStr">
        <is>
          <t>Rayos X portátil, marca Carestream, modelo DRX Revolution</t>
        </is>
      </c>
      <c r="D151" s="68" t="inlineStr">
        <is>
          <t>21F0363</t>
        </is>
      </c>
      <c r="E151" s="69" t="inlineStr">
        <is>
          <t>U.M.C.E. Tlalpan</t>
        </is>
      </c>
      <c r="F151" s="95" t="inlineStr">
        <is>
          <t>Servicio de mantenimiento integral para: Rayos X portátil, marca Carestream, modelo DRX Revolution, serie 21F0363; ubicado en U.M.C.E. Tlalpan,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51" s="79" t="n">
        <v>1</v>
      </c>
      <c r="H151" s="81" t="n">
        <v>2</v>
      </c>
      <c r="I151" s="291" t="n">
        <v>100000</v>
      </c>
      <c r="J151" s="291">
        <f>I151</f>
        <v/>
      </c>
      <c r="K151" s="291">
        <f>J151</f>
        <v/>
      </c>
      <c r="L151" s="291">
        <f>I151+J151+K151</f>
        <v/>
      </c>
      <c r="M151" s="291">
        <f>L151*0.16</f>
        <v/>
      </c>
      <c r="N151" s="291">
        <f>L151+M151</f>
        <v/>
      </c>
      <c r="O151" s="296" t="n">
        <v>250000</v>
      </c>
      <c r="P151" s="296" t="n">
        <v>250000</v>
      </c>
      <c r="Q151" s="296" t="n">
        <v>500000</v>
      </c>
      <c r="R151" s="296" t="n">
        <v>750000</v>
      </c>
      <c r="S151" s="296" t="n">
        <v>120000</v>
      </c>
      <c r="T151" s="296" t="n">
        <v>870000</v>
      </c>
      <c r="U151" s="78" t="inlineStr">
        <is>
          <t>IMAGEN</t>
        </is>
      </c>
      <c r="V151" s="85" t="n"/>
      <c r="W151" s="103" t="inlineStr">
        <is>
          <t>ADJUDICADO</t>
        </is>
      </c>
      <c r="X151" s="5" t="inlineStr">
        <is>
          <t>NO PROYECTADO</t>
        </is>
      </c>
    </row>
    <row r="152" hidden="1" ht="105" customHeight="1" s="227">
      <c r="A152" s="86" t="n">
        <v>357</v>
      </c>
      <c r="B152" s="68" t="inlineStr">
        <is>
          <t>NUEVO LEON</t>
        </is>
      </c>
      <c r="C152" s="69" t="inlineStr">
        <is>
          <t>Topógrafo corneal, marca Zeiss, modelo Atlas 9000</t>
        </is>
      </c>
      <c r="D152" s="68" t="inlineStr">
        <is>
          <t>9000-2972</t>
        </is>
      </c>
      <c r="E152" s="69" t="inlineStr">
        <is>
          <t>H.M.R.E. Monterrey</t>
        </is>
      </c>
      <c r="F152" s="95" t="inlineStr">
        <is>
          <t>Servicio de mantenimiento integral para: Topógrafo corneal, marca Zeiss, modelo Atlas 9000, serie 9000-2972;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52" s="79" t="n">
        <v>1</v>
      </c>
      <c r="H152" s="81" t="n">
        <v>2</v>
      </c>
      <c r="I152" s="291" t="n">
        <v>130000</v>
      </c>
      <c r="J152" s="291" t="n">
        <v>130000</v>
      </c>
      <c r="K152" s="291" t="n">
        <v>130000</v>
      </c>
      <c r="L152" s="291" t="n">
        <v>390000</v>
      </c>
      <c r="M152" s="291" t="n">
        <v>62400</v>
      </c>
      <c r="N152" s="291" t="n">
        <v>452400</v>
      </c>
      <c r="O152" s="296" t="n">
        <v>270000</v>
      </c>
      <c r="P152" s="296" t="n">
        <v>270000</v>
      </c>
      <c r="Q152" s="296" t="n">
        <v>540000</v>
      </c>
      <c r="R152" s="296" t="n">
        <v>810000</v>
      </c>
      <c r="S152" s="296" t="n">
        <v>129600</v>
      </c>
      <c r="T152" s="296" t="n">
        <v>939600</v>
      </c>
      <c r="U152" s="78" t="inlineStr">
        <is>
          <t>OFTALMO</t>
        </is>
      </c>
      <c r="V152" s="81" t="inlineStr">
        <is>
          <t>ZEISS</t>
        </is>
      </c>
      <c r="W152" s="83" t="inlineStr">
        <is>
          <t>ADJUDICADO</t>
        </is>
      </c>
      <c r="X152" s="5" t="inlineStr">
        <is>
          <t>PROYECTADO</t>
        </is>
      </c>
    </row>
    <row r="153" hidden="1" ht="105" customHeight="1" s="227">
      <c r="A153" s="86" t="n">
        <v>358</v>
      </c>
      <c r="B153" s="68" t="inlineStr">
        <is>
          <t>JALISCO</t>
        </is>
      </c>
      <c r="C153" s="69" t="inlineStr">
        <is>
          <t>Microscopio, marca Carl Zeiss, modelo OPMI Visu 160</t>
        </is>
      </c>
      <c r="D153" s="68" t="inlineStr">
        <is>
          <t>6213404030</t>
        </is>
      </c>
      <c r="E153" s="69" t="inlineStr">
        <is>
          <t>H.M.R.E. Guadalajara</t>
        </is>
      </c>
      <c r="F153" s="95" t="inlineStr">
        <is>
          <t>Servicio de mantenimiento integral para: Microscopio, marca Carl Zeiss, modelo OPMI Visu 160, serie 6213404030;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53" s="79" t="n">
        <v>1</v>
      </c>
      <c r="H153" s="81" t="n">
        <v>2</v>
      </c>
      <c r="I153" s="291" t="n">
        <v>30000</v>
      </c>
      <c r="J153" s="291" t="n">
        <v>30000</v>
      </c>
      <c r="K153" s="291" t="n">
        <v>30000</v>
      </c>
      <c r="L153" s="291" t="n">
        <v>90000</v>
      </c>
      <c r="M153" s="291" t="n">
        <v>14400</v>
      </c>
      <c r="N153" s="291" t="n">
        <v>104400</v>
      </c>
      <c r="O153" s="296" t="n">
        <v>55000</v>
      </c>
      <c r="P153" s="296" t="n">
        <v>55000</v>
      </c>
      <c r="Q153" s="296" t="n">
        <v>110000</v>
      </c>
      <c r="R153" s="296" t="n">
        <v>165000</v>
      </c>
      <c r="S153" s="296" t="n">
        <v>26400</v>
      </c>
      <c r="T153" s="296" t="n">
        <v>191400</v>
      </c>
      <c r="U153" s="78" t="inlineStr">
        <is>
          <t>OFTALMO</t>
        </is>
      </c>
      <c r="V153" s="81" t="inlineStr">
        <is>
          <t>ZEISS</t>
        </is>
      </c>
      <c r="W153" s="83" t="inlineStr">
        <is>
          <t>ADJUDICADO</t>
        </is>
      </c>
      <c r="X153" s="5" t="inlineStr">
        <is>
          <t>PROYECTADO</t>
        </is>
      </c>
    </row>
    <row r="154" hidden="1" ht="105" customHeight="1" s="227">
      <c r="A154" s="86" t="n">
        <v>363</v>
      </c>
      <c r="B154" s="68" t="inlineStr">
        <is>
          <t>TABASCO</t>
        </is>
      </c>
      <c r="C154" s="69" t="inlineStr">
        <is>
          <t>Campímetro, marca Carl Zeiss Meditec, modelo Humphrey 740I</t>
        </is>
      </c>
      <c r="D154" s="68" t="inlineStr">
        <is>
          <t>740I-14200</t>
        </is>
      </c>
      <c r="E154" s="69" t="inlineStr">
        <is>
          <t>H.M.Z. Villahermosa</t>
        </is>
      </c>
      <c r="F154" s="95" t="inlineStr">
        <is>
          <t>Servicio de mantenimiento integral para: Campímetro, marca Carl Zeiss Meditec, modelo Humphrey 740I, serie 740I-14200; ubicado en H.M.Z. Villahermosa, Tab.
Consistente en 1 evento de mantenimiento preventivo por semestre y todos los mantenimientos correctivos que se requieran para mantener, conservar y/o recuperar la operatividad del equipo al 100% durante el periodo de cobertura.</t>
        </is>
      </c>
      <c r="G154" s="79" t="n">
        <v>1</v>
      </c>
      <c r="H154" s="81" t="n">
        <v>2</v>
      </c>
      <c r="I154" s="291" t="n">
        <v>100000</v>
      </c>
      <c r="J154" s="291" t="n">
        <v>100000</v>
      </c>
      <c r="K154" s="291" t="n">
        <v>100000</v>
      </c>
      <c r="L154" s="291" t="n">
        <v>300000</v>
      </c>
      <c r="M154" s="291" t="n">
        <v>48000</v>
      </c>
      <c r="N154" s="291" t="n">
        <v>348000</v>
      </c>
      <c r="O154" s="296" t="n">
        <v>195000</v>
      </c>
      <c r="P154" s="296" t="n">
        <v>195000</v>
      </c>
      <c r="Q154" s="296" t="n">
        <v>390000</v>
      </c>
      <c r="R154" s="296" t="n">
        <v>585000</v>
      </c>
      <c r="S154" s="296" t="n">
        <v>93600</v>
      </c>
      <c r="T154" s="296" t="n">
        <v>678600</v>
      </c>
      <c r="U154" s="78" t="inlineStr">
        <is>
          <t>OFTALMO</t>
        </is>
      </c>
      <c r="V154" s="81" t="inlineStr">
        <is>
          <t>ZEISS</t>
        </is>
      </c>
      <c r="W154" s="83" t="inlineStr">
        <is>
          <t>ADJUDICADO</t>
        </is>
      </c>
      <c r="X154" s="5" t="inlineStr">
        <is>
          <t>PROYECTADO</t>
        </is>
      </c>
    </row>
    <row r="155" ht="105" customHeight="1" s="227">
      <c r="A155" s="86" t="n">
        <v>367</v>
      </c>
      <c r="B155" s="68" t="inlineStr">
        <is>
          <t>CHIHUAHUA</t>
        </is>
      </c>
      <c r="C155" s="69" t="inlineStr">
        <is>
          <t>Equipo de rayos X móvil, marca Primax, modelo Raybow dR</t>
        </is>
      </c>
      <c r="D155" s="68" t="inlineStr">
        <is>
          <t>10076715</t>
        </is>
      </c>
      <c r="E155" s="69" t="inlineStr">
        <is>
          <t>H.M.Z. Santa Gertrudis</t>
        </is>
      </c>
      <c r="F155" s="95" t="inlineStr">
        <is>
          <t>Servicio de mantenimiento integral para: Equipo de rayos X móvil, marca Primax, modelo Raybow dR, serie 10076715; ubicado en H.M.Z. Santa Gertrudis, Chih.
Consistente en 1 evento de mantenimiento preventivo por semestre y todos los mantenimientos correctivos que se requieran para mantener, conservar y/o recuperar la operatividad del equipo al 100% durante el periodo de cobertura.</t>
        </is>
      </c>
      <c r="G155" s="79" t="n">
        <v>1</v>
      </c>
      <c r="H155" s="81" t="n">
        <v>2</v>
      </c>
      <c r="I155" s="291" t="n">
        <v>100000</v>
      </c>
      <c r="J155" s="291">
        <f>I155</f>
        <v/>
      </c>
      <c r="K155" s="291">
        <f>J155</f>
        <v/>
      </c>
      <c r="L155" s="291">
        <f>I155+J155+K155</f>
        <v/>
      </c>
      <c r="M155" s="291">
        <f>L155*0.16</f>
        <v/>
      </c>
      <c r="N155" s="291">
        <f>L155+M155</f>
        <v/>
      </c>
      <c r="O155" s="296" t="n">
        <v>250000</v>
      </c>
      <c r="P155" s="296" t="n">
        <v>250000</v>
      </c>
      <c r="Q155" s="296" t="n">
        <v>500000</v>
      </c>
      <c r="R155" s="296" t="n">
        <v>750000</v>
      </c>
      <c r="S155" s="296" t="n">
        <v>120000</v>
      </c>
      <c r="T155" s="296" t="n">
        <v>870000</v>
      </c>
      <c r="U155" s="78" t="inlineStr">
        <is>
          <t>IMAGEN</t>
        </is>
      </c>
      <c r="V155" s="85" t="n"/>
      <c r="W155" s="83" t="inlineStr">
        <is>
          <t>ADJUDICADO</t>
        </is>
      </c>
      <c r="X155" s="5" t="inlineStr">
        <is>
          <t>PROYECTADO</t>
        </is>
      </c>
    </row>
    <row r="156" ht="105" customHeight="1" s="227">
      <c r="A156" s="92" t="n">
        <v>369</v>
      </c>
      <c r="B156" s="68" t="inlineStr">
        <is>
          <t>TAMAULIPAS</t>
        </is>
      </c>
      <c r="C156" s="69" t="inlineStr">
        <is>
          <t>Equipo de rayos X móvil, marca Primax, modelo Raybow dR</t>
        </is>
      </c>
      <c r="D156" s="68" t="inlineStr">
        <is>
          <t>10116715</t>
        </is>
      </c>
      <c r="E156" s="69" t="inlineStr">
        <is>
          <t>U.M.C.E. Reynosa</t>
        </is>
      </c>
      <c r="F156" s="95" t="inlineStr">
        <is>
          <t>Servicio de mantenimiento integral para: Equipo de rayos X móvil, marca Primax, modelo Raybow dR, serie 10116715;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G156" s="79" t="n">
        <v>1</v>
      </c>
      <c r="H156" s="81" t="n">
        <v>2</v>
      </c>
      <c r="I156" s="291" t="n">
        <v>150000</v>
      </c>
      <c r="J156" s="291">
        <f>I156</f>
        <v/>
      </c>
      <c r="K156" s="291">
        <f>J156</f>
        <v/>
      </c>
      <c r="L156" s="291">
        <f>I156+J156+K156</f>
        <v/>
      </c>
      <c r="M156" s="291">
        <f>L156*0.16</f>
        <v/>
      </c>
      <c r="N156" s="291">
        <f>L156+M156</f>
        <v/>
      </c>
      <c r="O156" s="296" t="n">
        <v>300000</v>
      </c>
      <c r="P156" s="296" t="n">
        <v>300000</v>
      </c>
      <c r="Q156" s="296" t="n">
        <v>600000</v>
      </c>
      <c r="R156" s="296" t="n">
        <v>900000</v>
      </c>
      <c r="S156" s="296" t="n">
        <v>144000</v>
      </c>
      <c r="T156" s="296" t="n">
        <v>1044000</v>
      </c>
      <c r="U156" s="78" t="inlineStr">
        <is>
          <t>IMAGEN</t>
        </is>
      </c>
      <c r="V156" s="85" t="n"/>
      <c r="W156" s="103" t="inlineStr">
        <is>
          <t>ADJUDICADO</t>
        </is>
      </c>
      <c r="X156" s="5" t="inlineStr">
        <is>
          <t>NO PROYECTADO</t>
        </is>
      </c>
    </row>
    <row r="157" hidden="1" ht="15.75" customHeight="1" s="227">
      <c r="G157" s="32" t="n">
        <v>169</v>
      </c>
      <c r="H157" s="89" t="n">
        <v>338</v>
      </c>
      <c r="I157" s="291" t="n"/>
      <c r="J157" s="291" t="n"/>
      <c r="K157" s="299" t="inlineStr">
        <is>
          <t>COSTO CONTRATO</t>
        </is>
      </c>
      <c r="L157" s="297">
        <f>SUM(L14:L156)</f>
        <v/>
      </c>
      <c r="M157" s="297">
        <f>SUM(M14:M156)</f>
        <v/>
      </c>
      <c r="N157" s="297">
        <f>SUM(N14:N156)</f>
        <v/>
      </c>
      <c r="P157" s="294" t="n"/>
      <c r="Q157" s="300" t="inlineStr">
        <is>
          <t>VENTA CONTRATO</t>
        </is>
      </c>
      <c r="R157" s="298">
        <f>SUM(R14:R156)</f>
        <v/>
      </c>
      <c r="S157" s="298">
        <f>SUM(S14:S156)</f>
        <v/>
      </c>
      <c r="T157" s="298">
        <f>SUM(T14:T156)</f>
        <v/>
      </c>
    </row>
    <row r="158" hidden="1" ht="16.5" customHeight="1" s="227" thickBot="1">
      <c r="G158" s="295" t="n">
        <v>507</v>
      </c>
      <c r="H158" s="254" t="n"/>
      <c r="I158" s="267" t="n"/>
      <c r="J158" s="267" t="n"/>
      <c r="L158" s="99" t="inlineStr">
        <is>
          <t>SUBTOTAL</t>
        </is>
      </c>
      <c r="M158" s="100" t="inlineStr">
        <is>
          <t>IVA</t>
        </is>
      </c>
      <c r="N158" s="101" t="inlineStr">
        <is>
          <t>TOTAL</t>
        </is>
      </c>
      <c r="R158" s="99" t="inlineStr">
        <is>
          <t>SUBTOTAL</t>
        </is>
      </c>
      <c r="S158" s="100" t="inlineStr">
        <is>
          <t>IVA</t>
        </is>
      </c>
      <c r="T158" s="101" t="inlineStr">
        <is>
          <t>Total con I.V.A.</t>
        </is>
      </c>
    </row>
    <row r="159">
      <c r="I159" s="267" t="n"/>
      <c r="J159" s="267" t="n"/>
      <c r="K159" s="267" t="n"/>
      <c r="L159" s="267" t="n"/>
      <c r="M159" s="267" t="n"/>
      <c r="N159" s="267" t="n"/>
    </row>
    <row r="160" ht="15.75" customHeight="1" s="227" thickBot="1">
      <c r="I160" s="267" t="n"/>
      <c r="J160" s="267" t="n"/>
      <c r="K160" s="267" t="n"/>
      <c r="L160" s="267" t="n"/>
      <c r="M160" s="267" t="n"/>
      <c r="N160" s="105" t="inlineStr">
        <is>
          <t>NETO</t>
        </is>
      </c>
      <c r="O160" s="105" t="inlineStr">
        <is>
          <t>IVA</t>
        </is>
      </c>
      <c r="P160" s="105" t="inlineStr">
        <is>
          <t>TOTAL</t>
        </is>
      </c>
    </row>
    <row r="161">
      <c r="I161" s="267" t="n"/>
      <c r="J161" s="267" t="n"/>
      <c r="K161" s="267" t="n"/>
      <c r="L161" s="267" t="n"/>
      <c r="M161" s="106" t="inlineStr">
        <is>
          <t>COSTO TOTAL</t>
        </is>
      </c>
      <c r="N161" s="301">
        <f>L157</f>
        <v/>
      </c>
      <c r="O161" s="302">
        <f>N161*0.16</f>
        <v/>
      </c>
      <c r="P161" s="302">
        <f>N161+O161</f>
        <v/>
      </c>
    </row>
    <row r="162" ht="15.75" customHeight="1" s="227" thickBot="1">
      <c r="I162" s="267" t="n"/>
      <c r="J162" s="267" t="n"/>
      <c r="K162" s="267" t="n"/>
      <c r="L162" s="267" t="n"/>
      <c r="M162" s="108" t="inlineStr">
        <is>
          <t xml:space="preserve">INGRESO </t>
        </is>
      </c>
      <c r="N162" s="303">
        <f>R157</f>
        <v/>
      </c>
      <c r="O162" s="302">
        <f>N162*0.16</f>
        <v/>
      </c>
      <c r="P162" s="302">
        <f>N162+O162</f>
        <v/>
      </c>
    </row>
    <row r="163" ht="18" customHeight="1" s="227">
      <c r="I163" s="267" t="n"/>
      <c r="J163" s="267" t="n"/>
      <c r="K163" s="267" t="n"/>
      <c r="L163" s="267" t="n"/>
      <c r="M163" s="274" t="inlineStr">
        <is>
          <t>UTILIDAD</t>
        </is>
      </c>
      <c r="N163" s="304">
        <f>N162-N161</f>
        <v/>
      </c>
      <c r="O163" s="302">
        <f>N163*0.16</f>
        <v/>
      </c>
      <c r="P163" s="302">
        <f>N163+O163</f>
        <v/>
      </c>
    </row>
    <row r="164" ht="19.5" customHeight="1" s="227" thickBot="1">
      <c r="I164" s="267" t="n"/>
      <c r="J164" s="267" t="n"/>
      <c r="K164" s="267" t="n"/>
      <c r="L164" s="267" t="n"/>
      <c r="M164" s="275" t="n"/>
      <c r="N164" s="111">
        <f>(N162-N161)/N162</f>
        <v/>
      </c>
      <c r="O164" s="104" t="n"/>
      <c r="P164" s="104" t="n"/>
    </row>
    <row r="165">
      <c r="I165" s="267" t="n"/>
      <c r="J165" s="267" t="n"/>
      <c r="K165" s="267" t="n"/>
      <c r="L165" s="267" t="n"/>
      <c r="M165" s="267" t="n"/>
      <c r="N165" s="267" t="n"/>
    </row>
    <row r="166">
      <c r="I166" s="267" t="n"/>
      <c r="J166" s="267" t="n"/>
      <c r="K166" s="267" t="n"/>
      <c r="L166" s="267" t="n"/>
      <c r="M166" s="267" t="n"/>
      <c r="N166" s="267" t="n"/>
    </row>
    <row r="167">
      <c r="I167" s="267" t="n"/>
      <c r="J167" s="267" t="n"/>
      <c r="K167" s="267" t="n"/>
      <c r="L167" s="267" t="n"/>
      <c r="M167" s="267" t="n"/>
      <c r="N167" s="267" t="n"/>
    </row>
    <row r="168">
      <c r="I168" s="267" t="n"/>
      <c r="J168" s="267" t="n"/>
      <c r="K168" s="267" t="n"/>
      <c r="L168" s="267" t="n"/>
      <c r="M168" s="267" t="n"/>
      <c r="N168" s="267" t="n"/>
    </row>
    <row r="169">
      <c r="I169" s="267" t="n"/>
      <c r="J169" s="267" t="n"/>
      <c r="K169" s="267" t="n"/>
      <c r="L169" s="267" t="n"/>
      <c r="M169" s="267" t="n"/>
      <c r="N169" s="267" t="n"/>
    </row>
    <row r="170">
      <c r="I170" s="267" t="n"/>
      <c r="J170" s="267" t="n"/>
      <c r="K170" s="267" t="n"/>
      <c r="L170" s="267" t="n"/>
      <c r="M170" s="267" t="n"/>
      <c r="N170" s="267" t="n"/>
    </row>
    <row r="171">
      <c r="I171" s="267" t="n"/>
      <c r="J171" s="267" t="n"/>
      <c r="K171" s="267" t="n"/>
      <c r="L171" s="267" t="n"/>
      <c r="M171" s="267" t="n"/>
      <c r="N171" s="267" t="n"/>
    </row>
    <row r="172">
      <c r="I172" s="267" t="n"/>
      <c r="J172" s="267" t="n"/>
      <c r="K172" s="267" t="n"/>
      <c r="L172" s="267" t="n"/>
      <c r="M172" s="267" t="n"/>
      <c r="N172" s="267" t="n"/>
    </row>
    <row r="173">
      <c r="I173" s="267" t="n"/>
      <c r="J173" s="267" t="n"/>
      <c r="K173" s="267" t="n"/>
      <c r="L173" s="267" t="n"/>
      <c r="M173" s="267" t="n"/>
      <c r="N173" s="267" t="n"/>
    </row>
    <row r="174">
      <c r="I174" s="267" t="n"/>
      <c r="J174" s="267" t="n"/>
      <c r="K174" s="267" t="n"/>
      <c r="L174" s="267" t="n"/>
      <c r="M174" s="267" t="n"/>
      <c r="N174" s="267" t="n"/>
    </row>
    <row r="175">
      <c r="I175" s="267" t="n"/>
      <c r="J175" s="267" t="n"/>
      <c r="K175" s="267" t="n"/>
      <c r="L175" s="267" t="n"/>
      <c r="M175" s="267" t="n"/>
      <c r="N175" s="267" t="n"/>
    </row>
    <row r="176">
      <c r="I176" s="267" t="n"/>
      <c r="J176" s="267" t="n"/>
      <c r="K176" s="267" t="n"/>
      <c r="L176" s="267" t="n"/>
      <c r="M176" s="267" t="n"/>
      <c r="N176" s="267" t="n"/>
    </row>
    <row r="177">
      <c r="I177" s="267" t="n"/>
      <c r="J177" s="267" t="n"/>
      <c r="K177" s="267" t="n"/>
      <c r="L177" s="267" t="n"/>
      <c r="M177" s="267" t="n"/>
      <c r="N177" s="267" t="n"/>
    </row>
    <row r="178">
      <c r="I178" s="267" t="n"/>
      <c r="J178" s="267" t="n"/>
      <c r="K178" s="267" t="n"/>
      <c r="L178" s="267" t="n"/>
      <c r="M178" s="267" t="n"/>
      <c r="N178" s="267" t="n"/>
    </row>
    <row r="179">
      <c r="I179" s="267" t="n"/>
      <c r="J179" s="267" t="n"/>
      <c r="K179" s="267" t="n"/>
      <c r="L179" s="267" t="n"/>
      <c r="M179" s="267" t="n"/>
      <c r="N179" s="267" t="n"/>
    </row>
    <row r="180">
      <c r="I180" s="267" t="n"/>
      <c r="J180" s="267" t="n"/>
      <c r="K180" s="267" t="n"/>
      <c r="L180" s="267" t="n"/>
      <c r="M180" s="267" t="n"/>
      <c r="N180" s="267" t="n"/>
    </row>
    <row r="181">
      <c r="I181" s="267" t="n"/>
      <c r="J181" s="267" t="n"/>
      <c r="K181" s="267" t="n"/>
      <c r="L181" s="267" t="n"/>
      <c r="M181" s="267" t="n"/>
      <c r="N181" s="267" t="n"/>
    </row>
    <row r="182">
      <c r="I182" s="267" t="n"/>
      <c r="J182" s="267" t="n"/>
      <c r="K182" s="267" t="n"/>
      <c r="L182" s="267" t="n"/>
      <c r="M182" s="267" t="n"/>
      <c r="N182" s="267" t="n"/>
    </row>
    <row r="183">
      <c r="I183" s="267" t="n"/>
      <c r="J183" s="267" t="n"/>
      <c r="K183" s="267" t="n"/>
      <c r="L183" s="267" t="n"/>
      <c r="M183" s="267" t="n"/>
      <c r="N183" s="267" t="n"/>
    </row>
    <row r="184">
      <c r="I184" s="267" t="n"/>
      <c r="J184" s="267" t="n"/>
      <c r="K184" s="267" t="n"/>
      <c r="L184" s="267" t="n"/>
      <c r="M184" s="267" t="n"/>
      <c r="N184" s="267" t="n"/>
    </row>
    <row r="185">
      <c r="I185" s="267" t="n"/>
      <c r="J185" s="267" t="n"/>
      <c r="K185" s="267" t="n"/>
      <c r="L185" s="267" t="n"/>
      <c r="M185" s="267" t="n"/>
      <c r="N185" s="267" t="n"/>
    </row>
    <row r="186">
      <c r="I186" s="267" t="n"/>
      <c r="J186" s="267" t="n"/>
      <c r="K186" s="267" t="n"/>
      <c r="L186" s="267" t="n"/>
      <c r="M186" s="267" t="n"/>
      <c r="N186" s="267" t="n"/>
    </row>
    <row r="187">
      <c r="I187" s="267" t="n"/>
      <c r="J187" s="267" t="n"/>
      <c r="K187" s="267" t="n"/>
      <c r="L187" s="267" t="n"/>
      <c r="M187" s="267" t="n"/>
      <c r="N187" s="267" t="n"/>
    </row>
    <row r="188">
      <c r="I188" s="267" t="n"/>
      <c r="J188" s="267" t="n"/>
      <c r="K188" s="267" t="n"/>
      <c r="L188" s="267" t="n"/>
      <c r="M188" s="267" t="n"/>
      <c r="N188" s="267" t="n"/>
    </row>
    <row r="189">
      <c r="I189" s="267" t="n"/>
      <c r="J189" s="267" t="n"/>
      <c r="K189" s="267" t="n"/>
      <c r="L189" s="267" t="n"/>
      <c r="M189" s="267" t="n"/>
      <c r="N189" s="267" t="n"/>
    </row>
    <row r="190">
      <c r="I190" s="267" t="n"/>
      <c r="J190" s="267" t="n"/>
      <c r="K190" s="267" t="n"/>
      <c r="L190" s="267" t="n"/>
      <c r="M190" s="267" t="n"/>
      <c r="N190" s="267" t="n"/>
    </row>
    <row r="191">
      <c r="I191" s="267" t="n"/>
      <c r="J191" s="267" t="n"/>
      <c r="K191" s="267" t="n"/>
      <c r="L191" s="267" t="n"/>
      <c r="M191" s="267" t="n"/>
      <c r="N191" s="267" t="n"/>
    </row>
    <row r="192">
      <c r="I192" s="267" t="n"/>
      <c r="J192" s="267" t="n"/>
      <c r="K192" s="267" t="n"/>
      <c r="L192" s="267" t="n"/>
      <c r="M192" s="267" t="n"/>
      <c r="N192" s="267" t="n"/>
    </row>
    <row r="193">
      <c r="I193" s="267" t="n"/>
      <c r="J193" s="267" t="n"/>
      <c r="K193" s="267" t="n"/>
      <c r="L193" s="267" t="n"/>
      <c r="M193" s="267" t="n"/>
      <c r="N193" s="267" t="n"/>
    </row>
    <row r="194">
      <c r="I194" s="267" t="n"/>
      <c r="J194" s="267" t="n"/>
      <c r="K194" s="267" t="n"/>
      <c r="L194" s="267" t="n"/>
      <c r="M194" s="267" t="n"/>
      <c r="N194" s="267" t="n"/>
    </row>
    <row r="195">
      <c r="I195" s="267" t="n"/>
      <c r="J195" s="267" t="n"/>
      <c r="K195" s="267" t="n"/>
      <c r="L195" s="267" t="n"/>
      <c r="M195" s="267" t="n"/>
      <c r="N195" s="267" t="n"/>
    </row>
    <row r="196">
      <c r="I196" s="267" t="n"/>
      <c r="J196" s="267" t="n"/>
      <c r="K196" s="267" t="n"/>
      <c r="L196" s="267" t="n"/>
      <c r="M196" s="267" t="n"/>
      <c r="N196" s="267" t="n"/>
    </row>
    <row r="197">
      <c r="I197" s="267" t="n"/>
      <c r="J197" s="267" t="n"/>
      <c r="K197" s="267" t="n"/>
      <c r="L197" s="267" t="n"/>
      <c r="M197" s="267" t="n"/>
      <c r="N197" s="267" t="n"/>
    </row>
    <row r="198">
      <c r="I198" s="267" t="n"/>
      <c r="J198" s="267" t="n"/>
      <c r="K198" s="267" t="n"/>
      <c r="L198" s="267" t="n"/>
      <c r="M198" s="267" t="n"/>
      <c r="N198" s="267" t="n"/>
    </row>
    <row r="199">
      <c r="I199" s="267" t="n"/>
      <c r="J199" s="267" t="n"/>
      <c r="K199" s="267" t="n"/>
      <c r="L199" s="267" t="n"/>
      <c r="M199" s="267" t="n"/>
      <c r="N199" s="267" t="n"/>
    </row>
    <row r="200">
      <c r="I200" s="267" t="n"/>
      <c r="J200" s="267" t="n"/>
      <c r="K200" s="267" t="n"/>
      <c r="L200" s="267" t="n"/>
      <c r="M200" s="267" t="n"/>
      <c r="N200" s="267" t="n"/>
    </row>
    <row r="201">
      <c r="I201" s="267" t="n"/>
      <c r="J201" s="267" t="n"/>
      <c r="K201" s="267" t="n"/>
      <c r="L201" s="267" t="n"/>
      <c r="M201" s="267" t="n"/>
      <c r="N201" s="267" t="n"/>
    </row>
    <row r="202">
      <c r="I202" s="267" t="n"/>
      <c r="J202" s="267" t="n"/>
      <c r="K202" s="267" t="n"/>
      <c r="L202" s="267" t="n"/>
      <c r="M202" s="267" t="n"/>
      <c r="N202" s="267" t="n"/>
    </row>
    <row r="203">
      <c r="I203" s="267" t="n"/>
      <c r="J203" s="267" t="n"/>
      <c r="K203" s="267" t="n"/>
      <c r="L203" s="267" t="n"/>
      <c r="M203" s="267" t="n"/>
      <c r="N203" s="267" t="n"/>
    </row>
    <row r="204">
      <c r="I204" s="267" t="n"/>
      <c r="J204" s="267" t="n"/>
      <c r="K204" s="267" t="n"/>
      <c r="L204" s="267" t="n"/>
      <c r="M204" s="267" t="n"/>
      <c r="N204" s="267" t="n"/>
    </row>
    <row r="205">
      <c r="I205" s="267" t="n"/>
      <c r="J205" s="267" t="n"/>
      <c r="K205" s="267" t="n"/>
      <c r="L205" s="267" t="n"/>
      <c r="M205" s="267" t="n"/>
      <c r="N205" s="267" t="n"/>
    </row>
    <row r="206">
      <c r="I206" s="267" t="n"/>
      <c r="J206" s="267" t="n"/>
      <c r="K206" s="267" t="n"/>
      <c r="L206" s="267" t="n"/>
      <c r="M206" s="267" t="n"/>
      <c r="N206" s="267" t="n"/>
    </row>
    <row r="207">
      <c r="I207" s="267" t="n"/>
      <c r="J207" s="267" t="n"/>
      <c r="K207" s="267" t="n"/>
      <c r="L207" s="267" t="n"/>
      <c r="M207" s="267" t="n"/>
      <c r="N207" s="267" t="n"/>
    </row>
    <row r="208">
      <c r="I208" s="267" t="n"/>
      <c r="J208" s="267" t="n"/>
      <c r="K208" s="267" t="n"/>
      <c r="L208" s="267" t="n"/>
      <c r="M208" s="267" t="n"/>
      <c r="N208" s="267" t="n"/>
    </row>
    <row r="209">
      <c r="I209" s="267" t="n"/>
      <c r="J209" s="267" t="n"/>
      <c r="K209" s="267" t="n"/>
      <c r="L209" s="267" t="n"/>
      <c r="M209" s="267" t="n"/>
      <c r="N209" s="267" t="n"/>
    </row>
    <row r="210">
      <c r="I210" s="267" t="n"/>
      <c r="J210" s="267" t="n"/>
      <c r="K210" s="267" t="n"/>
      <c r="L210" s="267" t="n"/>
      <c r="M210" s="267" t="n"/>
      <c r="N210" s="267" t="n"/>
    </row>
    <row r="211">
      <c r="I211" s="267" t="n"/>
      <c r="J211" s="267" t="n"/>
      <c r="K211" s="267" t="n"/>
      <c r="L211" s="267" t="n"/>
      <c r="M211" s="267" t="n"/>
      <c r="N211" s="267" t="n"/>
    </row>
    <row r="212">
      <c r="I212" s="267" t="n"/>
      <c r="J212" s="267" t="n"/>
      <c r="K212" s="267" t="n"/>
      <c r="L212" s="267" t="n"/>
      <c r="M212" s="267" t="n"/>
      <c r="N212" s="267" t="n"/>
    </row>
    <row r="213">
      <c r="I213" s="267" t="n"/>
      <c r="J213" s="267" t="n"/>
      <c r="K213" s="267" t="n"/>
      <c r="L213" s="267" t="n"/>
      <c r="M213" s="267" t="n"/>
      <c r="N213" s="267" t="n"/>
    </row>
    <row r="214">
      <c r="I214" s="267" t="n"/>
      <c r="J214" s="267" t="n"/>
      <c r="K214" s="267" t="n"/>
      <c r="L214" s="267" t="n"/>
      <c r="M214" s="267" t="n"/>
      <c r="N214" s="267" t="n"/>
    </row>
    <row r="215">
      <c r="I215" s="267" t="n"/>
      <c r="J215" s="267" t="n"/>
      <c r="K215" s="267" t="n"/>
      <c r="L215" s="267" t="n"/>
      <c r="M215" s="267" t="n"/>
      <c r="N215" s="267" t="n"/>
    </row>
    <row r="216">
      <c r="I216" s="267" t="n"/>
      <c r="J216" s="267" t="n"/>
      <c r="K216" s="267" t="n"/>
      <c r="L216" s="267" t="n"/>
      <c r="M216" s="267" t="n"/>
      <c r="N216" s="267" t="n"/>
    </row>
    <row r="217">
      <c r="I217" s="267" t="n"/>
      <c r="J217" s="267" t="n"/>
      <c r="K217" s="267" t="n"/>
      <c r="L217" s="267" t="n"/>
      <c r="M217" s="267" t="n"/>
      <c r="N217" s="267" t="n"/>
    </row>
    <row r="218">
      <c r="I218" s="267" t="n"/>
      <c r="J218" s="267" t="n"/>
      <c r="K218" s="267" t="n"/>
      <c r="L218" s="267" t="n"/>
      <c r="M218" s="267" t="n"/>
      <c r="N218" s="267" t="n"/>
    </row>
    <row r="219">
      <c r="I219" s="267" t="n"/>
      <c r="J219" s="267" t="n"/>
      <c r="K219" s="267" t="n"/>
      <c r="L219" s="267" t="n"/>
      <c r="M219" s="267" t="n"/>
      <c r="N219" s="267" t="n"/>
    </row>
    <row r="220">
      <c r="I220" s="267" t="n"/>
      <c r="J220" s="267" t="n"/>
      <c r="K220" s="267" t="n"/>
      <c r="L220" s="267" t="n"/>
      <c r="M220" s="267" t="n"/>
      <c r="N220" s="267" t="n"/>
    </row>
    <row r="221">
      <c r="I221" s="267" t="n"/>
      <c r="J221" s="267" t="n"/>
      <c r="K221" s="267" t="n"/>
      <c r="L221" s="267" t="n"/>
      <c r="M221" s="267" t="n"/>
      <c r="N221" s="267" t="n"/>
    </row>
    <row r="222">
      <c r="I222" s="267" t="n"/>
      <c r="J222" s="267" t="n"/>
      <c r="K222" s="267" t="n"/>
      <c r="L222" s="267" t="n"/>
      <c r="M222" s="267" t="n"/>
      <c r="N222" s="267" t="n"/>
    </row>
    <row r="223">
      <c r="I223" s="267" t="n"/>
      <c r="J223" s="267" t="n"/>
      <c r="K223" s="267" t="n"/>
      <c r="L223" s="267" t="n"/>
      <c r="M223" s="267" t="n"/>
      <c r="N223" s="267" t="n"/>
    </row>
    <row r="224">
      <c r="I224" s="267" t="n"/>
      <c r="J224" s="267" t="n"/>
      <c r="K224" s="267" t="n"/>
      <c r="L224" s="267" t="n"/>
      <c r="M224" s="267" t="n"/>
      <c r="N224" s="267" t="n"/>
    </row>
    <row r="225">
      <c r="I225" s="267" t="n"/>
      <c r="J225" s="267" t="n"/>
      <c r="K225" s="267" t="n"/>
      <c r="L225" s="267" t="n"/>
      <c r="M225" s="267" t="n"/>
      <c r="N225" s="267" t="n"/>
    </row>
    <row r="226">
      <c r="I226" s="267" t="n"/>
      <c r="J226" s="267" t="n"/>
      <c r="K226" s="267" t="n"/>
      <c r="L226" s="267" t="n"/>
      <c r="M226" s="267" t="n"/>
      <c r="N226" s="267" t="n"/>
    </row>
    <row r="227">
      <c r="I227" s="267" t="n"/>
      <c r="J227" s="267" t="n"/>
      <c r="K227" s="267" t="n"/>
      <c r="L227" s="267" t="n"/>
      <c r="M227" s="267" t="n"/>
      <c r="N227" s="267" t="n"/>
    </row>
    <row r="228">
      <c r="I228" s="267" t="n"/>
      <c r="J228" s="267" t="n"/>
      <c r="K228" s="267" t="n"/>
      <c r="L228" s="267" t="n"/>
      <c r="M228" s="267" t="n"/>
      <c r="N228" s="267" t="n"/>
    </row>
    <row r="229">
      <c r="I229" s="267" t="n"/>
      <c r="J229" s="267" t="n"/>
      <c r="K229" s="267" t="n"/>
      <c r="L229" s="267" t="n"/>
      <c r="M229" s="267" t="n"/>
      <c r="N229" s="267" t="n"/>
    </row>
    <row r="230">
      <c r="I230" s="267" t="n"/>
      <c r="J230" s="267" t="n"/>
      <c r="K230" s="267" t="n"/>
      <c r="L230" s="267" t="n"/>
      <c r="M230" s="267" t="n"/>
      <c r="N230" s="267" t="n"/>
    </row>
    <row r="231">
      <c r="I231" s="267" t="n"/>
      <c r="J231" s="267" t="n"/>
      <c r="K231" s="267" t="n"/>
      <c r="L231" s="267" t="n"/>
      <c r="M231" s="267" t="n"/>
      <c r="N231" s="267" t="n"/>
    </row>
    <row r="232">
      <c r="I232" s="267" t="n"/>
      <c r="J232" s="267" t="n"/>
      <c r="K232" s="267" t="n"/>
      <c r="L232" s="267" t="n"/>
      <c r="M232" s="267" t="n"/>
      <c r="N232" s="267" t="n"/>
    </row>
    <row r="233">
      <c r="I233" s="267" t="n"/>
      <c r="J233" s="267" t="n"/>
      <c r="K233" s="267" t="n"/>
      <c r="L233" s="267" t="n"/>
      <c r="M233" s="267" t="n"/>
      <c r="N233" s="267" t="n"/>
    </row>
    <row r="234">
      <c r="I234" s="267" t="n"/>
      <c r="J234" s="267" t="n"/>
      <c r="K234" s="267" t="n"/>
      <c r="L234" s="267" t="n"/>
      <c r="M234" s="267" t="n"/>
      <c r="N234" s="267" t="n"/>
    </row>
    <row r="235">
      <c r="I235" s="267" t="n"/>
      <c r="J235" s="267" t="n"/>
      <c r="K235" s="267" t="n"/>
      <c r="L235" s="267" t="n"/>
      <c r="M235" s="267" t="n"/>
      <c r="N235" s="267" t="n"/>
    </row>
    <row r="236">
      <c r="I236" s="267" t="n"/>
      <c r="J236" s="267" t="n"/>
      <c r="K236" s="267" t="n"/>
      <c r="L236" s="267" t="n"/>
      <c r="M236" s="267" t="n"/>
      <c r="N236" s="267" t="n"/>
    </row>
    <row r="237">
      <c r="I237" s="267" t="n"/>
      <c r="J237" s="267" t="n"/>
      <c r="K237" s="267" t="n"/>
      <c r="L237" s="267" t="n"/>
      <c r="M237" s="267" t="n"/>
      <c r="N237" s="267" t="n"/>
    </row>
    <row r="238">
      <c r="I238" s="267" t="n"/>
      <c r="J238" s="267" t="n"/>
      <c r="K238" s="267" t="n"/>
      <c r="L238" s="267" t="n"/>
      <c r="M238" s="267" t="n"/>
      <c r="N238" s="267" t="n"/>
    </row>
    <row r="239">
      <c r="I239" s="267" t="n"/>
      <c r="J239" s="267" t="n"/>
      <c r="K239" s="267" t="n"/>
      <c r="L239" s="267" t="n"/>
      <c r="M239" s="267" t="n"/>
      <c r="N239" s="267" t="n"/>
    </row>
    <row r="240">
      <c r="I240" s="267" t="n"/>
      <c r="J240" s="267" t="n"/>
      <c r="K240" s="267" t="n"/>
      <c r="L240" s="267" t="n"/>
      <c r="M240" s="267" t="n"/>
      <c r="N240" s="267" t="n"/>
    </row>
    <row r="241">
      <c r="I241" s="267" t="n"/>
      <c r="J241" s="267" t="n"/>
      <c r="K241" s="267" t="n"/>
      <c r="L241" s="267" t="n"/>
      <c r="M241" s="267" t="n"/>
      <c r="N241" s="267" t="n"/>
    </row>
    <row r="242">
      <c r="I242" s="267" t="n"/>
      <c r="J242" s="267" t="n"/>
      <c r="K242" s="267" t="n"/>
      <c r="L242" s="267" t="n"/>
      <c r="M242" s="267" t="n"/>
      <c r="N242" s="267" t="n"/>
    </row>
    <row r="243">
      <c r="I243" s="267" t="n"/>
      <c r="J243" s="267" t="n"/>
      <c r="K243" s="267" t="n"/>
      <c r="L243" s="267" t="n"/>
      <c r="M243" s="267" t="n"/>
      <c r="N243" s="267" t="n"/>
    </row>
    <row r="244">
      <c r="I244" s="267" t="n"/>
      <c r="J244" s="267" t="n"/>
      <c r="K244" s="267" t="n"/>
      <c r="L244" s="267" t="n"/>
      <c r="M244" s="267" t="n"/>
      <c r="N244" s="267" t="n"/>
    </row>
    <row r="245">
      <c r="I245" s="267" t="n"/>
      <c r="J245" s="267" t="n"/>
      <c r="K245" s="267" t="n"/>
      <c r="L245" s="267" t="n"/>
      <c r="M245" s="267" t="n"/>
      <c r="N245" s="267" t="n"/>
    </row>
    <row r="246">
      <c r="I246" s="267" t="n"/>
      <c r="J246" s="267" t="n"/>
      <c r="K246" s="267" t="n"/>
      <c r="L246" s="267" t="n"/>
      <c r="M246" s="267" t="n"/>
      <c r="N246" s="267" t="n"/>
    </row>
    <row r="247">
      <c r="I247" s="267" t="n"/>
      <c r="J247" s="267" t="n"/>
      <c r="K247" s="267" t="n"/>
      <c r="L247" s="267" t="n"/>
      <c r="M247" s="267" t="n"/>
      <c r="N247" s="267" t="n"/>
    </row>
    <row r="248">
      <c r="I248" s="267" t="n"/>
      <c r="J248" s="267" t="n"/>
      <c r="K248" s="267" t="n"/>
      <c r="L248" s="267" t="n"/>
      <c r="M248" s="267" t="n"/>
      <c r="N248" s="267" t="n"/>
    </row>
    <row r="249">
      <c r="I249" s="267" t="n"/>
      <c r="J249" s="267" t="n"/>
      <c r="K249" s="267" t="n"/>
      <c r="L249" s="267" t="n"/>
      <c r="M249" s="267" t="n"/>
      <c r="N249" s="267" t="n"/>
    </row>
    <row r="250">
      <c r="I250" s="267" t="n"/>
      <c r="J250" s="267" t="n"/>
      <c r="K250" s="267" t="n"/>
      <c r="L250" s="267" t="n"/>
      <c r="M250" s="267" t="n"/>
      <c r="N250" s="267" t="n"/>
    </row>
    <row r="251">
      <c r="I251" s="267" t="n"/>
      <c r="J251" s="267" t="n"/>
      <c r="K251" s="267" t="n"/>
      <c r="L251" s="267" t="n"/>
      <c r="M251" s="267" t="n"/>
      <c r="N251" s="267" t="n"/>
    </row>
    <row r="252">
      <c r="I252" s="267" t="n"/>
      <c r="J252" s="267" t="n"/>
      <c r="K252" s="267" t="n"/>
      <c r="L252" s="267" t="n"/>
      <c r="M252" s="267" t="n"/>
      <c r="N252" s="267" t="n"/>
    </row>
    <row r="253">
      <c r="I253" s="267" t="n"/>
      <c r="J253" s="267" t="n"/>
      <c r="K253" s="267" t="n"/>
      <c r="L253" s="267" t="n"/>
      <c r="M253" s="267" t="n"/>
      <c r="N253" s="267" t="n"/>
    </row>
    <row r="254">
      <c r="I254" s="267" t="n"/>
      <c r="J254" s="267" t="n"/>
      <c r="K254" s="267" t="n"/>
      <c r="L254" s="267" t="n"/>
      <c r="M254" s="267" t="n"/>
      <c r="N254" s="267" t="n"/>
    </row>
    <row r="255">
      <c r="I255" s="267" t="n"/>
      <c r="J255" s="267" t="n"/>
      <c r="K255" s="267" t="n"/>
      <c r="L255" s="267" t="n"/>
      <c r="M255" s="267" t="n"/>
      <c r="N255" s="267" t="n"/>
    </row>
    <row r="256">
      <c r="I256" s="267" t="n"/>
      <c r="J256" s="267" t="n"/>
      <c r="K256" s="267" t="n"/>
      <c r="L256" s="267" t="n"/>
      <c r="M256" s="267" t="n"/>
      <c r="N256" s="267" t="n"/>
    </row>
    <row r="257">
      <c r="I257" s="267" t="n"/>
      <c r="J257" s="267" t="n"/>
      <c r="K257" s="267" t="n"/>
      <c r="L257" s="267" t="n"/>
      <c r="M257" s="267" t="n"/>
      <c r="N257" s="267" t="n"/>
    </row>
    <row r="258">
      <c r="I258" s="267" t="n"/>
      <c r="J258" s="267" t="n"/>
      <c r="K258" s="267" t="n"/>
      <c r="L258" s="267" t="n"/>
      <c r="M258" s="267" t="n"/>
      <c r="N258" s="267" t="n"/>
    </row>
    <row r="259">
      <c r="I259" s="267" t="n"/>
      <c r="J259" s="267" t="n"/>
      <c r="K259" s="267" t="n"/>
      <c r="L259" s="267" t="n"/>
      <c r="M259" s="267" t="n"/>
      <c r="N259" s="267" t="n"/>
    </row>
    <row r="260">
      <c r="I260" s="267" t="n"/>
      <c r="J260" s="267" t="n"/>
      <c r="K260" s="267" t="n"/>
      <c r="L260" s="267" t="n"/>
      <c r="M260" s="267" t="n"/>
      <c r="N260" s="267" t="n"/>
    </row>
    <row r="261">
      <c r="I261" s="267" t="n"/>
      <c r="J261" s="267" t="n"/>
      <c r="K261" s="267" t="n"/>
      <c r="L261" s="267" t="n"/>
      <c r="M261" s="267" t="n"/>
      <c r="N261" s="267" t="n"/>
    </row>
    <row r="262">
      <c r="I262" s="267" t="n"/>
      <c r="J262" s="267" t="n"/>
      <c r="K262" s="267" t="n"/>
      <c r="L262" s="267" t="n"/>
      <c r="M262" s="267" t="n"/>
      <c r="N262" s="267" t="n"/>
    </row>
    <row r="263">
      <c r="I263" s="267" t="n"/>
      <c r="J263" s="267" t="n"/>
      <c r="K263" s="267" t="n"/>
      <c r="L263" s="267" t="n"/>
      <c r="M263" s="267" t="n"/>
      <c r="N263" s="267" t="n"/>
    </row>
    <row r="264">
      <c r="I264" s="267" t="n"/>
      <c r="J264" s="267" t="n"/>
      <c r="K264" s="267" t="n"/>
      <c r="L264" s="267" t="n"/>
      <c r="M264" s="267" t="n"/>
      <c r="N264" s="267" t="n"/>
    </row>
    <row r="265">
      <c r="I265" s="267" t="n"/>
      <c r="J265" s="267" t="n"/>
      <c r="K265" s="267" t="n"/>
      <c r="L265" s="267" t="n"/>
      <c r="M265" s="267" t="n"/>
      <c r="N265" s="267" t="n"/>
    </row>
    <row r="266">
      <c r="I266" s="267" t="n"/>
      <c r="J266" s="267" t="n"/>
      <c r="K266" s="267" t="n"/>
      <c r="L266" s="267" t="n"/>
      <c r="M266" s="267" t="n"/>
      <c r="N266" s="267" t="n"/>
    </row>
    <row r="267">
      <c r="I267" s="267" t="n"/>
      <c r="J267" s="267" t="n"/>
      <c r="K267" s="267" t="n"/>
      <c r="L267" s="267" t="n"/>
      <c r="M267" s="267" t="n"/>
      <c r="N267" s="267" t="n"/>
    </row>
    <row r="268">
      <c r="I268" s="267" t="n"/>
      <c r="J268" s="267" t="n"/>
      <c r="K268" s="267" t="n"/>
      <c r="L268" s="267" t="n"/>
      <c r="M268" s="267" t="n"/>
      <c r="N268" s="267" t="n"/>
    </row>
    <row r="269">
      <c r="I269" s="267" t="n"/>
      <c r="J269" s="267" t="n"/>
      <c r="K269" s="267" t="n"/>
      <c r="L269" s="267" t="n"/>
      <c r="M269" s="267" t="n"/>
      <c r="N269" s="267" t="n"/>
    </row>
    <row r="270">
      <c r="I270" s="267" t="n"/>
      <c r="J270" s="267" t="n"/>
      <c r="K270" s="267" t="n"/>
      <c r="L270" s="267" t="n"/>
      <c r="M270" s="267" t="n"/>
      <c r="N270" s="267" t="n"/>
    </row>
    <row r="271">
      <c r="I271" s="267" t="n"/>
      <c r="J271" s="267" t="n"/>
      <c r="K271" s="267" t="n"/>
      <c r="L271" s="267" t="n"/>
      <c r="M271" s="267" t="n"/>
      <c r="N271" s="267" t="n"/>
    </row>
    <row r="272">
      <c r="I272" s="267" t="n"/>
      <c r="J272" s="267" t="n"/>
      <c r="K272" s="267" t="n"/>
      <c r="L272" s="267" t="n"/>
      <c r="M272" s="267" t="n"/>
      <c r="N272" s="267" t="n"/>
    </row>
    <row r="273">
      <c r="I273" s="267" t="n"/>
      <c r="J273" s="267" t="n"/>
      <c r="K273" s="267" t="n"/>
      <c r="L273" s="267" t="n"/>
      <c r="M273" s="267" t="n"/>
      <c r="N273" s="267" t="n"/>
    </row>
    <row r="274">
      <c r="I274" s="267" t="n"/>
      <c r="J274" s="267" t="n"/>
      <c r="K274" s="267" t="n"/>
      <c r="L274" s="267" t="n"/>
      <c r="M274" s="267" t="n"/>
      <c r="N274" s="267" t="n"/>
    </row>
    <row r="275">
      <c r="I275" s="267" t="n"/>
      <c r="J275" s="267" t="n"/>
      <c r="K275" s="267" t="n"/>
      <c r="L275" s="267" t="n"/>
      <c r="M275" s="267" t="n"/>
      <c r="N275" s="267" t="n"/>
    </row>
    <row r="276">
      <c r="I276" s="267" t="n"/>
      <c r="J276" s="267" t="n"/>
      <c r="K276" s="267" t="n"/>
      <c r="L276" s="267" t="n"/>
      <c r="M276" s="267" t="n"/>
      <c r="N276" s="267" t="n"/>
    </row>
    <row r="277">
      <c r="I277" s="267" t="n"/>
      <c r="J277" s="267" t="n"/>
      <c r="K277" s="267" t="n"/>
      <c r="L277" s="267" t="n"/>
      <c r="M277" s="267" t="n"/>
      <c r="N277" s="267" t="n"/>
    </row>
    <row r="278">
      <c r="I278" s="267" t="n"/>
      <c r="J278" s="267" t="n"/>
      <c r="K278" s="267" t="n"/>
      <c r="L278" s="267" t="n"/>
      <c r="M278" s="267" t="n"/>
      <c r="N278" s="267" t="n"/>
    </row>
    <row r="279">
      <c r="I279" s="267" t="n"/>
      <c r="J279" s="267" t="n"/>
      <c r="K279" s="267" t="n"/>
      <c r="L279" s="267" t="n"/>
      <c r="M279" s="267" t="n"/>
      <c r="N279" s="267" t="n"/>
    </row>
    <row r="280">
      <c r="I280" s="267" t="n"/>
      <c r="J280" s="267" t="n"/>
      <c r="K280" s="267" t="n"/>
      <c r="L280" s="267" t="n"/>
      <c r="M280" s="267" t="n"/>
      <c r="N280" s="267" t="n"/>
    </row>
    <row r="281">
      <c r="I281" s="267" t="n"/>
      <c r="J281" s="267" t="n"/>
      <c r="K281" s="267" t="n"/>
      <c r="L281" s="267" t="n"/>
      <c r="M281" s="267" t="n"/>
      <c r="N281" s="267" t="n"/>
    </row>
    <row r="282">
      <c r="I282" s="267" t="n"/>
      <c r="J282" s="267" t="n"/>
      <c r="K282" s="267" t="n"/>
      <c r="L282" s="267" t="n"/>
      <c r="M282" s="267" t="n"/>
      <c r="N282" s="267" t="n"/>
    </row>
    <row r="283">
      <c r="I283" s="267" t="n"/>
      <c r="J283" s="267" t="n"/>
      <c r="K283" s="267" t="n"/>
      <c r="L283" s="267" t="n"/>
      <c r="M283" s="267" t="n"/>
      <c r="N283" s="267" t="n"/>
    </row>
    <row r="284">
      <c r="I284" s="267" t="n"/>
      <c r="J284" s="267" t="n"/>
      <c r="K284" s="267" t="n"/>
      <c r="L284" s="267" t="n"/>
      <c r="M284" s="267" t="n"/>
      <c r="N284" s="267" t="n"/>
    </row>
    <row r="285">
      <c r="I285" s="267" t="n"/>
      <c r="J285" s="267" t="n"/>
      <c r="K285" s="267" t="n"/>
      <c r="L285" s="267" t="n"/>
      <c r="M285" s="267" t="n"/>
      <c r="N285" s="267" t="n"/>
    </row>
    <row r="286">
      <c r="I286" s="267" t="n"/>
      <c r="J286" s="267" t="n"/>
      <c r="K286" s="267" t="n"/>
      <c r="L286" s="267" t="n"/>
      <c r="M286" s="267" t="n"/>
      <c r="N286" s="267" t="n"/>
    </row>
    <row r="287">
      <c r="I287" s="267" t="n"/>
      <c r="J287" s="267" t="n"/>
      <c r="K287" s="267" t="n"/>
      <c r="L287" s="267" t="n"/>
      <c r="M287" s="267" t="n"/>
      <c r="N287" s="267" t="n"/>
    </row>
    <row r="288">
      <c r="I288" s="267" t="n"/>
      <c r="J288" s="267" t="n"/>
      <c r="K288" s="267" t="n"/>
      <c r="L288" s="267" t="n"/>
      <c r="M288" s="267" t="n"/>
      <c r="N288" s="267" t="n"/>
    </row>
    <row r="289">
      <c r="I289" s="267" t="n"/>
      <c r="J289" s="267" t="n"/>
      <c r="K289" s="267" t="n"/>
      <c r="L289" s="267" t="n"/>
      <c r="M289" s="267" t="n"/>
      <c r="N289" s="267" t="n"/>
    </row>
    <row r="290">
      <c r="I290" s="267" t="n"/>
      <c r="J290" s="267" t="n"/>
      <c r="K290" s="267" t="n"/>
      <c r="L290" s="267" t="n"/>
      <c r="M290" s="267" t="n"/>
      <c r="N290" s="267" t="n"/>
    </row>
    <row r="291">
      <c r="I291" s="267" t="n"/>
      <c r="J291" s="267" t="n"/>
      <c r="K291" s="267" t="n"/>
      <c r="L291" s="267" t="n"/>
      <c r="M291" s="267" t="n"/>
      <c r="N291" s="267" t="n"/>
    </row>
    <row r="292">
      <c r="I292" s="267" t="n"/>
      <c r="J292" s="267" t="n"/>
      <c r="K292" s="267" t="n"/>
      <c r="L292" s="267" t="n"/>
      <c r="M292" s="267" t="n"/>
      <c r="N292" s="267" t="n"/>
    </row>
    <row r="293">
      <c r="I293" s="267" t="n"/>
      <c r="J293" s="267" t="n"/>
      <c r="K293" s="267" t="n"/>
      <c r="L293" s="267" t="n"/>
      <c r="M293" s="267" t="n"/>
      <c r="N293" s="267" t="n"/>
    </row>
    <row r="294">
      <c r="I294" s="267" t="n"/>
      <c r="J294" s="267" t="n"/>
      <c r="K294" s="267" t="n"/>
      <c r="L294" s="267" t="n"/>
      <c r="M294" s="267" t="n"/>
      <c r="N294" s="267" t="n"/>
    </row>
    <row r="295">
      <c r="I295" s="267" t="n"/>
      <c r="J295" s="267" t="n"/>
      <c r="K295" s="267" t="n"/>
      <c r="L295" s="267" t="n"/>
      <c r="M295" s="267" t="n"/>
      <c r="N295" s="267" t="n"/>
    </row>
    <row r="296">
      <c r="I296" s="267" t="n"/>
      <c r="J296" s="267" t="n"/>
      <c r="K296" s="267" t="n"/>
      <c r="L296" s="267" t="n"/>
      <c r="M296" s="267" t="n"/>
      <c r="N296" s="267" t="n"/>
    </row>
    <row r="297">
      <c r="I297" s="267" t="n"/>
      <c r="J297" s="267" t="n"/>
      <c r="K297" s="267" t="n"/>
      <c r="L297" s="267" t="n"/>
      <c r="M297" s="267" t="n"/>
      <c r="N297" s="267" t="n"/>
    </row>
    <row r="298">
      <c r="I298" s="267" t="n"/>
      <c r="J298" s="267" t="n"/>
      <c r="K298" s="267" t="n"/>
      <c r="L298" s="267" t="n"/>
      <c r="M298" s="267" t="n"/>
      <c r="N298" s="267" t="n"/>
    </row>
    <row r="299">
      <c r="I299" s="267" t="n"/>
      <c r="J299" s="267" t="n"/>
      <c r="K299" s="267" t="n"/>
      <c r="L299" s="267" t="n"/>
      <c r="M299" s="267" t="n"/>
      <c r="N299" s="267" t="n"/>
    </row>
    <row r="300">
      <c r="I300" s="267" t="n"/>
      <c r="J300" s="267" t="n"/>
      <c r="K300" s="267" t="n"/>
      <c r="L300" s="267" t="n"/>
      <c r="M300" s="267" t="n"/>
      <c r="N300" s="267" t="n"/>
    </row>
    <row r="301">
      <c r="I301" s="267" t="n"/>
      <c r="J301" s="267" t="n"/>
      <c r="K301" s="267" t="n"/>
      <c r="L301" s="267" t="n"/>
      <c r="M301" s="267" t="n"/>
      <c r="N301" s="267" t="n"/>
    </row>
    <row r="302">
      <c r="I302" s="267" t="n"/>
      <c r="J302" s="267" t="n"/>
      <c r="K302" s="267" t="n"/>
      <c r="L302" s="267" t="n"/>
      <c r="M302" s="267" t="n"/>
      <c r="N302" s="267" t="n"/>
    </row>
    <row r="303">
      <c r="I303" s="267" t="n"/>
      <c r="J303" s="267" t="n"/>
      <c r="K303" s="267" t="n"/>
      <c r="L303" s="267" t="n"/>
      <c r="M303" s="267" t="n"/>
      <c r="N303" s="267" t="n"/>
    </row>
    <row r="304">
      <c r="I304" s="267" t="n"/>
      <c r="J304" s="267" t="n"/>
      <c r="K304" s="267" t="n"/>
      <c r="L304" s="267" t="n"/>
      <c r="M304" s="267" t="n"/>
      <c r="N304" s="267" t="n"/>
    </row>
    <row r="305">
      <c r="I305" s="267" t="n"/>
      <c r="J305" s="267" t="n"/>
      <c r="K305" s="267" t="n"/>
      <c r="L305" s="267" t="n"/>
      <c r="M305" s="267" t="n"/>
      <c r="N305" s="267" t="n"/>
    </row>
    <row r="306">
      <c r="I306" s="267" t="n"/>
      <c r="J306" s="267" t="n"/>
      <c r="K306" s="267" t="n"/>
      <c r="L306" s="267" t="n"/>
      <c r="M306" s="267" t="n"/>
      <c r="N306" s="267" t="n"/>
    </row>
    <row r="307">
      <c r="I307" s="267" t="n"/>
      <c r="J307" s="267" t="n"/>
      <c r="K307" s="267" t="n"/>
      <c r="L307" s="267" t="n"/>
      <c r="M307" s="267" t="n"/>
      <c r="N307" s="267" t="n"/>
    </row>
    <row r="308">
      <c r="I308" s="267" t="n"/>
      <c r="J308" s="267" t="n"/>
      <c r="K308" s="267" t="n"/>
      <c r="L308" s="267" t="n"/>
      <c r="M308" s="267" t="n"/>
      <c r="N308" s="267" t="n"/>
    </row>
    <row r="309">
      <c r="I309" s="267" t="n"/>
      <c r="J309" s="267" t="n"/>
      <c r="K309" s="267" t="n"/>
      <c r="L309" s="267" t="n"/>
      <c r="M309" s="267" t="n"/>
      <c r="N309" s="267" t="n"/>
    </row>
    <row r="310">
      <c r="I310" s="267" t="n"/>
      <c r="J310" s="267" t="n"/>
      <c r="K310" s="267" t="n"/>
      <c r="L310" s="267" t="n"/>
      <c r="M310" s="267" t="n"/>
      <c r="N310" s="267" t="n"/>
    </row>
    <row r="311">
      <c r="I311" s="267" t="n"/>
      <c r="J311" s="267" t="n"/>
      <c r="K311" s="267" t="n"/>
      <c r="L311" s="267" t="n"/>
      <c r="M311" s="267" t="n"/>
      <c r="N311" s="267" t="n"/>
    </row>
    <row r="312">
      <c r="I312" s="267" t="n"/>
      <c r="J312" s="267" t="n"/>
      <c r="K312" s="267" t="n"/>
      <c r="L312" s="267" t="n"/>
      <c r="M312" s="267" t="n"/>
      <c r="N312" s="267" t="n"/>
    </row>
    <row r="313">
      <c r="I313" s="267" t="n"/>
      <c r="J313" s="267" t="n"/>
      <c r="K313" s="267" t="n"/>
      <c r="L313" s="267" t="n"/>
      <c r="M313" s="267" t="n"/>
      <c r="N313" s="267" t="n"/>
    </row>
    <row r="314">
      <c r="I314" s="267" t="n"/>
      <c r="J314" s="267" t="n"/>
      <c r="K314" s="267" t="n"/>
      <c r="L314" s="267" t="n"/>
      <c r="M314" s="267" t="n"/>
      <c r="N314" s="267" t="n"/>
    </row>
    <row r="315">
      <c r="I315" s="267" t="n"/>
      <c r="J315" s="267" t="n"/>
      <c r="K315" s="267" t="n"/>
      <c r="L315" s="267" t="n"/>
      <c r="M315" s="267" t="n"/>
      <c r="N315" s="267" t="n"/>
    </row>
    <row r="316">
      <c r="I316" s="267" t="n"/>
      <c r="J316" s="267" t="n"/>
      <c r="K316" s="267" t="n"/>
      <c r="L316" s="267" t="n"/>
      <c r="M316" s="267" t="n"/>
      <c r="N316" s="267" t="n"/>
    </row>
    <row r="317">
      <c r="I317" s="267" t="n"/>
      <c r="J317" s="267" t="n"/>
      <c r="K317" s="267" t="n"/>
      <c r="L317" s="267" t="n"/>
      <c r="M317" s="267" t="n"/>
      <c r="N317" s="267" t="n"/>
    </row>
    <row r="318">
      <c r="I318" s="267" t="n"/>
      <c r="J318" s="267" t="n"/>
      <c r="K318" s="267" t="n"/>
      <c r="L318" s="267" t="n"/>
      <c r="M318" s="267" t="n"/>
      <c r="N318" s="267" t="n"/>
    </row>
    <row r="319">
      <c r="I319" s="267" t="n"/>
      <c r="J319" s="267" t="n"/>
      <c r="K319" s="267" t="n"/>
      <c r="L319" s="267" t="n"/>
      <c r="M319" s="267" t="n"/>
      <c r="N319" s="267" t="n"/>
    </row>
    <row r="320">
      <c r="I320" s="267" t="n"/>
      <c r="J320" s="267" t="n"/>
      <c r="K320" s="267" t="n"/>
      <c r="L320" s="267" t="n"/>
      <c r="M320" s="267" t="n"/>
      <c r="N320" s="267" t="n"/>
    </row>
    <row r="321">
      <c r="I321" s="267" t="n"/>
      <c r="J321" s="267" t="n"/>
      <c r="K321" s="267" t="n"/>
      <c r="L321" s="267" t="n"/>
      <c r="M321" s="267" t="n"/>
      <c r="N321" s="267" t="n"/>
    </row>
    <row r="322">
      <c r="I322" s="267" t="n"/>
      <c r="J322" s="267" t="n"/>
      <c r="K322" s="267" t="n"/>
      <c r="L322" s="267" t="n"/>
      <c r="M322" s="267" t="n"/>
      <c r="N322" s="267" t="n"/>
    </row>
    <row r="323">
      <c r="I323" s="267" t="n"/>
      <c r="J323" s="267" t="n"/>
      <c r="K323" s="267" t="n"/>
      <c r="L323" s="267" t="n"/>
      <c r="M323" s="267" t="n"/>
      <c r="N323" s="267" t="n"/>
    </row>
    <row r="324">
      <c r="I324" s="267" t="n"/>
      <c r="J324" s="267" t="n"/>
      <c r="K324" s="267" t="n"/>
      <c r="L324" s="267" t="n"/>
      <c r="M324" s="267" t="n"/>
      <c r="N324" s="267" t="n"/>
    </row>
    <row r="325">
      <c r="I325" s="267" t="n"/>
      <c r="J325" s="267" t="n"/>
      <c r="K325" s="267" t="n"/>
      <c r="L325" s="267" t="n"/>
      <c r="M325" s="267" t="n"/>
      <c r="N325" s="267" t="n"/>
    </row>
    <row r="326">
      <c r="I326" s="267" t="n"/>
      <c r="J326" s="267" t="n"/>
      <c r="K326" s="267" t="n"/>
      <c r="L326" s="267" t="n"/>
      <c r="M326" s="267" t="n"/>
      <c r="N326" s="267" t="n"/>
    </row>
    <row r="327">
      <c r="I327" s="267" t="n"/>
      <c r="J327" s="267" t="n"/>
      <c r="K327" s="267" t="n"/>
      <c r="L327" s="267" t="n"/>
      <c r="M327" s="267" t="n"/>
      <c r="N327" s="267" t="n"/>
    </row>
    <row r="328">
      <c r="I328" s="267" t="n"/>
      <c r="J328" s="267" t="n"/>
      <c r="K328" s="267" t="n"/>
      <c r="L328" s="267" t="n"/>
      <c r="M328" s="267" t="n"/>
      <c r="N328" s="267" t="n"/>
    </row>
    <row r="329">
      <c r="I329" s="267" t="n"/>
      <c r="J329" s="267" t="n"/>
      <c r="K329" s="267" t="n"/>
      <c r="L329" s="267" t="n"/>
      <c r="M329" s="267" t="n"/>
      <c r="N329" s="267" t="n"/>
    </row>
    <row r="330">
      <c r="I330" s="267" t="n"/>
      <c r="J330" s="267" t="n"/>
      <c r="K330" s="267" t="n"/>
      <c r="L330" s="267" t="n"/>
      <c r="M330" s="267" t="n"/>
      <c r="N330" s="267" t="n"/>
    </row>
    <row r="331">
      <c r="I331" s="267" t="n"/>
      <c r="J331" s="267" t="n"/>
      <c r="K331" s="267" t="n"/>
      <c r="L331" s="267" t="n"/>
      <c r="M331" s="267" t="n"/>
      <c r="N331" s="267" t="n"/>
    </row>
    <row r="332">
      <c r="I332" s="267" t="n"/>
      <c r="J332" s="267" t="n"/>
      <c r="K332" s="267" t="n"/>
      <c r="L332" s="267" t="n"/>
      <c r="M332" s="267" t="n"/>
      <c r="N332" s="267" t="n"/>
    </row>
    <row r="333">
      <c r="I333" s="267" t="n"/>
      <c r="J333" s="267" t="n"/>
      <c r="K333" s="267" t="n"/>
      <c r="L333" s="267" t="n"/>
      <c r="M333" s="267" t="n"/>
      <c r="N333" s="267" t="n"/>
    </row>
    <row r="334">
      <c r="I334" s="267" t="n"/>
      <c r="J334" s="267" t="n"/>
      <c r="K334" s="267" t="n"/>
      <c r="L334" s="267" t="n"/>
      <c r="M334" s="267" t="n"/>
      <c r="N334" s="267" t="n"/>
    </row>
    <row r="335">
      <c r="I335" s="267" t="n"/>
      <c r="J335" s="267" t="n"/>
      <c r="K335" s="267" t="n"/>
      <c r="L335" s="267" t="n"/>
      <c r="M335" s="267" t="n"/>
      <c r="N335" s="267" t="n"/>
    </row>
    <row r="336">
      <c r="I336" s="267" t="n"/>
      <c r="J336" s="267" t="n"/>
      <c r="K336" s="267" t="n"/>
      <c r="L336" s="267" t="n"/>
      <c r="M336" s="267" t="n"/>
      <c r="N336" s="267" t="n"/>
    </row>
    <row r="337">
      <c r="I337" s="267" t="n"/>
      <c r="J337" s="267" t="n"/>
      <c r="K337" s="267" t="n"/>
      <c r="L337" s="267" t="n"/>
      <c r="M337" s="267" t="n"/>
      <c r="N337" s="267" t="n"/>
    </row>
    <row r="338">
      <c r="I338" s="267" t="n"/>
      <c r="J338" s="267" t="n"/>
      <c r="K338" s="267" t="n"/>
      <c r="L338" s="267" t="n"/>
      <c r="M338" s="267" t="n"/>
      <c r="N338" s="267" t="n"/>
    </row>
    <row r="339">
      <c r="I339" s="267" t="n"/>
      <c r="J339" s="267" t="n"/>
      <c r="K339" s="267" t="n"/>
      <c r="L339" s="267" t="n"/>
      <c r="M339" s="267" t="n"/>
      <c r="N339" s="267" t="n"/>
    </row>
    <row r="340">
      <c r="I340" s="267" t="n"/>
      <c r="J340" s="267" t="n"/>
      <c r="K340" s="267" t="n"/>
      <c r="L340" s="267" t="n"/>
      <c r="M340" s="267" t="n"/>
      <c r="N340" s="267" t="n"/>
    </row>
    <row r="341">
      <c r="I341" s="267" t="n"/>
      <c r="J341" s="267" t="n"/>
      <c r="K341" s="267" t="n"/>
      <c r="L341" s="267" t="n"/>
      <c r="M341" s="267" t="n"/>
      <c r="N341" s="267" t="n"/>
    </row>
    <row r="342">
      <c r="I342" s="267" t="n"/>
      <c r="J342" s="267" t="n"/>
      <c r="K342" s="267" t="n"/>
      <c r="L342" s="267" t="n"/>
      <c r="M342" s="267" t="n"/>
      <c r="N342" s="267" t="n"/>
    </row>
    <row r="343">
      <c r="I343" s="267" t="n"/>
      <c r="J343" s="267" t="n"/>
      <c r="K343" s="267" t="n"/>
      <c r="L343" s="267" t="n"/>
      <c r="M343" s="267" t="n"/>
      <c r="N343" s="267" t="n"/>
    </row>
    <row r="344">
      <c r="I344" s="267" t="n"/>
      <c r="J344" s="267" t="n"/>
      <c r="K344" s="267" t="n"/>
      <c r="L344" s="267" t="n"/>
      <c r="M344" s="267" t="n"/>
      <c r="N344" s="267" t="n"/>
    </row>
    <row r="345">
      <c r="I345" s="267" t="n"/>
      <c r="J345" s="267" t="n"/>
      <c r="K345" s="267" t="n"/>
      <c r="L345" s="267" t="n"/>
      <c r="M345" s="267" t="n"/>
      <c r="N345" s="267" t="n"/>
    </row>
    <row r="346">
      <c r="I346" s="267" t="n"/>
      <c r="J346" s="267" t="n"/>
      <c r="K346" s="267" t="n"/>
      <c r="L346" s="267" t="n"/>
      <c r="M346" s="267" t="n"/>
      <c r="N346" s="267" t="n"/>
    </row>
    <row r="347">
      <c r="I347" s="267" t="n"/>
      <c r="J347" s="267" t="n"/>
      <c r="K347" s="267" t="n"/>
      <c r="L347" s="267" t="n"/>
      <c r="M347" s="267" t="n"/>
      <c r="N347" s="267" t="n"/>
    </row>
    <row r="348">
      <c r="I348" s="267" t="n"/>
      <c r="J348" s="267" t="n"/>
      <c r="K348" s="267" t="n"/>
      <c r="L348" s="267" t="n"/>
      <c r="M348" s="267" t="n"/>
      <c r="N348" s="267" t="n"/>
    </row>
    <row r="349">
      <c r="I349" s="267" t="n"/>
      <c r="J349" s="267" t="n"/>
      <c r="K349" s="267" t="n"/>
      <c r="L349" s="267" t="n"/>
      <c r="M349" s="267" t="n"/>
      <c r="N349" s="267" t="n"/>
    </row>
    <row r="350">
      <c r="I350" s="267" t="n"/>
      <c r="J350" s="267" t="n"/>
      <c r="K350" s="267" t="n"/>
      <c r="L350" s="267" t="n"/>
      <c r="M350" s="267" t="n"/>
      <c r="N350" s="267" t="n"/>
    </row>
    <row r="351">
      <c r="I351" s="267" t="n"/>
      <c r="J351" s="267" t="n"/>
      <c r="K351" s="267" t="n"/>
      <c r="L351" s="267" t="n"/>
      <c r="M351" s="267" t="n"/>
      <c r="N351" s="267" t="n"/>
    </row>
    <row r="352">
      <c r="I352" s="267" t="n"/>
      <c r="J352" s="267" t="n"/>
      <c r="K352" s="267" t="n"/>
      <c r="L352" s="267" t="n"/>
      <c r="M352" s="267" t="n"/>
      <c r="N352" s="267" t="n"/>
    </row>
    <row r="353">
      <c r="I353" s="267" t="n"/>
      <c r="J353" s="267" t="n"/>
      <c r="K353" s="267" t="n"/>
      <c r="L353" s="267" t="n"/>
      <c r="M353" s="267" t="n"/>
      <c r="N353" s="267" t="n"/>
    </row>
    <row r="354">
      <c r="I354" s="267" t="n"/>
      <c r="J354" s="267" t="n"/>
      <c r="K354" s="267" t="n"/>
      <c r="L354" s="267" t="n"/>
      <c r="M354" s="267" t="n"/>
      <c r="N354" s="267" t="n"/>
    </row>
    <row r="355">
      <c r="I355" s="267" t="n"/>
      <c r="J355" s="267" t="n"/>
      <c r="K355" s="267" t="n"/>
      <c r="L355" s="267" t="n"/>
      <c r="M355" s="267" t="n"/>
      <c r="N355" s="267" t="n"/>
    </row>
    <row r="356">
      <c r="I356" s="267" t="n"/>
      <c r="J356" s="267" t="n"/>
      <c r="K356" s="267" t="n"/>
      <c r="L356" s="267" t="n"/>
      <c r="M356" s="267" t="n"/>
      <c r="N356" s="267" t="n"/>
    </row>
    <row r="357">
      <c r="I357" s="267" t="n"/>
      <c r="J357" s="267" t="n"/>
      <c r="K357" s="267" t="n"/>
      <c r="L357" s="267" t="n"/>
      <c r="M357" s="267" t="n"/>
      <c r="N357" s="267" t="n"/>
    </row>
    <row r="358">
      <c r="I358" s="267" t="n"/>
      <c r="J358" s="267" t="n"/>
      <c r="K358" s="267" t="n"/>
      <c r="L358" s="267" t="n"/>
      <c r="M358" s="267" t="n"/>
      <c r="N358" s="267" t="n"/>
    </row>
    <row r="359">
      <c r="I359" s="267" t="n"/>
      <c r="J359" s="267" t="n"/>
      <c r="K359" s="267" t="n"/>
      <c r="L359" s="267" t="n"/>
      <c r="M359" s="267" t="n"/>
      <c r="N359" s="267" t="n"/>
    </row>
    <row r="360">
      <c r="I360" s="267" t="n"/>
      <c r="J360" s="267" t="n"/>
      <c r="K360" s="267" t="n"/>
      <c r="L360" s="267" t="n"/>
      <c r="M360" s="267" t="n"/>
      <c r="N360" s="267" t="n"/>
    </row>
    <row r="361">
      <c r="I361" s="267" t="n"/>
      <c r="J361" s="267" t="n"/>
      <c r="K361" s="267" t="n"/>
      <c r="L361" s="267" t="n"/>
      <c r="M361" s="267" t="n"/>
      <c r="N361" s="267" t="n"/>
    </row>
    <row r="362">
      <c r="I362" s="267" t="n"/>
      <c r="J362" s="267" t="n"/>
      <c r="K362" s="267" t="n"/>
      <c r="L362" s="267" t="n"/>
      <c r="M362" s="267" t="n"/>
      <c r="N362" s="267" t="n"/>
    </row>
    <row r="363">
      <c r="I363" s="267" t="n"/>
      <c r="J363" s="267" t="n"/>
      <c r="K363" s="267" t="n"/>
      <c r="L363" s="267" t="n"/>
      <c r="M363" s="267" t="n"/>
      <c r="N363" s="267" t="n"/>
    </row>
    <row r="364">
      <c r="I364" s="267" t="n"/>
      <c r="J364" s="267" t="n"/>
      <c r="K364" s="267" t="n"/>
      <c r="L364" s="267" t="n"/>
      <c r="M364" s="267" t="n"/>
      <c r="N364" s="267" t="n"/>
    </row>
    <row r="365">
      <c r="I365" s="267" t="n"/>
      <c r="J365" s="267" t="n"/>
      <c r="K365" s="267" t="n"/>
      <c r="L365" s="267" t="n"/>
      <c r="M365" s="267" t="n"/>
      <c r="N365" s="267" t="n"/>
    </row>
    <row r="366">
      <c r="I366" s="267" t="n"/>
      <c r="J366" s="267" t="n"/>
      <c r="K366" s="267" t="n"/>
      <c r="L366" s="267" t="n"/>
      <c r="M366" s="267" t="n"/>
      <c r="N366" s="267" t="n"/>
    </row>
    <row r="367">
      <c r="I367" s="267" t="n"/>
      <c r="J367" s="267" t="n"/>
      <c r="K367" s="267" t="n"/>
      <c r="L367" s="267" t="n"/>
      <c r="M367" s="267" t="n"/>
      <c r="N367" s="267" t="n"/>
    </row>
    <row r="368">
      <c r="I368" s="267" t="n"/>
      <c r="J368" s="267" t="n"/>
      <c r="K368" s="267" t="n"/>
      <c r="L368" s="267" t="n"/>
      <c r="M368" s="267" t="n"/>
      <c r="N368" s="267" t="n"/>
    </row>
    <row r="369">
      <c r="I369" s="267" t="n"/>
      <c r="J369" s="267" t="n"/>
      <c r="K369" s="267" t="n"/>
      <c r="L369" s="267" t="n"/>
      <c r="M369" s="267" t="n"/>
      <c r="N369" s="267" t="n"/>
    </row>
    <row r="370">
      <c r="I370" s="267" t="n"/>
      <c r="J370" s="267" t="n"/>
      <c r="K370" s="267" t="n"/>
      <c r="L370" s="267" t="n"/>
      <c r="M370" s="267" t="n"/>
      <c r="N370" s="267" t="n"/>
    </row>
    <row r="371">
      <c r="I371" s="267" t="n"/>
      <c r="J371" s="267" t="n"/>
      <c r="K371" s="267" t="n"/>
      <c r="L371" s="267" t="n"/>
      <c r="M371" s="267" t="n"/>
      <c r="N371" s="267" t="n"/>
    </row>
    <row r="372">
      <c r="I372" s="267" t="n"/>
      <c r="J372" s="267" t="n"/>
      <c r="K372" s="267" t="n"/>
      <c r="L372" s="267" t="n"/>
      <c r="M372" s="267" t="n"/>
      <c r="N372" s="267" t="n"/>
    </row>
    <row r="373">
      <c r="I373" s="267" t="n"/>
      <c r="J373" s="267" t="n"/>
      <c r="K373" s="267" t="n"/>
      <c r="L373" s="267" t="n"/>
      <c r="M373" s="267" t="n"/>
      <c r="N373" s="267" t="n"/>
    </row>
    <row r="374">
      <c r="I374" s="267" t="n"/>
      <c r="J374" s="267" t="n"/>
      <c r="K374" s="267" t="n"/>
      <c r="L374" s="267" t="n"/>
      <c r="M374" s="267" t="n"/>
      <c r="N374" s="267" t="n"/>
    </row>
    <row r="375">
      <c r="I375" s="267" t="n"/>
      <c r="J375" s="267" t="n"/>
      <c r="K375" s="267" t="n"/>
      <c r="L375" s="267" t="n"/>
      <c r="M375" s="267" t="n"/>
      <c r="N375" s="267" t="n"/>
    </row>
    <row r="376">
      <c r="I376" s="267" t="n"/>
      <c r="J376" s="267" t="n"/>
      <c r="K376" s="267" t="n"/>
      <c r="L376" s="267" t="n"/>
      <c r="M376" s="267" t="n"/>
      <c r="N376" s="267" t="n"/>
    </row>
    <row r="377">
      <c r="I377" s="267" t="n"/>
      <c r="J377" s="267" t="n"/>
      <c r="K377" s="267" t="n"/>
      <c r="L377" s="267" t="n"/>
      <c r="M377" s="267" t="n"/>
      <c r="N377" s="267" t="n"/>
    </row>
    <row r="378">
      <c r="I378" s="267" t="n"/>
      <c r="J378" s="267" t="n"/>
      <c r="K378" s="267" t="n"/>
      <c r="L378" s="267" t="n"/>
      <c r="M378" s="267" t="n"/>
      <c r="N378" s="267" t="n"/>
    </row>
    <row r="379">
      <c r="I379" s="267" t="n"/>
      <c r="J379" s="267" t="n"/>
      <c r="K379" s="267" t="n"/>
      <c r="L379" s="267" t="n"/>
      <c r="M379" s="267" t="n"/>
      <c r="N379" s="267" t="n"/>
    </row>
    <row r="380">
      <c r="I380" s="267" t="n"/>
      <c r="J380" s="267" t="n"/>
      <c r="K380" s="267" t="n"/>
      <c r="L380" s="267" t="n"/>
      <c r="M380" s="267" t="n"/>
      <c r="N380" s="267" t="n"/>
    </row>
    <row r="381">
      <c r="I381" s="267" t="n"/>
      <c r="J381" s="267" t="n"/>
      <c r="K381" s="267" t="n"/>
      <c r="L381" s="267" t="n"/>
      <c r="M381" s="267" t="n"/>
      <c r="N381" s="267" t="n"/>
    </row>
    <row r="382">
      <c r="I382" s="267" t="n"/>
      <c r="J382" s="267" t="n"/>
      <c r="K382" s="267" t="n"/>
      <c r="L382" s="267" t="n"/>
      <c r="M382" s="267" t="n"/>
      <c r="N382" s="267" t="n"/>
    </row>
    <row r="383">
      <c r="I383" s="267" t="n"/>
      <c r="J383" s="267" t="n"/>
      <c r="K383" s="267" t="n"/>
      <c r="L383" s="267" t="n"/>
      <c r="M383" s="267" t="n"/>
      <c r="N383" s="267" t="n"/>
    </row>
    <row r="384">
      <c r="I384" s="267" t="n"/>
      <c r="J384" s="267" t="n"/>
      <c r="K384" s="267" t="n"/>
      <c r="L384" s="267" t="n"/>
      <c r="M384" s="267" t="n"/>
      <c r="N384" s="267" t="n"/>
    </row>
    <row r="385">
      <c r="I385" s="267" t="n"/>
      <c r="J385" s="267" t="n"/>
      <c r="K385" s="267" t="n"/>
      <c r="L385" s="267" t="n"/>
      <c r="M385" s="267" t="n"/>
      <c r="N385" s="267" t="n"/>
    </row>
    <row r="386">
      <c r="I386" s="267" t="n"/>
      <c r="J386" s="267" t="n"/>
      <c r="K386" s="267" t="n"/>
      <c r="L386" s="267" t="n"/>
      <c r="M386" s="267" t="n"/>
      <c r="N386" s="267" t="n"/>
    </row>
    <row r="387">
      <c r="I387" s="267" t="n"/>
      <c r="J387" s="267" t="n"/>
      <c r="K387" s="267" t="n"/>
      <c r="L387" s="267" t="n"/>
      <c r="M387" s="267" t="n"/>
      <c r="N387" s="267" t="n"/>
    </row>
    <row r="388">
      <c r="I388" s="267" t="n"/>
      <c r="J388" s="267" t="n"/>
      <c r="K388" s="267" t="n"/>
      <c r="L388" s="267" t="n"/>
      <c r="M388" s="267" t="n"/>
      <c r="N388" s="267" t="n"/>
    </row>
    <row r="389">
      <c r="I389" s="267" t="n"/>
      <c r="J389" s="267" t="n"/>
      <c r="K389" s="267" t="n"/>
      <c r="L389" s="267" t="n"/>
      <c r="M389" s="267" t="n"/>
      <c r="N389" s="267" t="n"/>
    </row>
    <row r="390">
      <c r="I390" s="267" t="n"/>
      <c r="J390" s="267" t="n"/>
      <c r="K390" s="267" t="n"/>
      <c r="L390" s="267" t="n"/>
      <c r="M390" s="267" t="n"/>
      <c r="N390" s="267" t="n"/>
    </row>
    <row r="391">
      <c r="I391" s="267" t="n"/>
      <c r="J391" s="267" t="n"/>
      <c r="K391" s="267" t="n"/>
      <c r="L391" s="267" t="n"/>
      <c r="M391" s="267" t="n"/>
      <c r="N391" s="267" t="n"/>
    </row>
    <row r="392">
      <c r="I392" s="267" t="n"/>
      <c r="J392" s="267" t="n"/>
      <c r="K392" s="267" t="n"/>
      <c r="L392" s="267" t="n"/>
      <c r="M392" s="267" t="n"/>
      <c r="N392" s="267" t="n"/>
    </row>
    <row r="393">
      <c r="I393" s="267" t="n"/>
      <c r="J393" s="267" t="n"/>
      <c r="K393" s="267" t="n"/>
      <c r="L393" s="267" t="n"/>
      <c r="M393" s="267" t="n"/>
      <c r="N393" s="267" t="n"/>
    </row>
    <row r="394">
      <c r="I394" s="267" t="n"/>
      <c r="J394" s="267" t="n"/>
      <c r="K394" s="267" t="n"/>
      <c r="L394" s="267" t="n"/>
      <c r="M394" s="267" t="n"/>
      <c r="N394" s="267" t="n"/>
    </row>
    <row r="395">
      <c r="I395" s="267" t="n"/>
      <c r="J395" s="267" t="n"/>
      <c r="K395" s="267" t="n"/>
      <c r="L395" s="267" t="n"/>
      <c r="M395" s="267" t="n"/>
      <c r="N395" s="267" t="n"/>
    </row>
    <row r="396">
      <c r="I396" s="267" t="n"/>
      <c r="J396" s="267" t="n"/>
      <c r="K396" s="267" t="n"/>
      <c r="L396" s="267" t="n"/>
      <c r="M396" s="267" t="n"/>
      <c r="N396" s="267" t="n"/>
    </row>
    <row r="397">
      <c r="I397" s="267" t="n"/>
      <c r="J397" s="267" t="n"/>
      <c r="K397" s="267" t="n"/>
      <c r="L397" s="267" t="n"/>
      <c r="M397" s="267" t="n"/>
      <c r="N397" s="267" t="n"/>
    </row>
    <row r="398">
      <c r="I398" s="267" t="n"/>
      <c r="J398" s="267" t="n"/>
      <c r="K398" s="267" t="n"/>
      <c r="L398" s="267" t="n"/>
      <c r="M398" s="267" t="n"/>
      <c r="N398" s="267" t="n"/>
    </row>
    <row r="399">
      <c r="I399" s="267" t="n"/>
      <c r="J399" s="267" t="n"/>
      <c r="K399" s="267" t="n"/>
      <c r="L399" s="267" t="n"/>
      <c r="M399" s="267" t="n"/>
      <c r="N399" s="267" t="n"/>
    </row>
    <row r="400">
      <c r="I400" s="267" t="n"/>
      <c r="J400" s="267" t="n"/>
      <c r="K400" s="267" t="n"/>
      <c r="L400" s="267" t="n"/>
      <c r="M400" s="267" t="n"/>
      <c r="N400" s="267" t="n"/>
    </row>
    <row r="401">
      <c r="I401" s="267" t="n"/>
      <c r="J401" s="267" t="n"/>
      <c r="K401" s="267" t="n"/>
      <c r="L401" s="267" t="n"/>
      <c r="M401" s="267" t="n"/>
      <c r="N401" s="267" t="n"/>
    </row>
    <row r="402">
      <c r="I402" s="267" t="n"/>
      <c r="J402" s="267" t="n"/>
      <c r="K402" s="267" t="n"/>
      <c r="L402" s="267" t="n"/>
      <c r="M402" s="267" t="n"/>
      <c r="N402" s="267" t="n"/>
    </row>
    <row r="403">
      <c r="I403" s="267" t="n"/>
      <c r="J403" s="267" t="n"/>
      <c r="K403" s="267" t="n"/>
      <c r="L403" s="267" t="n"/>
      <c r="M403" s="267" t="n"/>
      <c r="N403" s="267" t="n"/>
    </row>
    <row r="404">
      <c r="I404" s="267" t="n"/>
      <c r="J404" s="267" t="n"/>
      <c r="K404" s="267" t="n"/>
      <c r="L404" s="267" t="n"/>
      <c r="M404" s="267" t="n"/>
      <c r="N404" s="267" t="n"/>
    </row>
    <row r="405">
      <c r="I405" s="267" t="n"/>
      <c r="J405" s="267" t="n"/>
      <c r="K405" s="267" t="n"/>
      <c r="L405" s="267" t="n"/>
      <c r="M405" s="267" t="n"/>
      <c r="N405" s="267" t="n"/>
    </row>
    <row r="406">
      <c r="I406" s="267" t="n"/>
      <c r="J406" s="267" t="n"/>
      <c r="K406" s="267" t="n"/>
      <c r="L406" s="267" t="n"/>
      <c r="M406" s="267" t="n"/>
      <c r="N406" s="267" t="n"/>
    </row>
    <row r="407">
      <c r="I407" s="267" t="n"/>
      <c r="J407" s="267" t="n"/>
      <c r="K407" s="267" t="n"/>
      <c r="L407" s="267" t="n"/>
      <c r="M407" s="267" t="n"/>
      <c r="N407" s="267" t="n"/>
    </row>
    <row r="408">
      <c r="I408" s="267" t="n"/>
      <c r="J408" s="267" t="n"/>
      <c r="K408" s="267" t="n"/>
      <c r="L408" s="267" t="n"/>
      <c r="M408" s="267" t="n"/>
      <c r="N408" s="267" t="n"/>
    </row>
    <row r="409">
      <c r="I409" s="267" t="n"/>
      <c r="J409" s="267" t="n"/>
      <c r="K409" s="267" t="n"/>
      <c r="L409" s="267" t="n"/>
      <c r="M409" s="267" t="n"/>
      <c r="N409" s="267" t="n"/>
    </row>
    <row r="410">
      <c r="I410" s="267" t="n"/>
      <c r="J410" s="267" t="n"/>
      <c r="K410" s="267" t="n"/>
      <c r="L410" s="267" t="n"/>
      <c r="M410" s="267" t="n"/>
      <c r="N410" s="267" t="n"/>
    </row>
    <row r="411">
      <c r="I411" s="267" t="n"/>
      <c r="J411" s="267" t="n"/>
      <c r="K411" s="267" t="n"/>
      <c r="L411" s="267" t="n"/>
      <c r="M411" s="267" t="n"/>
      <c r="N411" s="267" t="n"/>
    </row>
    <row r="412">
      <c r="I412" s="267" t="n"/>
      <c r="J412" s="267" t="n"/>
      <c r="K412" s="267" t="n"/>
      <c r="L412" s="267" t="n"/>
      <c r="M412" s="267" t="n"/>
      <c r="N412" s="267" t="n"/>
    </row>
    <row r="413">
      <c r="I413" s="267" t="n"/>
      <c r="J413" s="267" t="n"/>
      <c r="K413" s="267" t="n"/>
      <c r="L413" s="267" t="n"/>
      <c r="M413" s="267" t="n"/>
      <c r="N413" s="267" t="n"/>
    </row>
    <row r="414">
      <c r="I414" s="267" t="n"/>
      <c r="J414" s="267" t="n"/>
      <c r="K414" s="267" t="n"/>
      <c r="L414" s="267" t="n"/>
      <c r="M414" s="267" t="n"/>
      <c r="N414" s="267" t="n"/>
    </row>
    <row r="415">
      <c r="I415" s="267" t="n"/>
      <c r="J415" s="267" t="n"/>
      <c r="K415" s="267" t="n"/>
      <c r="L415" s="267" t="n"/>
      <c r="M415" s="267" t="n"/>
      <c r="N415" s="267" t="n"/>
    </row>
    <row r="416">
      <c r="I416" s="267" t="n"/>
      <c r="J416" s="267" t="n"/>
      <c r="K416" s="267" t="n"/>
      <c r="L416" s="267" t="n"/>
      <c r="M416" s="267" t="n"/>
      <c r="N416" s="267" t="n"/>
    </row>
    <row r="417">
      <c r="I417" s="267" t="n"/>
      <c r="J417" s="267" t="n"/>
      <c r="K417" s="267" t="n"/>
      <c r="L417" s="267" t="n"/>
      <c r="M417" s="267" t="n"/>
      <c r="N417" s="267" t="n"/>
    </row>
    <row r="418">
      <c r="I418" s="267" t="n"/>
      <c r="J418" s="267" t="n"/>
      <c r="K418" s="267" t="n"/>
      <c r="L418" s="267" t="n"/>
      <c r="M418" s="267" t="n"/>
      <c r="N418" s="267" t="n"/>
    </row>
    <row r="419">
      <c r="I419" s="267" t="n"/>
      <c r="J419" s="267" t="n"/>
      <c r="K419" s="267" t="n"/>
      <c r="L419" s="267" t="n"/>
      <c r="M419" s="267" t="n"/>
      <c r="N419" s="267" t="n"/>
    </row>
    <row r="420">
      <c r="I420" s="267" t="n"/>
      <c r="J420" s="267" t="n"/>
      <c r="K420" s="267" t="n"/>
      <c r="L420" s="267" t="n"/>
      <c r="M420" s="267" t="n"/>
      <c r="N420" s="267" t="n"/>
    </row>
    <row r="421">
      <c r="I421" s="267" t="n"/>
      <c r="J421" s="267" t="n"/>
      <c r="K421" s="267" t="n"/>
      <c r="L421" s="267" t="n"/>
      <c r="M421" s="267" t="n"/>
      <c r="N421" s="267" t="n"/>
    </row>
    <row r="422">
      <c r="I422" s="267" t="n"/>
      <c r="J422" s="267" t="n"/>
      <c r="K422" s="267" t="n"/>
      <c r="L422" s="267" t="n"/>
      <c r="M422" s="267" t="n"/>
      <c r="N422" s="267" t="n"/>
    </row>
    <row r="423">
      <c r="I423" s="267" t="n"/>
      <c r="J423" s="267" t="n"/>
      <c r="K423" s="267" t="n"/>
      <c r="L423" s="267" t="n"/>
      <c r="M423" s="267" t="n"/>
      <c r="N423" s="267" t="n"/>
    </row>
    <row r="424">
      <c r="I424" s="267" t="n"/>
      <c r="J424" s="267" t="n"/>
      <c r="K424" s="267" t="n"/>
      <c r="L424" s="267" t="n"/>
      <c r="M424" s="267" t="n"/>
      <c r="N424" s="267" t="n"/>
    </row>
    <row r="425">
      <c r="I425" s="267" t="n"/>
      <c r="J425" s="267" t="n"/>
      <c r="K425" s="267" t="n"/>
      <c r="L425" s="267" t="n"/>
      <c r="M425" s="267" t="n"/>
      <c r="N425" s="267" t="n"/>
    </row>
    <row r="426">
      <c r="I426" s="267" t="n"/>
      <c r="J426" s="267" t="n"/>
      <c r="K426" s="267" t="n"/>
      <c r="L426" s="267" t="n"/>
      <c r="M426" s="267" t="n"/>
      <c r="N426" s="267" t="n"/>
    </row>
    <row r="427">
      <c r="I427" s="267" t="n"/>
      <c r="J427" s="267" t="n"/>
      <c r="K427" s="267" t="n"/>
      <c r="L427" s="267" t="n"/>
      <c r="M427" s="267" t="n"/>
      <c r="N427" s="267" t="n"/>
    </row>
    <row r="428">
      <c r="I428" s="267" t="n"/>
      <c r="J428" s="267" t="n"/>
      <c r="K428" s="267" t="n"/>
      <c r="L428" s="267" t="n"/>
      <c r="M428" s="267" t="n"/>
      <c r="N428" s="267" t="n"/>
    </row>
    <row r="429">
      <c r="I429" s="267" t="n"/>
      <c r="J429" s="267" t="n"/>
      <c r="K429" s="267" t="n"/>
      <c r="L429" s="267" t="n"/>
      <c r="M429" s="267" t="n"/>
      <c r="N429" s="267" t="n"/>
    </row>
    <row r="430">
      <c r="I430" s="267" t="n"/>
      <c r="J430" s="267" t="n"/>
      <c r="K430" s="267" t="n"/>
      <c r="L430" s="267" t="n"/>
      <c r="M430" s="267" t="n"/>
      <c r="N430" s="267" t="n"/>
    </row>
    <row r="431">
      <c r="I431" s="267" t="n"/>
      <c r="J431" s="267" t="n"/>
      <c r="K431" s="267" t="n"/>
      <c r="L431" s="267" t="n"/>
      <c r="M431" s="267" t="n"/>
      <c r="N431" s="267" t="n"/>
    </row>
    <row r="432">
      <c r="I432" s="267" t="n"/>
      <c r="J432" s="267" t="n"/>
      <c r="K432" s="267" t="n"/>
      <c r="L432" s="267" t="n"/>
      <c r="M432" s="267" t="n"/>
      <c r="N432" s="267" t="n"/>
    </row>
    <row r="433">
      <c r="I433" s="267" t="n"/>
      <c r="J433" s="267" t="n"/>
      <c r="K433" s="267" t="n"/>
      <c r="L433" s="267" t="n"/>
      <c r="M433" s="267" t="n"/>
      <c r="N433" s="267" t="n"/>
    </row>
    <row r="434">
      <c r="I434" s="267" t="n"/>
      <c r="J434" s="267" t="n"/>
      <c r="K434" s="267" t="n"/>
      <c r="L434" s="267" t="n"/>
      <c r="M434" s="267" t="n"/>
      <c r="N434" s="267" t="n"/>
    </row>
    <row r="435">
      <c r="I435" s="267" t="n"/>
      <c r="J435" s="267" t="n"/>
      <c r="K435" s="267" t="n"/>
      <c r="L435" s="267" t="n"/>
      <c r="M435" s="267" t="n"/>
      <c r="N435" s="267" t="n"/>
    </row>
    <row r="436">
      <c r="I436" s="267" t="n"/>
      <c r="J436" s="267" t="n"/>
      <c r="K436" s="267" t="n"/>
      <c r="L436" s="267" t="n"/>
      <c r="M436" s="267" t="n"/>
      <c r="N436" s="267" t="n"/>
    </row>
    <row r="437">
      <c r="I437" s="267" t="n"/>
      <c r="J437" s="267" t="n"/>
      <c r="K437" s="267" t="n"/>
      <c r="L437" s="267" t="n"/>
      <c r="M437" s="267" t="n"/>
      <c r="N437" s="267" t="n"/>
    </row>
    <row r="438">
      <c r="I438" s="267" t="n"/>
      <c r="J438" s="267" t="n"/>
      <c r="K438" s="267" t="n"/>
      <c r="L438" s="267" t="n"/>
      <c r="M438" s="267" t="n"/>
      <c r="N438" s="267" t="n"/>
    </row>
    <row r="439">
      <c r="I439" s="267" t="n"/>
      <c r="J439" s="267" t="n"/>
      <c r="K439" s="267" t="n"/>
      <c r="L439" s="267" t="n"/>
      <c r="M439" s="267" t="n"/>
      <c r="N439" s="267" t="n"/>
    </row>
    <row r="440">
      <c r="I440" s="267" t="n"/>
      <c r="J440" s="267" t="n"/>
      <c r="K440" s="267" t="n"/>
      <c r="L440" s="267" t="n"/>
      <c r="M440" s="267" t="n"/>
      <c r="N440" s="267" t="n"/>
    </row>
    <row r="441">
      <c r="I441" s="267" t="n"/>
      <c r="J441" s="267" t="n"/>
      <c r="K441" s="267" t="n"/>
      <c r="L441" s="267" t="n"/>
      <c r="M441" s="267" t="n"/>
      <c r="N441" s="267" t="n"/>
    </row>
    <row r="442">
      <c r="I442" s="267" t="n"/>
      <c r="J442" s="267" t="n"/>
      <c r="K442" s="267" t="n"/>
      <c r="L442" s="267" t="n"/>
      <c r="M442" s="267" t="n"/>
      <c r="N442" s="267" t="n"/>
    </row>
    <row r="443">
      <c r="I443" s="267" t="n"/>
      <c r="J443" s="267" t="n"/>
      <c r="K443" s="267" t="n"/>
      <c r="L443" s="267" t="n"/>
      <c r="M443" s="267" t="n"/>
      <c r="N443" s="267" t="n"/>
    </row>
    <row r="444">
      <c r="I444" s="267" t="n"/>
      <c r="J444" s="267" t="n"/>
      <c r="K444" s="267" t="n"/>
      <c r="L444" s="267" t="n"/>
      <c r="M444" s="267" t="n"/>
      <c r="N444" s="267" t="n"/>
    </row>
    <row r="445">
      <c r="I445" s="267" t="n"/>
      <c r="J445" s="267" t="n"/>
      <c r="K445" s="267" t="n"/>
      <c r="L445" s="267" t="n"/>
      <c r="M445" s="267" t="n"/>
      <c r="N445" s="267" t="n"/>
    </row>
    <row r="446">
      <c r="I446" s="267" t="n"/>
      <c r="J446" s="267" t="n"/>
      <c r="K446" s="267" t="n"/>
      <c r="L446" s="267" t="n"/>
      <c r="M446" s="267" t="n"/>
      <c r="N446" s="267" t="n"/>
    </row>
    <row r="447">
      <c r="I447" s="267" t="n"/>
      <c r="J447" s="267" t="n"/>
      <c r="K447" s="267" t="n"/>
      <c r="L447" s="267" t="n"/>
      <c r="M447" s="267" t="n"/>
      <c r="N447" s="267" t="n"/>
    </row>
    <row r="448">
      <c r="I448" s="267" t="n"/>
      <c r="J448" s="267" t="n"/>
      <c r="K448" s="267" t="n"/>
      <c r="L448" s="267" t="n"/>
      <c r="M448" s="267" t="n"/>
      <c r="N448" s="267" t="n"/>
    </row>
    <row r="449">
      <c r="I449" s="267" t="n"/>
      <c r="J449" s="267" t="n"/>
      <c r="K449" s="267" t="n"/>
      <c r="L449" s="267" t="n"/>
      <c r="M449" s="267" t="n"/>
      <c r="N449" s="267" t="n"/>
    </row>
    <row r="450">
      <c r="I450" s="267" t="n"/>
      <c r="J450" s="267" t="n"/>
      <c r="K450" s="267" t="n"/>
      <c r="L450" s="267" t="n"/>
      <c r="M450" s="267" t="n"/>
      <c r="N450" s="267" t="n"/>
    </row>
    <row r="451">
      <c r="I451" s="267" t="n"/>
      <c r="J451" s="267" t="n"/>
      <c r="K451" s="267" t="n"/>
      <c r="L451" s="267" t="n"/>
      <c r="M451" s="267" t="n"/>
      <c r="N451" s="267" t="n"/>
    </row>
    <row r="452">
      <c r="I452" s="267" t="n"/>
      <c r="J452" s="267" t="n"/>
      <c r="K452" s="267" t="n"/>
      <c r="L452" s="267" t="n"/>
      <c r="M452" s="267" t="n"/>
      <c r="N452" s="267" t="n"/>
    </row>
    <row r="453">
      <c r="I453" s="267" t="n"/>
      <c r="J453" s="267" t="n"/>
      <c r="K453" s="267" t="n"/>
      <c r="L453" s="267" t="n"/>
      <c r="M453" s="267" t="n"/>
      <c r="N453" s="267" t="n"/>
    </row>
    <row r="454">
      <c r="I454" s="267" t="n"/>
      <c r="J454" s="267" t="n"/>
      <c r="K454" s="267" t="n"/>
      <c r="L454" s="267" t="n"/>
      <c r="M454" s="267" t="n"/>
      <c r="N454" s="267" t="n"/>
    </row>
    <row r="455">
      <c r="I455" s="267" t="n"/>
      <c r="J455" s="267" t="n"/>
      <c r="K455" s="267" t="n"/>
      <c r="L455" s="267" t="n"/>
      <c r="M455" s="267" t="n"/>
      <c r="N455" s="267" t="n"/>
    </row>
    <row r="456">
      <c r="I456" s="267" t="n"/>
      <c r="J456" s="267" t="n"/>
      <c r="K456" s="267" t="n"/>
      <c r="L456" s="267" t="n"/>
      <c r="M456" s="267" t="n"/>
      <c r="N456" s="267" t="n"/>
    </row>
    <row r="457">
      <c r="I457" s="267" t="n"/>
      <c r="J457" s="267" t="n"/>
      <c r="K457" s="267" t="n"/>
      <c r="L457" s="267" t="n"/>
      <c r="M457" s="267" t="n"/>
      <c r="N457" s="267" t="n"/>
    </row>
    <row r="458">
      <c r="I458" s="267" t="n"/>
      <c r="J458" s="267" t="n"/>
      <c r="K458" s="267" t="n"/>
      <c r="L458" s="267" t="n"/>
      <c r="M458" s="267" t="n"/>
      <c r="N458" s="267" t="n"/>
    </row>
    <row r="459">
      <c r="I459" s="267" t="n"/>
      <c r="J459" s="267" t="n"/>
      <c r="K459" s="267" t="n"/>
      <c r="L459" s="267" t="n"/>
      <c r="M459" s="267" t="n"/>
      <c r="N459" s="267" t="n"/>
    </row>
    <row r="460">
      <c r="I460" s="267" t="n"/>
      <c r="J460" s="267" t="n"/>
      <c r="K460" s="267" t="n"/>
      <c r="L460" s="267" t="n"/>
      <c r="M460" s="267" t="n"/>
      <c r="N460" s="267" t="n"/>
    </row>
    <row r="461">
      <c r="I461" s="267" t="n"/>
      <c r="J461" s="267" t="n"/>
      <c r="K461" s="267" t="n"/>
      <c r="L461" s="267" t="n"/>
      <c r="M461" s="267" t="n"/>
      <c r="N461" s="267" t="n"/>
    </row>
    <row r="462">
      <c r="I462" s="267" t="n"/>
      <c r="J462" s="267" t="n"/>
      <c r="K462" s="267" t="n"/>
      <c r="L462" s="267" t="n"/>
      <c r="M462" s="267" t="n"/>
      <c r="N462" s="267" t="n"/>
    </row>
    <row r="463">
      <c r="I463" s="267" t="n"/>
      <c r="J463" s="267" t="n"/>
      <c r="K463" s="267" t="n"/>
      <c r="L463" s="267" t="n"/>
      <c r="M463" s="267" t="n"/>
      <c r="N463" s="267" t="n"/>
    </row>
    <row r="464">
      <c r="I464" s="267" t="n"/>
      <c r="J464" s="267" t="n"/>
      <c r="K464" s="267" t="n"/>
      <c r="L464" s="267" t="n"/>
      <c r="M464" s="267" t="n"/>
      <c r="N464" s="267" t="n"/>
    </row>
    <row r="465">
      <c r="I465" s="267" t="n"/>
      <c r="J465" s="267" t="n"/>
      <c r="K465" s="267" t="n"/>
      <c r="L465" s="267" t="n"/>
      <c r="M465" s="267" t="n"/>
      <c r="N465" s="267" t="n"/>
    </row>
    <row r="466">
      <c r="I466" s="267" t="n"/>
      <c r="J466" s="267" t="n"/>
      <c r="K466" s="267" t="n"/>
      <c r="L466" s="267" t="n"/>
      <c r="M466" s="267" t="n"/>
      <c r="N466" s="267" t="n"/>
    </row>
    <row r="467">
      <c r="I467" s="267" t="n"/>
      <c r="J467" s="267" t="n"/>
      <c r="K467" s="267" t="n"/>
      <c r="L467" s="267" t="n"/>
      <c r="M467" s="267" t="n"/>
      <c r="N467" s="267" t="n"/>
    </row>
    <row r="468">
      <c r="I468" s="267" t="n"/>
      <c r="J468" s="267" t="n"/>
      <c r="K468" s="267" t="n"/>
      <c r="L468" s="267" t="n"/>
      <c r="M468" s="267" t="n"/>
      <c r="N468" s="267" t="n"/>
    </row>
    <row r="469">
      <c r="I469" s="267" t="n"/>
      <c r="J469" s="267" t="n"/>
      <c r="K469" s="267" t="n"/>
      <c r="L469" s="267" t="n"/>
      <c r="M469" s="267" t="n"/>
      <c r="N469" s="267" t="n"/>
    </row>
    <row r="470">
      <c r="I470" s="267" t="n"/>
      <c r="J470" s="267" t="n"/>
      <c r="K470" s="267" t="n"/>
      <c r="L470" s="267" t="n"/>
      <c r="M470" s="267" t="n"/>
      <c r="N470" s="267" t="n"/>
    </row>
    <row r="471">
      <c r="I471" s="267" t="n"/>
      <c r="J471" s="267" t="n"/>
      <c r="K471" s="267" t="n"/>
      <c r="L471" s="267" t="n"/>
      <c r="M471" s="267" t="n"/>
      <c r="N471" s="267" t="n"/>
    </row>
    <row r="472">
      <c r="I472" s="267" t="n"/>
      <c r="J472" s="267" t="n"/>
      <c r="K472" s="267" t="n"/>
      <c r="L472" s="267" t="n"/>
      <c r="M472" s="267" t="n"/>
      <c r="N472" s="267" t="n"/>
    </row>
    <row r="473">
      <c r="I473" s="267" t="n"/>
      <c r="J473" s="267" t="n"/>
      <c r="K473" s="267" t="n"/>
      <c r="L473" s="267" t="n"/>
      <c r="M473" s="267" t="n"/>
      <c r="N473" s="267" t="n"/>
    </row>
    <row r="474">
      <c r="I474" s="267" t="n"/>
      <c r="J474" s="267" t="n"/>
      <c r="K474" s="267" t="n"/>
      <c r="L474" s="267" t="n"/>
      <c r="M474" s="267" t="n"/>
      <c r="N474" s="267" t="n"/>
    </row>
    <row r="475">
      <c r="I475" s="267" t="n"/>
      <c r="J475" s="267" t="n"/>
      <c r="K475" s="267" t="n"/>
      <c r="L475" s="267" t="n"/>
      <c r="M475" s="267" t="n"/>
      <c r="N475" s="267" t="n"/>
    </row>
    <row r="476">
      <c r="I476" s="267" t="n"/>
      <c r="J476" s="267" t="n"/>
      <c r="K476" s="267" t="n"/>
      <c r="L476" s="267" t="n"/>
      <c r="M476" s="267" t="n"/>
      <c r="N476" s="267" t="n"/>
    </row>
    <row r="477">
      <c r="I477" s="267" t="n"/>
      <c r="J477" s="267" t="n"/>
      <c r="K477" s="267" t="n"/>
      <c r="L477" s="267" t="n"/>
      <c r="M477" s="267" t="n"/>
      <c r="N477" s="267" t="n"/>
    </row>
    <row r="478">
      <c r="I478" s="267" t="n"/>
      <c r="J478" s="267" t="n"/>
      <c r="K478" s="267" t="n"/>
      <c r="L478" s="267" t="n"/>
      <c r="M478" s="267" t="n"/>
      <c r="N478" s="267" t="n"/>
    </row>
    <row r="479">
      <c r="I479" s="267" t="n"/>
      <c r="J479" s="267" t="n"/>
      <c r="K479" s="267" t="n"/>
      <c r="L479" s="267" t="n"/>
      <c r="M479" s="267" t="n"/>
      <c r="N479" s="267" t="n"/>
    </row>
    <row r="480">
      <c r="I480" s="267" t="n"/>
      <c r="J480" s="267" t="n"/>
      <c r="K480" s="267" t="n"/>
      <c r="L480" s="267" t="n"/>
      <c r="M480" s="267" t="n"/>
      <c r="N480" s="267" t="n"/>
    </row>
    <row r="481">
      <c r="I481" s="267" t="n"/>
      <c r="J481" s="267" t="n"/>
      <c r="K481" s="267" t="n"/>
      <c r="L481" s="267" t="n"/>
      <c r="M481" s="267" t="n"/>
      <c r="N481" s="267" t="n"/>
    </row>
    <row r="482">
      <c r="I482" s="267" t="n"/>
      <c r="J482" s="267" t="n"/>
      <c r="K482" s="267" t="n"/>
      <c r="L482" s="267" t="n"/>
      <c r="M482" s="267" t="n"/>
      <c r="N482" s="267" t="n"/>
    </row>
    <row r="483">
      <c r="I483" s="267" t="n"/>
      <c r="J483" s="267" t="n"/>
      <c r="K483" s="267" t="n"/>
      <c r="L483" s="267" t="n"/>
      <c r="M483" s="267" t="n"/>
      <c r="N483" s="267" t="n"/>
    </row>
    <row r="484">
      <c r="I484" s="267" t="n"/>
      <c r="J484" s="267" t="n"/>
      <c r="K484" s="267" t="n"/>
      <c r="L484" s="267" t="n"/>
      <c r="M484" s="267" t="n"/>
      <c r="N484" s="267" t="n"/>
    </row>
    <row r="485">
      <c r="I485" s="267" t="n"/>
      <c r="J485" s="267" t="n"/>
      <c r="K485" s="267" t="n"/>
      <c r="L485" s="267" t="n"/>
      <c r="M485" s="267" t="n"/>
      <c r="N485" s="267" t="n"/>
    </row>
    <row r="486">
      <c r="I486" s="267" t="n"/>
      <c r="J486" s="267" t="n"/>
      <c r="K486" s="267" t="n"/>
      <c r="L486" s="267" t="n"/>
      <c r="M486" s="267" t="n"/>
      <c r="N486" s="267" t="n"/>
    </row>
    <row r="487">
      <c r="I487" s="267" t="n"/>
      <c r="J487" s="267" t="n"/>
      <c r="K487" s="267" t="n"/>
      <c r="L487" s="267" t="n"/>
      <c r="M487" s="267" t="n"/>
      <c r="N487" s="267" t="n"/>
    </row>
    <row r="488">
      <c r="I488" s="267" t="n"/>
      <c r="J488" s="267" t="n"/>
      <c r="K488" s="267" t="n"/>
      <c r="L488" s="267" t="n"/>
      <c r="M488" s="267" t="n"/>
      <c r="N488" s="267" t="n"/>
    </row>
    <row r="489">
      <c r="I489" s="267" t="n"/>
      <c r="J489" s="267" t="n"/>
      <c r="K489" s="267" t="n"/>
      <c r="L489" s="267" t="n"/>
      <c r="M489" s="267" t="n"/>
      <c r="N489" s="267" t="n"/>
    </row>
    <row r="490">
      <c r="I490" s="267" t="n"/>
      <c r="J490" s="267" t="n"/>
      <c r="K490" s="267" t="n"/>
      <c r="L490" s="267" t="n"/>
      <c r="M490" s="267" t="n"/>
      <c r="N490" s="267" t="n"/>
    </row>
    <row r="491">
      <c r="I491" s="267" t="n"/>
      <c r="J491" s="267" t="n"/>
      <c r="K491" s="267" t="n"/>
      <c r="L491" s="267" t="n"/>
      <c r="M491" s="267" t="n"/>
      <c r="N491" s="267" t="n"/>
    </row>
    <row r="492">
      <c r="I492" s="267" t="n"/>
      <c r="J492" s="267" t="n"/>
      <c r="K492" s="267" t="n"/>
      <c r="L492" s="267" t="n"/>
      <c r="M492" s="267" t="n"/>
      <c r="N492" s="267" t="n"/>
    </row>
    <row r="493">
      <c r="I493" s="267" t="n"/>
      <c r="J493" s="267" t="n"/>
      <c r="K493" s="267" t="n"/>
      <c r="L493" s="267" t="n"/>
      <c r="M493" s="267" t="n"/>
      <c r="N493" s="267" t="n"/>
    </row>
    <row r="494">
      <c r="I494" s="267" t="n"/>
      <c r="J494" s="267" t="n"/>
      <c r="K494" s="267" t="n"/>
      <c r="L494" s="267" t="n"/>
      <c r="M494" s="267" t="n"/>
      <c r="N494" s="267" t="n"/>
    </row>
    <row r="495">
      <c r="I495" s="267" t="n"/>
      <c r="J495" s="267" t="n"/>
      <c r="K495" s="267" t="n"/>
      <c r="L495" s="267" t="n"/>
      <c r="M495" s="267" t="n"/>
      <c r="N495" s="267" t="n"/>
    </row>
    <row r="496">
      <c r="I496" s="267" t="n"/>
      <c r="J496" s="267" t="n"/>
      <c r="K496" s="267" t="n"/>
      <c r="L496" s="267" t="n"/>
      <c r="M496" s="267" t="n"/>
      <c r="N496" s="267" t="n"/>
    </row>
    <row r="497">
      <c r="I497" s="267" t="n"/>
      <c r="J497" s="267" t="n"/>
      <c r="K497" s="267" t="n"/>
      <c r="L497" s="267" t="n"/>
      <c r="M497" s="267" t="n"/>
      <c r="N497" s="267" t="n"/>
    </row>
    <row r="498">
      <c r="I498" s="267" t="n"/>
      <c r="J498" s="267" t="n"/>
      <c r="K498" s="267" t="n"/>
      <c r="L498" s="267" t="n"/>
      <c r="M498" s="267" t="n"/>
      <c r="N498" s="267" t="n"/>
    </row>
    <row r="499">
      <c r="I499" s="267" t="n"/>
      <c r="J499" s="267" t="n"/>
      <c r="K499" s="267" t="n"/>
      <c r="L499" s="267" t="n"/>
      <c r="M499" s="267" t="n"/>
      <c r="N499" s="267" t="n"/>
    </row>
    <row r="500">
      <c r="I500" s="267" t="n"/>
      <c r="J500" s="267" t="n"/>
      <c r="K500" s="267" t="n"/>
      <c r="L500" s="267" t="n"/>
      <c r="M500" s="267" t="n"/>
      <c r="N500" s="267" t="n"/>
    </row>
    <row r="501">
      <c r="I501" s="267" t="n"/>
      <c r="J501" s="267" t="n"/>
      <c r="K501" s="267" t="n"/>
      <c r="L501" s="267" t="n"/>
      <c r="M501" s="267" t="n"/>
      <c r="N501" s="267" t="n"/>
    </row>
    <row r="502">
      <c r="I502" s="267" t="n"/>
      <c r="J502" s="267" t="n"/>
      <c r="K502" s="267" t="n"/>
      <c r="L502" s="267" t="n"/>
      <c r="M502" s="267" t="n"/>
      <c r="N502" s="267" t="n"/>
    </row>
    <row r="503">
      <c r="I503" s="267" t="n"/>
      <c r="J503" s="267" t="n"/>
      <c r="K503" s="267" t="n"/>
      <c r="L503" s="267" t="n"/>
      <c r="M503" s="267" t="n"/>
      <c r="N503" s="267" t="n"/>
    </row>
    <row r="504">
      <c r="I504" s="267" t="n"/>
      <c r="J504" s="267" t="n"/>
      <c r="K504" s="267" t="n"/>
      <c r="L504" s="267" t="n"/>
      <c r="M504" s="267" t="n"/>
      <c r="N504" s="267" t="n"/>
    </row>
    <row r="505">
      <c r="I505" s="267" t="n"/>
      <c r="J505" s="267" t="n"/>
      <c r="K505" s="267" t="n"/>
      <c r="L505" s="267" t="n"/>
      <c r="M505" s="267" t="n"/>
      <c r="N505" s="267" t="n"/>
    </row>
    <row r="506">
      <c r="I506" s="267" t="n"/>
      <c r="J506" s="267" t="n"/>
      <c r="K506" s="267" t="n"/>
      <c r="L506" s="267" t="n"/>
      <c r="M506" s="267" t="n"/>
      <c r="N506" s="267" t="n"/>
    </row>
    <row r="507">
      <c r="I507" s="267" t="n"/>
      <c r="J507" s="267" t="n"/>
      <c r="K507" s="267" t="n"/>
      <c r="L507" s="267" t="n"/>
      <c r="M507" s="267" t="n"/>
      <c r="N507" s="267" t="n"/>
    </row>
    <row r="508">
      <c r="I508" s="267" t="n"/>
      <c r="J508" s="267" t="n"/>
      <c r="K508" s="267" t="n"/>
      <c r="L508" s="267" t="n"/>
      <c r="M508" s="267" t="n"/>
      <c r="N508" s="267" t="n"/>
    </row>
    <row r="509">
      <c r="I509" s="267" t="n"/>
      <c r="J509" s="267" t="n"/>
      <c r="K509" s="267" t="n"/>
      <c r="L509" s="267" t="n"/>
      <c r="M509" s="267" t="n"/>
      <c r="N509" s="267" t="n"/>
    </row>
    <row r="510">
      <c r="I510" s="267" t="n"/>
      <c r="J510" s="267" t="n"/>
      <c r="K510" s="267" t="n"/>
      <c r="L510" s="267" t="n"/>
      <c r="M510" s="267" t="n"/>
      <c r="N510" s="267" t="n"/>
    </row>
    <row r="511">
      <c r="I511" s="267" t="n"/>
      <c r="J511" s="267" t="n"/>
      <c r="K511" s="267" t="n"/>
      <c r="L511" s="267" t="n"/>
      <c r="M511" s="267" t="n"/>
      <c r="N511" s="267" t="n"/>
    </row>
    <row r="512">
      <c r="I512" s="267" t="n"/>
      <c r="J512" s="267" t="n"/>
      <c r="K512" s="267" t="n"/>
      <c r="L512" s="267" t="n"/>
      <c r="M512" s="267" t="n"/>
      <c r="N512" s="267" t="n"/>
    </row>
    <row r="513">
      <c r="I513" s="267" t="n"/>
      <c r="J513" s="267" t="n"/>
      <c r="K513" s="267" t="n"/>
      <c r="L513" s="267" t="n"/>
      <c r="M513" s="267" t="n"/>
      <c r="N513" s="267" t="n"/>
    </row>
    <row r="514">
      <c r="I514" s="267" t="n"/>
      <c r="J514" s="267" t="n"/>
      <c r="K514" s="267" t="n"/>
      <c r="L514" s="267" t="n"/>
      <c r="M514" s="267" t="n"/>
      <c r="N514" s="267" t="n"/>
    </row>
    <row r="515">
      <c r="I515" s="267" t="n"/>
      <c r="J515" s="267" t="n"/>
      <c r="K515" s="267" t="n"/>
      <c r="L515" s="267" t="n"/>
      <c r="M515" s="267" t="n"/>
      <c r="N515" s="267" t="n"/>
    </row>
    <row r="516">
      <c r="I516" s="267" t="n"/>
      <c r="J516" s="267" t="n"/>
      <c r="K516" s="267" t="n"/>
      <c r="L516" s="267" t="n"/>
      <c r="M516" s="267" t="n"/>
      <c r="N516" s="267" t="n"/>
    </row>
    <row r="517">
      <c r="I517" s="267" t="n"/>
      <c r="J517" s="267" t="n"/>
      <c r="K517" s="267" t="n"/>
      <c r="L517" s="267" t="n"/>
      <c r="M517" s="267" t="n"/>
      <c r="N517" s="267" t="n"/>
    </row>
    <row r="518">
      <c r="I518" s="267" t="n"/>
      <c r="J518" s="267" t="n"/>
      <c r="K518" s="267" t="n"/>
      <c r="L518" s="267" t="n"/>
      <c r="M518" s="267" t="n"/>
      <c r="N518" s="267" t="n"/>
    </row>
    <row r="519">
      <c r="I519" s="267" t="n"/>
      <c r="J519" s="267" t="n"/>
      <c r="K519" s="267" t="n"/>
      <c r="L519" s="267" t="n"/>
      <c r="M519" s="267" t="n"/>
      <c r="N519" s="267" t="n"/>
    </row>
    <row r="520">
      <c r="I520" s="267" t="n"/>
      <c r="J520" s="267" t="n"/>
      <c r="K520" s="267" t="n"/>
      <c r="L520" s="267" t="n"/>
      <c r="M520" s="267" t="n"/>
      <c r="N520" s="267" t="n"/>
    </row>
    <row r="521">
      <c r="I521" s="267" t="n"/>
      <c r="J521" s="267" t="n"/>
      <c r="K521" s="267" t="n"/>
      <c r="L521" s="267" t="n"/>
      <c r="M521" s="267" t="n"/>
      <c r="N521" s="267" t="n"/>
    </row>
    <row r="522">
      <c r="I522" s="267" t="n"/>
      <c r="J522" s="267" t="n"/>
      <c r="K522" s="267" t="n"/>
      <c r="L522" s="267" t="n"/>
      <c r="M522" s="267" t="n"/>
      <c r="N522" s="267" t="n"/>
    </row>
    <row r="523">
      <c r="I523" s="267" t="n"/>
      <c r="J523" s="267" t="n"/>
      <c r="K523" s="267" t="n"/>
      <c r="L523" s="267" t="n"/>
      <c r="M523" s="267" t="n"/>
      <c r="N523" s="267" t="n"/>
    </row>
    <row r="524">
      <c r="I524" s="267" t="n"/>
      <c r="J524" s="267" t="n"/>
      <c r="K524" s="267" t="n"/>
      <c r="L524" s="267" t="n"/>
      <c r="M524" s="267" t="n"/>
      <c r="N524" s="267" t="n"/>
    </row>
    <row r="525">
      <c r="I525" s="267" t="n"/>
      <c r="J525" s="267" t="n"/>
      <c r="K525" s="267" t="n"/>
      <c r="L525" s="267" t="n"/>
      <c r="M525" s="267" t="n"/>
      <c r="N525" s="267" t="n"/>
    </row>
    <row r="526">
      <c r="I526" s="267" t="n"/>
      <c r="J526" s="267" t="n"/>
      <c r="K526" s="267" t="n"/>
      <c r="L526" s="267" t="n"/>
      <c r="M526" s="267" t="n"/>
      <c r="N526" s="267" t="n"/>
    </row>
    <row r="527">
      <c r="I527" s="267" t="n"/>
      <c r="J527" s="267" t="n"/>
      <c r="K527" s="267" t="n"/>
      <c r="L527" s="267" t="n"/>
      <c r="M527" s="267" t="n"/>
      <c r="N527" s="267" t="n"/>
    </row>
    <row r="528">
      <c r="I528" s="267" t="n"/>
      <c r="J528" s="267" t="n"/>
      <c r="K528" s="267" t="n"/>
      <c r="L528" s="267" t="n"/>
      <c r="M528" s="267" t="n"/>
      <c r="N528" s="267" t="n"/>
    </row>
    <row r="529">
      <c r="I529" s="267" t="n"/>
      <c r="J529" s="267" t="n"/>
      <c r="K529" s="267" t="n"/>
      <c r="L529" s="267" t="n"/>
      <c r="M529" s="267" t="n"/>
      <c r="N529" s="267" t="n"/>
    </row>
    <row r="530">
      <c r="I530" s="267" t="n"/>
      <c r="J530" s="267" t="n"/>
      <c r="K530" s="267" t="n"/>
      <c r="L530" s="267" t="n"/>
      <c r="M530" s="267" t="n"/>
      <c r="N530" s="267" t="n"/>
    </row>
    <row r="531">
      <c r="I531" s="267" t="n"/>
      <c r="J531" s="267" t="n"/>
      <c r="K531" s="267" t="n"/>
      <c r="L531" s="267" t="n"/>
      <c r="M531" s="267" t="n"/>
      <c r="N531" s="267" t="n"/>
    </row>
    <row r="532">
      <c r="I532" s="267" t="n"/>
      <c r="J532" s="267" t="n"/>
      <c r="K532" s="267" t="n"/>
      <c r="L532" s="267" t="n"/>
      <c r="M532" s="267" t="n"/>
      <c r="N532" s="267" t="n"/>
    </row>
    <row r="533">
      <c r="I533" s="267" t="n"/>
      <c r="J533" s="267" t="n"/>
      <c r="K533" s="267" t="n"/>
      <c r="L533" s="267" t="n"/>
      <c r="M533" s="267" t="n"/>
      <c r="N533" s="267" t="n"/>
    </row>
    <row r="534">
      <c r="I534" s="267" t="n"/>
      <c r="J534" s="267" t="n"/>
      <c r="K534" s="267" t="n"/>
      <c r="L534" s="267" t="n"/>
      <c r="M534" s="267" t="n"/>
      <c r="N534" s="267" t="n"/>
    </row>
    <row r="535">
      <c r="I535" s="267" t="n"/>
      <c r="J535" s="267" t="n"/>
      <c r="K535" s="267" t="n"/>
      <c r="L535" s="267" t="n"/>
      <c r="M535" s="267" t="n"/>
      <c r="N535" s="267" t="n"/>
    </row>
    <row r="536">
      <c r="I536" s="267" t="n"/>
      <c r="J536" s="267" t="n"/>
      <c r="K536" s="267" t="n"/>
      <c r="L536" s="267" t="n"/>
      <c r="M536" s="267" t="n"/>
      <c r="N536" s="267" t="n"/>
    </row>
    <row r="537">
      <c r="I537" s="267" t="n"/>
      <c r="J537" s="267" t="n"/>
      <c r="K537" s="267" t="n"/>
      <c r="L537" s="267" t="n"/>
      <c r="M537" s="267" t="n"/>
      <c r="N537" s="267" t="n"/>
    </row>
    <row r="538">
      <c r="I538" s="267" t="n"/>
      <c r="J538" s="267" t="n"/>
      <c r="K538" s="267" t="n"/>
      <c r="L538" s="267" t="n"/>
      <c r="M538" s="267" t="n"/>
      <c r="N538" s="267" t="n"/>
    </row>
    <row r="539">
      <c r="I539" s="267" t="n"/>
      <c r="J539" s="267" t="n"/>
      <c r="K539" s="267" t="n"/>
      <c r="L539" s="267" t="n"/>
      <c r="M539" s="267" t="n"/>
      <c r="N539" s="267" t="n"/>
    </row>
    <row r="540">
      <c r="I540" s="267" t="n"/>
      <c r="J540" s="267" t="n"/>
      <c r="K540" s="267" t="n"/>
      <c r="L540" s="267" t="n"/>
      <c r="M540" s="267" t="n"/>
      <c r="N540" s="267" t="n"/>
    </row>
    <row r="541">
      <c r="I541" s="267" t="n"/>
      <c r="J541" s="267" t="n"/>
      <c r="K541" s="267" t="n"/>
      <c r="L541" s="267" t="n"/>
      <c r="M541" s="267" t="n"/>
      <c r="N541" s="267" t="n"/>
    </row>
    <row r="542">
      <c r="I542" s="267" t="n"/>
      <c r="J542" s="267" t="n"/>
      <c r="K542" s="267" t="n"/>
      <c r="L542" s="267" t="n"/>
      <c r="M542" s="267" t="n"/>
      <c r="N542" s="267" t="n"/>
    </row>
    <row r="543">
      <c r="I543" s="267" t="n"/>
      <c r="J543" s="267" t="n"/>
      <c r="K543" s="267" t="n"/>
      <c r="L543" s="267" t="n"/>
      <c r="M543" s="267" t="n"/>
      <c r="N543" s="267" t="n"/>
    </row>
    <row r="544">
      <c r="I544" s="267" t="n"/>
      <c r="J544" s="267" t="n"/>
      <c r="K544" s="267" t="n"/>
      <c r="L544" s="267" t="n"/>
      <c r="M544" s="267" t="n"/>
      <c r="N544" s="267" t="n"/>
    </row>
    <row r="545">
      <c r="I545" s="267" t="n"/>
      <c r="J545" s="267" t="n"/>
      <c r="K545" s="267" t="n"/>
      <c r="L545" s="267" t="n"/>
      <c r="M545" s="267" t="n"/>
      <c r="N545" s="267" t="n"/>
    </row>
    <row r="546">
      <c r="I546" s="267" t="n"/>
      <c r="J546" s="267" t="n"/>
      <c r="K546" s="267" t="n"/>
      <c r="L546" s="267" t="n"/>
      <c r="M546" s="267" t="n"/>
      <c r="N546" s="267" t="n"/>
    </row>
    <row r="547">
      <c r="I547" s="267" t="n"/>
      <c r="J547" s="267" t="n"/>
      <c r="K547" s="267" t="n"/>
      <c r="L547" s="267" t="n"/>
      <c r="M547" s="267" t="n"/>
      <c r="N547" s="267" t="n"/>
    </row>
    <row r="548">
      <c r="I548" s="267" t="n"/>
      <c r="J548" s="267" t="n"/>
      <c r="K548" s="267" t="n"/>
      <c r="L548" s="267" t="n"/>
      <c r="M548" s="267" t="n"/>
      <c r="N548" s="267" t="n"/>
    </row>
    <row r="549">
      <c r="I549" s="267" t="n"/>
      <c r="J549" s="267" t="n"/>
      <c r="K549" s="267" t="n"/>
      <c r="L549" s="267" t="n"/>
      <c r="M549" s="267" t="n"/>
      <c r="N549" s="267" t="n"/>
    </row>
    <row r="550">
      <c r="I550" s="267" t="n"/>
      <c r="J550" s="267" t="n"/>
      <c r="K550" s="267" t="n"/>
      <c r="L550" s="267" t="n"/>
      <c r="M550" s="267" t="n"/>
      <c r="N550" s="267" t="n"/>
    </row>
    <row r="551">
      <c r="I551" s="267" t="n"/>
      <c r="J551" s="267" t="n"/>
      <c r="K551" s="267" t="n"/>
      <c r="L551" s="267" t="n"/>
      <c r="M551" s="267" t="n"/>
      <c r="N551" s="267" t="n"/>
    </row>
    <row r="552">
      <c r="I552" s="267" t="n"/>
      <c r="J552" s="267" t="n"/>
      <c r="K552" s="267" t="n"/>
      <c r="L552" s="267" t="n"/>
      <c r="M552" s="267" t="n"/>
      <c r="N552" s="267" t="n"/>
    </row>
    <row r="553">
      <c r="I553" s="267" t="n"/>
      <c r="J553" s="267" t="n"/>
      <c r="K553" s="267" t="n"/>
      <c r="L553" s="267" t="n"/>
      <c r="M553" s="267" t="n"/>
      <c r="N553" s="267" t="n"/>
    </row>
    <row r="554">
      <c r="I554" s="267" t="n"/>
      <c r="J554" s="267" t="n"/>
      <c r="K554" s="267" t="n"/>
      <c r="L554" s="267" t="n"/>
      <c r="M554" s="267" t="n"/>
      <c r="N554" s="267" t="n"/>
    </row>
    <row r="555">
      <c r="I555" s="267" t="n"/>
      <c r="J555" s="267" t="n"/>
      <c r="K555" s="267" t="n"/>
      <c r="L555" s="267" t="n"/>
      <c r="M555" s="267" t="n"/>
      <c r="N555" s="267" t="n"/>
    </row>
    <row r="556">
      <c r="I556" s="267" t="n"/>
      <c r="J556" s="267" t="n"/>
      <c r="K556" s="267" t="n"/>
      <c r="L556" s="267" t="n"/>
      <c r="M556" s="267" t="n"/>
      <c r="N556" s="267" t="n"/>
    </row>
    <row r="557">
      <c r="I557" s="267" t="n"/>
      <c r="J557" s="267" t="n"/>
      <c r="K557" s="267" t="n"/>
      <c r="L557" s="267" t="n"/>
      <c r="M557" s="267" t="n"/>
      <c r="N557" s="267" t="n"/>
    </row>
    <row r="558">
      <c r="I558" s="267" t="n"/>
      <c r="J558" s="267" t="n"/>
      <c r="K558" s="267" t="n"/>
      <c r="L558" s="267" t="n"/>
      <c r="M558" s="267" t="n"/>
      <c r="N558" s="267" t="n"/>
    </row>
    <row r="559">
      <c r="I559" s="267" t="n"/>
      <c r="J559" s="267" t="n"/>
      <c r="K559" s="267" t="n"/>
      <c r="L559" s="267" t="n"/>
      <c r="M559" s="267" t="n"/>
      <c r="N559" s="267" t="n"/>
    </row>
    <row r="560">
      <c r="I560" s="267" t="n"/>
      <c r="J560" s="267" t="n"/>
      <c r="K560" s="267" t="n"/>
      <c r="L560" s="267" t="n"/>
      <c r="M560" s="267" t="n"/>
      <c r="N560" s="267" t="n"/>
    </row>
    <row r="561">
      <c r="I561" s="267" t="n"/>
      <c r="J561" s="267" t="n"/>
      <c r="K561" s="267" t="n"/>
      <c r="L561" s="267" t="n"/>
      <c r="M561" s="267" t="n"/>
      <c r="N561" s="267" t="n"/>
    </row>
    <row r="562">
      <c r="I562" s="267" t="n"/>
      <c r="J562" s="267" t="n"/>
      <c r="K562" s="267" t="n"/>
      <c r="L562" s="267" t="n"/>
      <c r="M562" s="267" t="n"/>
      <c r="N562" s="267" t="n"/>
    </row>
    <row r="563">
      <c r="I563" s="267" t="n"/>
      <c r="J563" s="267" t="n"/>
      <c r="K563" s="267" t="n"/>
      <c r="L563" s="267" t="n"/>
      <c r="M563" s="267" t="n"/>
      <c r="N563" s="267" t="n"/>
    </row>
    <row r="564">
      <c r="I564" s="267" t="n"/>
      <c r="J564" s="267" t="n"/>
      <c r="K564" s="267" t="n"/>
      <c r="L564" s="267" t="n"/>
      <c r="M564" s="267" t="n"/>
      <c r="N564" s="267" t="n"/>
    </row>
    <row r="565">
      <c r="I565" s="267" t="n"/>
      <c r="J565" s="267" t="n"/>
      <c r="K565" s="267" t="n"/>
      <c r="L565" s="267" t="n"/>
      <c r="M565" s="267" t="n"/>
      <c r="N565" s="267" t="n"/>
    </row>
    <row r="566">
      <c r="I566" s="267" t="n"/>
      <c r="J566" s="267" t="n"/>
      <c r="K566" s="267" t="n"/>
      <c r="L566" s="267" t="n"/>
      <c r="M566" s="267" t="n"/>
      <c r="N566" s="267" t="n"/>
    </row>
    <row r="567">
      <c r="I567" s="267" t="n"/>
      <c r="J567" s="267" t="n"/>
      <c r="K567" s="267" t="n"/>
      <c r="L567" s="267" t="n"/>
      <c r="M567" s="267" t="n"/>
      <c r="N567" s="267" t="n"/>
    </row>
    <row r="568">
      <c r="I568" s="267" t="n"/>
      <c r="J568" s="267" t="n"/>
      <c r="K568" s="267" t="n"/>
      <c r="L568" s="267" t="n"/>
      <c r="M568" s="267" t="n"/>
      <c r="N568" s="267" t="n"/>
    </row>
    <row r="569">
      <c r="I569" s="267" t="n"/>
      <c r="J569" s="267" t="n"/>
      <c r="K569" s="267" t="n"/>
      <c r="L569" s="267" t="n"/>
      <c r="M569" s="267" t="n"/>
      <c r="N569" s="267" t="n"/>
    </row>
    <row r="570">
      <c r="I570" s="267" t="n"/>
      <c r="J570" s="267" t="n"/>
      <c r="K570" s="267" t="n"/>
      <c r="L570" s="267" t="n"/>
      <c r="M570" s="267" t="n"/>
      <c r="N570" s="267" t="n"/>
    </row>
    <row r="571">
      <c r="I571" s="267" t="n"/>
      <c r="J571" s="267" t="n"/>
      <c r="K571" s="267" t="n"/>
      <c r="L571" s="267" t="n"/>
      <c r="M571" s="267" t="n"/>
      <c r="N571" s="267" t="n"/>
    </row>
    <row r="572">
      <c r="I572" s="267" t="n"/>
      <c r="J572" s="267" t="n"/>
      <c r="K572" s="267" t="n"/>
      <c r="L572" s="267" t="n"/>
      <c r="M572" s="267" t="n"/>
      <c r="N572" s="267" t="n"/>
    </row>
    <row r="573">
      <c r="I573" s="267" t="n"/>
      <c r="J573" s="267" t="n"/>
      <c r="K573" s="267" t="n"/>
      <c r="L573" s="267" t="n"/>
      <c r="M573" s="267" t="n"/>
      <c r="N573" s="267" t="n"/>
    </row>
    <row r="574">
      <c r="I574" s="267" t="n"/>
      <c r="J574" s="267" t="n"/>
      <c r="K574" s="267" t="n"/>
      <c r="L574" s="267" t="n"/>
      <c r="M574" s="267" t="n"/>
      <c r="N574" s="267" t="n"/>
    </row>
    <row r="575">
      <c r="I575" s="267" t="n"/>
      <c r="J575" s="267" t="n"/>
      <c r="K575" s="267" t="n"/>
      <c r="L575" s="267" t="n"/>
      <c r="M575" s="267" t="n"/>
      <c r="N575" s="267" t="n"/>
    </row>
    <row r="576">
      <c r="I576" s="267" t="n"/>
      <c r="J576" s="267" t="n"/>
      <c r="K576" s="267" t="n"/>
      <c r="L576" s="267" t="n"/>
      <c r="M576" s="267" t="n"/>
      <c r="N576" s="267" t="n"/>
    </row>
    <row r="577">
      <c r="I577" s="267" t="n"/>
      <c r="J577" s="267" t="n"/>
      <c r="K577" s="267" t="n"/>
      <c r="L577" s="267" t="n"/>
      <c r="M577" s="267" t="n"/>
      <c r="N577" s="267" t="n"/>
    </row>
    <row r="578">
      <c r="I578" s="267" t="n"/>
      <c r="J578" s="267" t="n"/>
      <c r="K578" s="267" t="n"/>
      <c r="L578" s="267" t="n"/>
      <c r="M578" s="267" t="n"/>
      <c r="N578" s="267" t="n"/>
    </row>
    <row r="579">
      <c r="I579" s="267" t="n"/>
      <c r="J579" s="267" t="n"/>
      <c r="K579" s="267" t="n"/>
      <c r="L579" s="267" t="n"/>
      <c r="M579" s="267" t="n"/>
      <c r="N579" s="267" t="n"/>
    </row>
    <row r="580">
      <c r="I580" s="267" t="n"/>
      <c r="J580" s="267" t="n"/>
      <c r="K580" s="267" t="n"/>
      <c r="L580" s="267" t="n"/>
      <c r="M580" s="267" t="n"/>
      <c r="N580" s="267" t="n"/>
    </row>
    <row r="581">
      <c r="I581" s="267" t="n"/>
      <c r="J581" s="267" t="n"/>
      <c r="K581" s="267" t="n"/>
      <c r="L581" s="267" t="n"/>
      <c r="M581" s="267" t="n"/>
      <c r="N581" s="267" t="n"/>
    </row>
    <row r="582">
      <c r="I582" s="267" t="n"/>
      <c r="J582" s="267" t="n"/>
      <c r="K582" s="267" t="n"/>
      <c r="L582" s="267" t="n"/>
      <c r="M582" s="267" t="n"/>
      <c r="N582" s="267" t="n"/>
    </row>
    <row r="583">
      <c r="I583" s="267" t="n"/>
      <c r="J583" s="267" t="n"/>
      <c r="K583" s="267" t="n"/>
      <c r="L583" s="267" t="n"/>
      <c r="M583" s="267" t="n"/>
      <c r="N583" s="267" t="n"/>
    </row>
    <row r="584">
      <c r="I584" s="267" t="n"/>
      <c r="J584" s="267" t="n"/>
      <c r="K584" s="267" t="n"/>
      <c r="L584" s="267" t="n"/>
      <c r="M584" s="267" t="n"/>
      <c r="N584" s="267" t="n"/>
    </row>
    <row r="585">
      <c r="I585" s="267" t="n"/>
      <c r="J585" s="267" t="n"/>
      <c r="K585" s="267" t="n"/>
      <c r="L585" s="267" t="n"/>
      <c r="M585" s="267" t="n"/>
      <c r="N585" s="267" t="n"/>
    </row>
    <row r="586">
      <c r="I586" s="267" t="n"/>
      <c r="J586" s="267" t="n"/>
      <c r="K586" s="267" t="n"/>
      <c r="L586" s="267" t="n"/>
      <c r="M586" s="267" t="n"/>
      <c r="N586" s="267" t="n"/>
    </row>
    <row r="587">
      <c r="I587" s="267" t="n"/>
      <c r="J587" s="267" t="n"/>
      <c r="K587" s="267" t="n"/>
      <c r="L587" s="267" t="n"/>
      <c r="M587" s="267" t="n"/>
      <c r="N587" s="267" t="n"/>
    </row>
    <row r="588">
      <c r="I588" s="267" t="n"/>
      <c r="J588" s="267" t="n"/>
      <c r="K588" s="267" t="n"/>
      <c r="L588" s="267" t="n"/>
      <c r="M588" s="267" t="n"/>
      <c r="N588" s="267" t="n"/>
    </row>
    <row r="589">
      <c r="I589" s="267" t="n"/>
      <c r="J589" s="267" t="n"/>
      <c r="K589" s="267" t="n"/>
      <c r="L589" s="267" t="n"/>
      <c r="M589" s="267" t="n"/>
      <c r="N589" s="267" t="n"/>
    </row>
    <row r="590">
      <c r="I590" s="267" t="n"/>
      <c r="J590" s="267" t="n"/>
      <c r="K590" s="267" t="n"/>
      <c r="L590" s="267" t="n"/>
      <c r="M590" s="267" t="n"/>
      <c r="N590" s="267" t="n"/>
    </row>
    <row r="591">
      <c r="I591" s="267" t="n"/>
      <c r="J591" s="267" t="n"/>
      <c r="K591" s="267" t="n"/>
      <c r="L591" s="267" t="n"/>
      <c r="M591" s="267" t="n"/>
      <c r="N591" s="267" t="n"/>
    </row>
    <row r="592">
      <c r="I592" s="267" t="n"/>
      <c r="J592" s="267" t="n"/>
      <c r="K592" s="267" t="n"/>
      <c r="L592" s="267" t="n"/>
      <c r="M592" s="267" t="n"/>
      <c r="N592" s="267" t="n"/>
    </row>
    <row r="593">
      <c r="I593" s="267" t="n"/>
      <c r="J593" s="267" t="n"/>
      <c r="K593" s="267" t="n"/>
      <c r="L593" s="267" t="n"/>
      <c r="M593" s="267" t="n"/>
      <c r="N593" s="267" t="n"/>
    </row>
    <row r="594">
      <c r="I594" s="267" t="n"/>
      <c r="J594" s="267" t="n"/>
      <c r="K594" s="267" t="n"/>
      <c r="L594" s="267" t="n"/>
      <c r="M594" s="267" t="n"/>
      <c r="N594" s="267" t="n"/>
    </row>
    <row r="595">
      <c r="I595" s="267" t="n"/>
      <c r="J595" s="267" t="n"/>
      <c r="K595" s="267" t="n"/>
      <c r="L595" s="267" t="n"/>
      <c r="M595" s="267" t="n"/>
      <c r="N595" s="267" t="n"/>
    </row>
    <row r="596">
      <c r="I596" s="267" t="n"/>
      <c r="J596" s="267" t="n"/>
      <c r="K596" s="267" t="n"/>
      <c r="L596" s="267" t="n"/>
      <c r="M596" s="267" t="n"/>
      <c r="N596" s="267" t="n"/>
    </row>
    <row r="597">
      <c r="I597" s="267" t="n"/>
      <c r="J597" s="267" t="n"/>
      <c r="K597" s="267" t="n"/>
      <c r="L597" s="267" t="n"/>
      <c r="M597" s="267" t="n"/>
      <c r="N597" s="267" t="n"/>
    </row>
    <row r="598">
      <c r="I598" s="267" t="n"/>
      <c r="J598" s="267" t="n"/>
      <c r="K598" s="267" t="n"/>
      <c r="L598" s="267" t="n"/>
      <c r="M598" s="267" t="n"/>
      <c r="N598" s="267" t="n"/>
    </row>
    <row r="599">
      <c r="I599" s="267" t="n"/>
      <c r="J599" s="267" t="n"/>
      <c r="K599" s="267" t="n"/>
      <c r="L599" s="267" t="n"/>
      <c r="M599" s="267" t="n"/>
      <c r="N599" s="267" t="n"/>
    </row>
    <row r="600">
      <c r="I600" s="267" t="n"/>
      <c r="J600" s="267" t="n"/>
      <c r="K600" s="267" t="n"/>
      <c r="L600" s="267" t="n"/>
      <c r="M600" s="267" t="n"/>
      <c r="N600" s="267" t="n"/>
    </row>
    <row r="601">
      <c r="I601" s="267" t="n"/>
      <c r="J601" s="267" t="n"/>
      <c r="K601" s="267" t="n"/>
      <c r="L601" s="267" t="n"/>
      <c r="M601" s="267" t="n"/>
      <c r="N601" s="267" t="n"/>
    </row>
    <row r="602">
      <c r="I602" s="267" t="n"/>
      <c r="J602" s="267" t="n"/>
      <c r="K602" s="267" t="n"/>
      <c r="L602" s="267" t="n"/>
      <c r="M602" s="267" t="n"/>
      <c r="N602" s="267" t="n"/>
    </row>
    <row r="603">
      <c r="I603" s="267" t="n"/>
      <c r="J603" s="267" t="n"/>
      <c r="K603" s="267" t="n"/>
      <c r="L603" s="267" t="n"/>
      <c r="M603" s="267" t="n"/>
      <c r="N603" s="267" t="n"/>
    </row>
    <row r="604">
      <c r="I604" s="267" t="n"/>
      <c r="J604" s="267" t="n"/>
      <c r="K604" s="267" t="n"/>
      <c r="L604" s="267" t="n"/>
      <c r="M604" s="267" t="n"/>
      <c r="N604" s="267" t="n"/>
    </row>
    <row r="605">
      <c r="I605" s="267" t="n"/>
      <c r="J605" s="267" t="n"/>
      <c r="K605" s="267" t="n"/>
      <c r="L605" s="267" t="n"/>
      <c r="M605" s="267" t="n"/>
      <c r="N605" s="267" t="n"/>
    </row>
    <row r="606">
      <c r="I606" s="267" t="n"/>
      <c r="J606" s="267" t="n"/>
      <c r="K606" s="267" t="n"/>
      <c r="L606" s="267" t="n"/>
      <c r="M606" s="267" t="n"/>
      <c r="N606" s="267" t="n"/>
    </row>
    <row r="607">
      <c r="I607" s="267" t="n"/>
      <c r="J607" s="267" t="n"/>
      <c r="K607" s="267" t="n"/>
      <c r="L607" s="267" t="n"/>
      <c r="M607" s="267" t="n"/>
      <c r="N607" s="267" t="n"/>
    </row>
    <row r="608">
      <c r="I608" s="267" t="n"/>
      <c r="J608" s="267" t="n"/>
      <c r="K608" s="267" t="n"/>
      <c r="L608" s="267" t="n"/>
      <c r="M608" s="267" t="n"/>
      <c r="N608" s="267" t="n"/>
    </row>
    <row r="609">
      <c r="I609" s="267" t="n"/>
      <c r="J609" s="267" t="n"/>
      <c r="K609" s="267" t="n"/>
      <c r="L609" s="267" t="n"/>
      <c r="M609" s="267" t="n"/>
      <c r="N609" s="267" t="n"/>
    </row>
    <row r="610">
      <c r="I610" s="267" t="n"/>
      <c r="J610" s="267" t="n"/>
      <c r="K610" s="267" t="n"/>
      <c r="L610" s="267" t="n"/>
      <c r="M610" s="267" t="n"/>
      <c r="N610" s="267" t="n"/>
    </row>
    <row r="611">
      <c r="I611" s="267" t="n"/>
      <c r="J611" s="267" t="n"/>
      <c r="K611" s="267" t="n"/>
      <c r="L611" s="267" t="n"/>
      <c r="M611" s="267" t="n"/>
      <c r="N611" s="267" t="n"/>
    </row>
    <row r="612">
      <c r="I612" s="267" t="n"/>
      <c r="J612" s="267" t="n"/>
      <c r="K612" s="267" t="n"/>
      <c r="L612" s="267" t="n"/>
      <c r="M612" s="267" t="n"/>
      <c r="N612" s="267" t="n"/>
    </row>
    <row r="613">
      <c r="I613" s="267" t="n"/>
      <c r="J613" s="267" t="n"/>
      <c r="K613" s="267" t="n"/>
      <c r="L613" s="267" t="n"/>
      <c r="M613" s="267" t="n"/>
      <c r="N613" s="267" t="n"/>
    </row>
    <row r="614">
      <c r="I614" s="267" t="n"/>
      <c r="J614" s="267" t="n"/>
      <c r="K614" s="267" t="n"/>
      <c r="L614" s="267" t="n"/>
      <c r="M614" s="267" t="n"/>
      <c r="N614" s="267" t="n"/>
    </row>
    <row r="615">
      <c r="I615" s="267" t="n"/>
      <c r="J615" s="267" t="n"/>
      <c r="K615" s="267" t="n"/>
      <c r="L615" s="267" t="n"/>
      <c r="M615" s="267" t="n"/>
      <c r="N615" s="267" t="n"/>
    </row>
    <row r="616">
      <c r="I616" s="267" t="n"/>
      <c r="J616" s="267" t="n"/>
      <c r="K616" s="267" t="n"/>
      <c r="L616" s="267" t="n"/>
      <c r="M616" s="267" t="n"/>
      <c r="N616" s="267" t="n"/>
    </row>
    <row r="617">
      <c r="I617" s="267" t="n"/>
      <c r="J617" s="267" t="n"/>
      <c r="K617" s="267" t="n"/>
      <c r="L617" s="267" t="n"/>
      <c r="M617" s="267" t="n"/>
      <c r="N617" s="267" t="n"/>
    </row>
    <row r="618">
      <c r="I618" s="267" t="n"/>
      <c r="J618" s="267" t="n"/>
      <c r="K618" s="267" t="n"/>
      <c r="L618" s="267" t="n"/>
      <c r="M618" s="267" t="n"/>
      <c r="N618" s="267" t="n"/>
    </row>
    <row r="619">
      <c r="I619" s="267" t="n"/>
      <c r="J619" s="267" t="n"/>
      <c r="K619" s="267" t="n"/>
      <c r="L619" s="267" t="n"/>
      <c r="M619" s="267" t="n"/>
      <c r="N619" s="267" t="n"/>
    </row>
    <row r="620">
      <c r="I620" s="267" t="n"/>
      <c r="J620" s="267" t="n"/>
      <c r="K620" s="267" t="n"/>
      <c r="L620" s="267" t="n"/>
      <c r="M620" s="267" t="n"/>
      <c r="N620" s="267" t="n"/>
    </row>
    <row r="621">
      <c r="I621" s="267" t="n"/>
      <c r="J621" s="267" t="n"/>
      <c r="K621" s="267" t="n"/>
      <c r="L621" s="267" t="n"/>
      <c r="M621" s="267" t="n"/>
      <c r="N621" s="267" t="n"/>
    </row>
    <row r="622">
      <c r="I622" s="267" t="n"/>
      <c r="J622" s="267" t="n"/>
      <c r="K622" s="267" t="n"/>
      <c r="L622" s="267" t="n"/>
      <c r="M622" s="267" t="n"/>
      <c r="N622" s="267" t="n"/>
    </row>
    <row r="623">
      <c r="I623" s="267" t="n"/>
      <c r="J623" s="267" t="n"/>
      <c r="K623" s="267" t="n"/>
      <c r="L623" s="267" t="n"/>
      <c r="M623" s="267" t="n"/>
      <c r="N623" s="267" t="n"/>
    </row>
    <row r="624">
      <c r="I624" s="267" t="n"/>
      <c r="J624" s="267" t="n"/>
      <c r="K624" s="267" t="n"/>
      <c r="L624" s="267" t="n"/>
      <c r="M624" s="267" t="n"/>
      <c r="N624" s="267" t="n"/>
    </row>
    <row r="625">
      <c r="I625" s="267" t="n"/>
      <c r="J625" s="267" t="n"/>
      <c r="K625" s="267" t="n"/>
      <c r="L625" s="267" t="n"/>
      <c r="M625" s="267" t="n"/>
      <c r="N625" s="267" t="n"/>
    </row>
    <row r="626">
      <c r="I626" s="267" t="n"/>
      <c r="J626" s="267" t="n"/>
      <c r="K626" s="267" t="n"/>
      <c r="L626" s="267" t="n"/>
      <c r="M626" s="267" t="n"/>
      <c r="N626" s="267" t="n"/>
    </row>
    <row r="627">
      <c r="I627" s="267" t="n"/>
      <c r="J627" s="267" t="n"/>
      <c r="K627" s="267" t="n"/>
      <c r="L627" s="267" t="n"/>
      <c r="M627" s="267" t="n"/>
      <c r="N627" s="267" t="n"/>
    </row>
    <row r="628">
      <c r="I628" s="267" t="n"/>
      <c r="J628" s="267" t="n"/>
      <c r="K628" s="267" t="n"/>
      <c r="L628" s="267" t="n"/>
      <c r="M628" s="267" t="n"/>
      <c r="N628" s="267" t="n"/>
    </row>
    <row r="629">
      <c r="I629" s="267" t="n"/>
      <c r="J629" s="267" t="n"/>
      <c r="K629" s="267" t="n"/>
      <c r="L629" s="267" t="n"/>
      <c r="M629" s="267" t="n"/>
      <c r="N629" s="267" t="n"/>
    </row>
    <row r="630">
      <c r="I630" s="267" t="n"/>
      <c r="J630" s="267" t="n"/>
      <c r="K630" s="267" t="n"/>
      <c r="L630" s="267" t="n"/>
      <c r="M630" s="267" t="n"/>
      <c r="N630" s="267" t="n"/>
    </row>
    <row r="631">
      <c r="I631" s="267" t="n"/>
      <c r="J631" s="267" t="n"/>
      <c r="K631" s="267" t="n"/>
      <c r="L631" s="267" t="n"/>
      <c r="M631" s="267" t="n"/>
      <c r="N631" s="267" t="n"/>
    </row>
    <row r="632">
      <c r="I632" s="267" t="n"/>
      <c r="J632" s="267" t="n"/>
      <c r="K632" s="267" t="n"/>
      <c r="L632" s="267" t="n"/>
      <c r="M632" s="267" t="n"/>
      <c r="N632" s="267" t="n"/>
    </row>
    <row r="633">
      <c r="I633" s="267" t="n"/>
      <c r="J633" s="267" t="n"/>
      <c r="K633" s="267" t="n"/>
      <c r="L633" s="267" t="n"/>
      <c r="M633" s="267" t="n"/>
      <c r="N633" s="267" t="n"/>
    </row>
    <row r="634">
      <c r="I634" s="267" t="n"/>
      <c r="J634" s="267" t="n"/>
      <c r="K634" s="267" t="n"/>
      <c r="L634" s="267" t="n"/>
      <c r="M634" s="267" t="n"/>
      <c r="N634" s="267" t="n"/>
    </row>
    <row r="635">
      <c r="I635" s="267" t="n"/>
      <c r="J635" s="267" t="n"/>
      <c r="K635" s="267" t="n"/>
      <c r="L635" s="267" t="n"/>
      <c r="M635" s="267" t="n"/>
      <c r="N635" s="267" t="n"/>
    </row>
    <row r="636">
      <c r="I636" s="267" t="n"/>
      <c r="J636" s="267" t="n"/>
      <c r="K636" s="267" t="n"/>
      <c r="L636" s="267" t="n"/>
      <c r="M636" s="267" t="n"/>
      <c r="N636" s="267" t="n"/>
    </row>
    <row r="637">
      <c r="I637" s="267" t="n"/>
      <c r="J637" s="267" t="n"/>
      <c r="K637" s="267" t="n"/>
      <c r="L637" s="267" t="n"/>
      <c r="M637" s="267" t="n"/>
      <c r="N637" s="267" t="n"/>
    </row>
    <row r="638">
      <c r="I638" s="267" t="n"/>
      <c r="J638" s="267" t="n"/>
      <c r="K638" s="267" t="n"/>
      <c r="L638" s="267" t="n"/>
      <c r="M638" s="267" t="n"/>
      <c r="N638" s="267" t="n"/>
    </row>
    <row r="639">
      <c r="I639" s="267" t="n"/>
      <c r="J639" s="267" t="n"/>
      <c r="K639" s="267" t="n"/>
      <c r="L639" s="267" t="n"/>
      <c r="M639" s="267" t="n"/>
      <c r="N639" s="267" t="n"/>
    </row>
    <row r="640">
      <c r="I640" s="267" t="n"/>
      <c r="J640" s="267" t="n"/>
      <c r="K640" s="267" t="n"/>
      <c r="L640" s="267" t="n"/>
      <c r="M640" s="267" t="n"/>
      <c r="N640" s="267" t="n"/>
    </row>
    <row r="641">
      <c r="I641" s="267" t="n"/>
      <c r="J641" s="267" t="n"/>
      <c r="K641" s="267" t="n"/>
      <c r="L641" s="267" t="n"/>
      <c r="M641" s="267" t="n"/>
      <c r="N641" s="267" t="n"/>
    </row>
    <row r="642">
      <c r="I642" s="267" t="n"/>
      <c r="J642" s="267" t="n"/>
      <c r="K642" s="267" t="n"/>
      <c r="L642" s="267" t="n"/>
      <c r="M642" s="267" t="n"/>
      <c r="N642" s="267" t="n"/>
    </row>
    <row r="643">
      <c r="I643" s="267" t="n"/>
      <c r="J643" s="267" t="n"/>
      <c r="K643" s="267" t="n"/>
      <c r="L643" s="267" t="n"/>
      <c r="M643" s="267" t="n"/>
      <c r="N643" s="267" t="n"/>
    </row>
    <row r="644">
      <c r="I644" s="267" t="n"/>
      <c r="J644" s="267" t="n"/>
      <c r="K644" s="267" t="n"/>
      <c r="L644" s="267" t="n"/>
      <c r="M644" s="267" t="n"/>
      <c r="N644" s="267" t="n"/>
    </row>
    <row r="645">
      <c r="I645" s="267" t="n"/>
      <c r="J645" s="267" t="n"/>
      <c r="K645" s="267" t="n"/>
      <c r="L645" s="267" t="n"/>
      <c r="M645" s="267" t="n"/>
      <c r="N645" s="267" t="n"/>
    </row>
    <row r="646">
      <c r="I646" s="267" t="n"/>
      <c r="J646" s="267" t="n"/>
      <c r="K646" s="267" t="n"/>
      <c r="L646" s="267" t="n"/>
      <c r="M646" s="267" t="n"/>
      <c r="N646" s="267" t="n"/>
    </row>
    <row r="647">
      <c r="I647" s="267" t="n"/>
      <c r="J647" s="267" t="n"/>
      <c r="K647" s="267" t="n"/>
      <c r="L647" s="267" t="n"/>
      <c r="M647" s="267" t="n"/>
      <c r="N647" s="267" t="n"/>
    </row>
    <row r="648">
      <c r="I648" s="267" t="n"/>
      <c r="J648" s="267" t="n"/>
      <c r="K648" s="267" t="n"/>
      <c r="L648" s="267" t="n"/>
      <c r="M648" s="267" t="n"/>
      <c r="N648" s="267" t="n"/>
    </row>
    <row r="649">
      <c r="I649" s="267" t="n"/>
      <c r="J649" s="267" t="n"/>
      <c r="K649" s="267" t="n"/>
      <c r="L649" s="267" t="n"/>
      <c r="M649" s="267" t="n"/>
      <c r="N649" s="267" t="n"/>
    </row>
    <row r="650">
      <c r="I650" s="267" t="n"/>
      <c r="J650" s="267" t="n"/>
      <c r="K650" s="267" t="n"/>
      <c r="L650" s="267" t="n"/>
      <c r="M650" s="267" t="n"/>
      <c r="N650" s="267" t="n"/>
    </row>
    <row r="651">
      <c r="I651" s="267" t="n"/>
      <c r="J651" s="267" t="n"/>
      <c r="K651" s="267" t="n"/>
      <c r="L651" s="267" t="n"/>
      <c r="M651" s="267" t="n"/>
      <c r="N651" s="267" t="n"/>
    </row>
    <row r="652">
      <c r="I652" s="267" t="n"/>
      <c r="J652" s="267" t="n"/>
      <c r="K652" s="267" t="n"/>
      <c r="L652" s="267" t="n"/>
      <c r="M652" s="267" t="n"/>
      <c r="N652" s="267" t="n"/>
    </row>
    <row r="653">
      <c r="I653" s="267" t="n"/>
      <c r="J653" s="267" t="n"/>
      <c r="K653" s="267" t="n"/>
      <c r="L653" s="267" t="n"/>
      <c r="M653" s="267" t="n"/>
      <c r="N653" s="267" t="n"/>
    </row>
    <row r="654">
      <c r="I654" s="267" t="n"/>
      <c r="J654" s="267" t="n"/>
      <c r="K654" s="267" t="n"/>
      <c r="L654" s="267" t="n"/>
      <c r="M654" s="267" t="n"/>
      <c r="N654" s="267" t="n"/>
    </row>
    <row r="655">
      <c r="I655" s="267" t="n"/>
      <c r="J655" s="267" t="n"/>
      <c r="K655" s="267" t="n"/>
      <c r="L655" s="267" t="n"/>
      <c r="M655" s="267" t="n"/>
      <c r="N655" s="267" t="n"/>
    </row>
    <row r="656">
      <c r="I656" s="267" t="n"/>
      <c r="J656" s="267" t="n"/>
      <c r="K656" s="267" t="n"/>
      <c r="L656" s="267" t="n"/>
      <c r="M656" s="267" t="n"/>
      <c r="N656" s="267" t="n"/>
    </row>
    <row r="657">
      <c r="I657" s="267" t="n"/>
      <c r="J657" s="267" t="n"/>
      <c r="K657" s="267" t="n"/>
      <c r="L657" s="267" t="n"/>
      <c r="M657" s="267" t="n"/>
      <c r="N657" s="267" t="n"/>
    </row>
    <row r="658">
      <c r="I658" s="267" t="n"/>
      <c r="J658" s="267" t="n"/>
      <c r="K658" s="267" t="n"/>
      <c r="L658" s="267" t="n"/>
      <c r="M658" s="267" t="n"/>
      <c r="N658" s="267" t="n"/>
    </row>
    <row r="659">
      <c r="I659" s="267" t="n"/>
      <c r="J659" s="267" t="n"/>
      <c r="K659" s="267" t="n"/>
      <c r="L659" s="267" t="n"/>
      <c r="M659" s="267" t="n"/>
      <c r="N659" s="267" t="n"/>
    </row>
    <row r="660">
      <c r="I660" s="267" t="n"/>
      <c r="J660" s="267" t="n"/>
      <c r="K660" s="267" t="n"/>
      <c r="L660" s="267" t="n"/>
      <c r="M660" s="267" t="n"/>
      <c r="N660" s="267" t="n"/>
    </row>
    <row r="661">
      <c r="I661" s="267" t="n"/>
      <c r="J661" s="267" t="n"/>
      <c r="K661" s="267" t="n"/>
      <c r="L661" s="267" t="n"/>
      <c r="M661" s="267" t="n"/>
      <c r="N661" s="267" t="n"/>
    </row>
    <row r="662">
      <c r="I662" s="267" t="n"/>
      <c r="J662" s="267" t="n"/>
      <c r="K662" s="267" t="n"/>
      <c r="L662" s="267" t="n"/>
      <c r="M662" s="267" t="n"/>
      <c r="N662" s="267" t="n"/>
    </row>
    <row r="663">
      <c r="I663" s="267" t="n"/>
      <c r="J663" s="267" t="n"/>
      <c r="K663" s="267" t="n"/>
      <c r="L663" s="267" t="n"/>
      <c r="M663" s="267" t="n"/>
      <c r="N663" s="267" t="n"/>
    </row>
    <row r="664">
      <c r="I664" s="267" t="n"/>
      <c r="J664" s="267" t="n"/>
      <c r="K664" s="267" t="n"/>
      <c r="L664" s="267" t="n"/>
      <c r="M664" s="267" t="n"/>
      <c r="N664" s="267" t="n"/>
    </row>
    <row r="665">
      <c r="I665" s="267" t="n"/>
      <c r="J665" s="267" t="n"/>
      <c r="K665" s="267" t="n"/>
      <c r="L665" s="267" t="n"/>
      <c r="M665" s="267" t="n"/>
      <c r="N665" s="267" t="n"/>
    </row>
    <row r="666">
      <c r="I666" s="267" t="n"/>
      <c r="J666" s="267" t="n"/>
      <c r="K666" s="267" t="n"/>
      <c r="L666" s="267" t="n"/>
      <c r="M666" s="267" t="n"/>
      <c r="N666" s="267" t="n"/>
    </row>
    <row r="667">
      <c r="I667" s="267" t="n"/>
      <c r="J667" s="267" t="n"/>
      <c r="K667" s="267" t="n"/>
      <c r="L667" s="267" t="n"/>
      <c r="M667" s="267" t="n"/>
      <c r="N667" s="267" t="n"/>
    </row>
    <row r="668">
      <c r="I668" s="267" t="n"/>
      <c r="J668" s="267" t="n"/>
      <c r="K668" s="267" t="n"/>
      <c r="L668" s="267" t="n"/>
      <c r="M668" s="267" t="n"/>
      <c r="N668" s="267" t="n"/>
    </row>
    <row r="669">
      <c r="I669" s="267" t="n"/>
      <c r="J669" s="267" t="n"/>
      <c r="K669" s="267" t="n"/>
      <c r="L669" s="267" t="n"/>
      <c r="M669" s="267" t="n"/>
      <c r="N669" s="267" t="n"/>
    </row>
    <row r="670">
      <c r="I670" s="267" t="n"/>
      <c r="J670" s="267" t="n"/>
      <c r="K670" s="267" t="n"/>
      <c r="L670" s="267" t="n"/>
      <c r="M670" s="267" t="n"/>
      <c r="N670" s="267" t="n"/>
    </row>
    <row r="671">
      <c r="I671" s="267" t="n"/>
      <c r="J671" s="267" t="n"/>
      <c r="K671" s="267" t="n"/>
      <c r="L671" s="267" t="n"/>
      <c r="M671" s="267" t="n"/>
      <c r="N671" s="267" t="n"/>
    </row>
    <row r="672">
      <c r="I672" s="267" t="n"/>
      <c r="J672" s="267" t="n"/>
      <c r="K672" s="267" t="n"/>
      <c r="L672" s="267" t="n"/>
      <c r="M672" s="267" t="n"/>
      <c r="N672" s="267" t="n"/>
    </row>
    <row r="673">
      <c r="I673" s="267" t="n"/>
      <c r="J673" s="267" t="n"/>
      <c r="K673" s="267" t="n"/>
      <c r="L673" s="267" t="n"/>
      <c r="M673" s="267" t="n"/>
      <c r="N673" s="267" t="n"/>
    </row>
    <row r="674">
      <c r="I674" s="267" t="n"/>
      <c r="J674" s="267" t="n"/>
      <c r="K674" s="267" t="n"/>
      <c r="L674" s="267" t="n"/>
      <c r="M674" s="267" t="n"/>
      <c r="N674" s="267" t="n"/>
    </row>
    <row r="675">
      <c r="I675" s="267" t="n"/>
      <c r="J675" s="267" t="n"/>
      <c r="K675" s="267" t="n"/>
      <c r="L675" s="267" t="n"/>
      <c r="M675" s="267" t="n"/>
      <c r="N675" s="267" t="n"/>
    </row>
    <row r="676">
      <c r="I676" s="267" t="n"/>
      <c r="J676" s="267" t="n"/>
      <c r="K676" s="267" t="n"/>
      <c r="L676" s="267" t="n"/>
      <c r="M676" s="267" t="n"/>
      <c r="N676" s="267" t="n"/>
    </row>
    <row r="677">
      <c r="I677" s="267" t="n"/>
      <c r="J677" s="267" t="n"/>
      <c r="K677" s="267" t="n"/>
      <c r="L677" s="267" t="n"/>
      <c r="M677" s="267" t="n"/>
      <c r="N677" s="267" t="n"/>
    </row>
    <row r="678">
      <c r="I678" s="267" t="n"/>
      <c r="J678" s="267" t="n"/>
      <c r="K678" s="267" t="n"/>
      <c r="L678" s="267" t="n"/>
      <c r="M678" s="267" t="n"/>
      <c r="N678" s="267" t="n"/>
    </row>
    <row r="679">
      <c r="I679" s="267" t="n"/>
      <c r="J679" s="267" t="n"/>
      <c r="K679" s="267" t="n"/>
      <c r="L679" s="267" t="n"/>
      <c r="M679" s="267" t="n"/>
      <c r="N679" s="267" t="n"/>
    </row>
    <row r="680">
      <c r="I680" s="267" t="n"/>
      <c r="J680" s="267" t="n"/>
      <c r="K680" s="267" t="n"/>
      <c r="L680" s="267" t="n"/>
      <c r="M680" s="267" t="n"/>
      <c r="N680" s="267" t="n"/>
    </row>
    <row r="681">
      <c r="I681" s="267" t="n"/>
      <c r="J681" s="267" t="n"/>
      <c r="K681" s="267" t="n"/>
      <c r="L681" s="267" t="n"/>
      <c r="M681" s="267" t="n"/>
      <c r="N681" s="267" t="n"/>
    </row>
    <row r="682">
      <c r="I682" s="267" t="n"/>
      <c r="J682" s="267" t="n"/>
      <c r="K682" s="267" t="n"/>
      <c r="L682" s="267" t="n"/>
      <c r="M682" s="267" t="n"/>
      <c r="N682" s="267" t="n"/>
    </row>
    <row r="683">
      <c r="I683" s="267" t="n"/>
      <c r="J683" s="267" t="n"/>
      <c r="K683" s="267" t="n"/>
      <c r="L683" s="267" t="n"/>
      <c r="M683" s="267" t="n"/>
      <c r="N683" s="267" t="n"/>
    </row>
    <row r="684">
      <c r="I684" s="267" t="n"/>
      <c r="J684" s="267" t="n"/>
      <c r="K684" s="267" t="n"/>
      <c r="L684" s="267" t="n"/>
      <c r="M684" s="267" t="n"/>
      <c r="N684" s="267" t="n"/>
    </row>
    <row r="685">
      <c r="I685" s="267" t="n"/>
      <c r="J685" s="267" t="n"/>
      <c r="K685" s="267" t="n"/>
      <c r="L685" s="267" t="n"/>
      <c r="M685" s="267" t="n"/>
      <c r="N685" s="267" t="n"/>
    </row>
    <row r="686">
      <c r="I686" s="267" t="n"/>
      <c r="J686" s="267" t="n"/>
      <c r="K686" s="267" t="n"/>
      <c r="L686" s="267" t="n"/>
      <c r="M686" s="267" t="n"/>
      <c r="N686" s="267" t="n"/>
    </row>
    <row r="687">
      <c r="I687" s="267" t="n"/>
      <c r="J687" s="267" t="n"/>
      <c r="K687" s="267" t="n"/>
      <c r="L687" s="267" t="n"/>
      <c r="M687" s="267" t="n"/>
      <c r="N687" s="267" t="n"/>
    </row>
    <row r="688">
      <c r="I688" s="267" t="n"/>
      <c r="J688" s="267" t="n"/>
      <c r="K688" s="267" t="n"/>
      <c r="L688" s="267" t="n"/>
      <c r="M688" s="267" t="n"/>
      <c r="N688" s="267" t="n"/>
    </row>
    <row r="689">
      <c r="I689" s="267" t="n"/>
      <c r="J689" s="267" t="n"/>
      <c r="K689" s="267" t="n"/>
      <c r="L689" s="267" t="n"/>
      <c r="M689" s="267" t="n"/>
      <c r="N689" s="267" t="n"/>
    </row>
    <row r="690">
      <c r="I690" s="267" t="n"/>
      <c r="J690" s="267" t="n"/>
      <c r="K690" s="267" t="n"/>
      <c r="L690" s="267" t="n"/>
      <c r="M690" s="267" t="n"/>
      <c r="N690" s="267" t="n"/>
    </row>
    <row r="691">
      <c r="I691" s="267" t="n"/>
      <c r="J691" s="267" t="n"/>
      <c r="K691" s="267" t="n"/>
      <c r="L691" s="267" t="n"/>
      <c r="M691" s="267" t="n"/>
      <c r="N691" s="267" t="n"/>
    </row>
    <row r="692">
      <c r="I692" s="267" t="n"/>
      <c r="J692" s="267" t="n"/>
      <c r="K692" s="267" t="n"/>
      <c r="L692" s="267" t="n"/>
      <c r="M692" s="267" t="n"/>
      <c r="N692" s="267" t="n"/>
    </row>
    <row r="693">
      <c r="I693" s="267" t="n"/>
      <c r="J693" s="267" t="n"/>
      <c r="K693" s="267" t="n"/>
      <c r="L693" s="267" t="n"/>
      <c r="M693" s="267" t="n"/>
      <c r="N693" s="267" t="n"/>
    </row>
    <row r="694">
      <c r="I694" s="267" t="n"/>
      <c r="J694" s="267" t="n"/>
      <c r="K694" s="267" t="n"/>
      <c r="L694" s="267" t="n"/>
      <c r="M694" s="267" t="n"/>
      <c r="N694" s="267" t="n"/>
    </row>
    <row r="695">
      <c r="I695" s="267" t="n"/>
      <c r="J695" s="267" t="n"/>
      <c r="K695" s="267" t="n"/>
      <c r="L695" s="267" t="n"/>
      <c r="M695" s="267" t="n"/>
      <c r="N695" s="267" t="n"/>
    </row>
    <row r="696">
      <c r="I696" s="267" t="n"/>
      <c r="J696" s="267" t="n"/>
      <c r="K696" s="267" t="n"/>
      <c r="L696" s="267" t="n"/>
      <c r="M696" s="267" t="n"/>
      <c r="N696" s="267" t="n"/>
    </row>
    <row r="697">
      <c r="I697" s="267" t="n"/>
      <c r="J697" s="267" t="n"/>
      <c r="K697" s="267" t="n"/>
      <c r="L697" s="267" t="n"/>
      <c r="M697" s="267" t="n"/>
      <c r="N697" s="267" t="n"/>
    </row>
    <row r="698">
      <c r="I698" s="267" t="n"/>
      <c r="J698" s="267" t="n"/>
      <c r="K698" s="267" t="n"/>
      <c r="L698" s="267" t="n"/>
      <c r="M698" s="267" t="n"/>
      <c r="N698" s="267" t="n"/>
    </row>
    <row r="699">
      <c r="I699" s="267" t="n"/>
      <c r="J699" s="267" t="n"/>
      <c r="K699" s="267" t="n"/>
      <c r="L699" s="267" t="n"/>
      <c r="M699" s="267" t="n"/>
      <c r="N699" s="267" t="n"/>
    </row>
    <row r="700">
      <c r="I700" s="267" t="n"/>
      <c r="J700" s="267" t="n"/>
      <c r="K700" s="267" t="n"/>
      <c r="L700" s="267" t="n"/>
      <c r="M700" s="267" t="n"/>
      <c r="N700" s="267" t="n"/>
    </row>
    <row r="701">
      <c r="I701" s="267" t="n"/>
      <c r="J701" s="267" t="n"/>
      <c r="K701" s="267" t="n"/>
      <c r="L701" s="267" t="n"/>
      <c r="M701" s="267" t="n"/>
      <c r="N701" s="267" t="n"/>
    </row>
    <row r="702">
      <c r="I702" s="267" t="n"/>
      <c r="J702" s="267" t="n"/>
      <c r="K702" s="267" t="n"/>
      <c r="L702" s="267" t="n"/>
      <c r="M702" s="267" t="n"/>
      <c r="N702" s="267" t="n"/>
    </row>
    <row r="703">
      <c r="I703" s="267" t="n"/>
      <c r="J703" s="267" t="n"/>
      <c r="K703" s="267" t="n"/>
      <c r="L703" s="267" t="n"/>
      <c r="M703" s="267" t="n"/>
      <c r="N703" s="267" t="n"/>
    </row>
    <row r="704">
      <c r="I704" s="267" t="n"/>
      <c r="J704" s="267" t="n"/>
      <c r="K704" s="267" t="n"/>
      <c r="L704" s="267" t="n"/>
      <c r="M704" s="267" t="n"/>
      <c r="N704" s="267" t="n"/>
    </row>
    <row r="705">
      <c r="I705" s="267" t="n"/>
      <c r="J705" s="267" t="n"/>
      <c r="K705" s="267" t="n"/>
      <c r="L705" s="267" t="n"/>
      <c r="M705" s="267" t="n"/>
      <c r="N705" s="267" t="n"/>
    </row>
    <row r="706">
      <c r="I706" s="267" t="n"/>
      <c r="J706" s="267" t="n"/>
      <c r="K706" s="267" t="n"/>
      <c r="L706" s="267" t="n"/>
      <c r="M706" s="267" t="n"/>
      <c r="N706" s="267" t="n"/>
    </row>
    <row r="707">
      <c r="I707" s="267" t="n"/>
      <c r="J707" s="267" t="n"/>
      <c r="K707" s="267" t="n"/>
      <c r="L707" s="267" t="n"/>
      <c r="M707" s="267" t="n"/>
      <c r="N707" s="267" t="n"/>
    </row>
    <row r="708">
      <c r="I708" s="267" t="n"/>
      <c r="J708" s="267" t="n"/>
      <c r="K708" s="267" t="n"/>
      <c r="L708" s="267" t="n"/>
      <c r="M708" s="267" t="n"/>
      <c r="N708" s="267" t="n"/>
    </row>
    <row r="709">
      <c r="I709" s="267" t="n"/>
      <c r="J709" s="267" t="n"/>
      <c r="K709" s="267" t="n"/>
      <c r="L709" s="267" t="n"/>
      <c r="M709" s="267" t="n"/>
      <c r="N709" s="267" t="n"/>
    </row>
    <row r="710">
      <c r="I710" s="267" t="n"/>
      <c r="J710" s="267" t="n"/>
      <c r="K710" s="267" t="n"/>
      <c r="L710" s="267" t="n"/>
      <c r="M710" s="267" t="n"/>
      <c r="N710" s="267" t="n"/>
    </row>
    <row r="711">
      <c r="I711" s="267" t="n"/>
      <c r="J711" s="267" t="n"/>
      <c r="K711" s="267" t="n"/>
      <c r="L711" s="267" t="n"/>
      <c r="M711" s="267" t="n"/>
      <c r="N711" s="267" t="n"/>
    </row>
    <row r="712">
      <c r="I712" s="267" t="n"/>
      <c r="J712" s="267" t="n"/>
      <c r="K712" s="267" t="n"/>
      <c r="L712" s="267" t="n"/>
      <c r="M712" s="267" t="n"/>
      <c r="N712" s="267" t="n"/>
    </row>
    <row r="713">
      <c r="I713" s="267" t="n"/>
      <c r="J713" s="267" t="n"/>
      <c r="K713" s="267" t="n"/>
      <c r="L713" s="267" t="n"/>
      <c r="M713" s="267" t="n"/>
      <c r="N713" s="267" t="n"/>
    </row>
    <row r="714">
      <c r="I714" s="267" t="n"/>
      <c r="J714" s="267" t="n"/>
      <c r="K714" s="267" t="n"/>
      <c r="L714" s="267" t="n"/>
      <c r="M714" s="267" t="n"/>
      <c r="N714" s="267" t="n"/>
    </row>
    <row r="715">
      <c r="I715" s="267" t="n"/>
      <c r="J715" s="267" t="n"/>
      <c r="K715" s="267" t="n"/>
      <c r="L715" s="267" t="n"/>
      <c r="M715" s="267" t="n"/>
      <c r="N715" s="267" t="n"/>
    </row>
    <row r="716">
      <c r="I716" s="267" t="n"/>
      <c r="J716" s="267" t="n"/>
      <c r="K716" s="267" t="n"/>
      <c r="L716" s="267" t="n"/>
      <c r="M716" s="267" t="n"/>
      <c r="N716" s="267" t="n"/>
    </row>
    <row r="717">
      <c r="I717" s="267" t="n"/>
      <c r="J717" s="267" t="n"/>
      <c r="K717" s="267" t="n"/>
      <c r="L717" s="267" t="n"/>
      <c r="M717" s="267" t="n"/>
      <c r="N717" s="267" t="n"/>
    </row>
    <row r="718">
      <c r="I718" s="267" t="n"/>
      <c r="J718" s="267" t="n"/>
      <c r="K718" s="267" t="n"/>
      <c r="L718" s="267" t="n"/>
      <c r="M718" s="267" t="n"/>
      <c r="N718" s="267" t="n"/>
    </row>
    <row r="719">
      <c r="I719" s="267" t="n"/>
      <c r="J719" s="267" t="n"/>
      <c r="K719" s="267" t="n"/>
      <c r="L719" s="267" t="n"/>
      <c r="M719" s="267" t="n"/>
      <c r="N719" s="267" t="n"/>
    </row>
    <row r="720">
      <c r="I720" s="267" t="n"/>
      <c r="J720" s="267" t="n"/>
      <c r="K720" s="267" t="n"/>
      <c r="L720" s="267" t="n"/>
      <c r="M720" s="267" t="n"/>
      <c r="N720" s="267" t="n"/>
    </row>
    <row r="721">
      <c r="I721" s="267" t="n"/>
      <c r="J721" s="267" t="n"/>
      <c r="K721" s="267" t="n"/>
      <c r="L721" s="267" t="n"/>
      <c r="M721" s="267" t="n"/>
      <c r="N721" s="267" t="n"/>
    </row>
    <row r="722">
      <c r="I722" s="267" t="n"/>
      <c r="J722" s="267" t="n"/>
      <c r="K722" s="267" t="n"/>
      <c r="L722" s="267" t="n"/>
      <c r="M722" s="267" t="n"/>
      <c r="N722" s="267" t="n"/>
    </row>
    <row r="723">
      <c r="I723" s="267" t="n"/>
      <c r="J723" s="267" t="n"/>
      <c r="K723" s="267" t="n"/>
      <c r="L723" s="267" t="n"/>
      <c r="M723" s="267" t="n"/>
      <c r="N723" s="267" t="n"/>
    </row>
    <row r="724">
      <c r="I724" s="267" t="n"/>
      <c r="J724" s="267" t="n"/>
      <c r="K724" s="267" t="n"/>
      <c r="L724" s="267" t="n"/>
      <c r="M724" s="267" t="n"/>
      <c r="N724" s="267" t="n"/>
    </row>
    <row r="725">
      <c r="I725" s="267" t="n"/>
      <c r="J725" s="267" t="n"/>
      <c r="K725" s="267" t="n"/>
      <c r="L725" s="267" t="n"/>
      <c r="M725" s="267" t="n"/>
      <c r="N725" s="267" t="n"/>
    </row>
    <row r="726">
      <c r="I726" s="267" t="n"/>
      <c r="J726" s="267" t="n"/>
      <c r="K726" s="267" t="n"/>
      <c r="L726" s="267" t="n"/>
      <c r="M726" s="267" t="n"/>
      <c r="N726" s="267" t="n"/>
    </row>
    <row r="727">
      <c r="I727" s="267" t="n"/>
      <c r="J727" s="267" t="n"/>
      <c r="K727" s="267" t="n"/>
      <c r="L727" s="267" t="n"/>
      <c r="M727" s="267" t="n"/>
      <c r="N727" s="267" t="n"/>
    </row>
    <row r="728">
      <c r="I728" s="267" t="n"/>
      <c r="J728" s="267" t="n"/>
      <c r="K728" s="267" t="n"/>
      <c r="L728" s="267" t="n"/>
      <c r="M728" s="267" t="n"/>
      <c r="N728" s="267" t="n"/>
    </row>
    <row r="729">
      <c r="I729" s="267" t="n"/>
      <c r="J729" s="267" t="n"/>
      <c r="K729" s="267" t="n"/>
      <c r="L729" s="267" t="n"/>
      <c r="M729" s="267" t="n"/>
      <c r="N729" s="267" t="n"/>
    </row>
    <row r="730">
      <c r="I730" s="267" t="n"/>
      <c r="J730" s="267" t="n"/>
      <c r="K730" s="267" t="n"/>
      <c r="L730" s="267" t="n"/>
      <c r="M730" s="267" t="n"/>
      <c r="N730" s="267" t="n"/>
    </row>
    <row r="731">
      <c r="I731" s="267" t="n"/>
      <c r="J731" s="267" t="n"/>
      <c r="K731" s="267" t="n"/>
      <c r="L731" s="267" t="n"/>
      <c r="M731" s="267" t="n"/>
      <c r="N731" s="267" t="n"/>
    </row>
    <row r="732">
      <c r="I732" s="267" t="n"/>
      <c r="J732" s="267" t="n"/>
      <c r="K732" s="267" t="n"/>
      <c r="L732" s="267" t="n"/>
      <c r="M732" s="267" t="n"/>
      <c r="N732" s="267" t="n"/>
    </row>
    <row r="733">
      <c r="I733" s="267" t="n"/>
      <c r="J733" s="267" t="n"/>
      <c r="K733" s="267" t="n"/>
      <c r="L733" s="267" t="n"/>
      <c r="M733" s="267" t="n"/>
      <c r="N733" s="267" t="n"/>
    </row>
    <row r="734">
      <c r="I734" s="267" t="n"/>
      <c r="J734" s="267" t="n"/>
      <c r="K734" s="267" t="n"/>
      <c r="L734" s="267" t="n"/>
      <c r="M734" s="267" t="n"/>
      <c r="N734" s="267" t="n"/>
    </row>
    <row r="735">
      <c r="I735" s="267" t="n"/>
      <c r="J735" s="267" t="n"/>
      <c r="K735" s="267" t="n"/>
      <c r="L735" s="267" t="n"/>
      <c r="M735" s="267" t="n"/>
      <c r="N735" s="267" t="n"/>
    </row>
    <row r="736">
      <c r="I736" s="267" t="n"/>
      <c r="J736" s="267" t="n"/>
      <c r="K736" s="267" t="n"/>
      <c r="L736" s="267" t="n"/>
      <c r="M736" s="267" t="n"/>
      <c r="N736" s="267" t="n"/>
    </row>
    <row r="737">
      <c r="I737" s="267" t="n"/>
      <c r="J737" s="267" t="n"/>
      <c r="K737" s="267" t="n"/>
      <c r="L737" s="267" t="n"/>
      <c r="M737" s="267" t="n"/>
      <c r="N737" s="267" t="n"/>
    </row>
    <row r="738">
      <c r="I738" s="267" t="n"/>
      <c r="J738" s="267" t="n"/>
      <c r="K738" s="267" t="n"/>
      <c r="L738" s="267" t="n"/>
      <c r="M738" s="267" t="n"/>
      <c r="N738" s="267" t="n"/>
    </row>
    <row r="739">
      <c r="I739" s="267" t="n"/>
      <c r="J739" s="267" t="n"/>
      <c r="K739" s="267" t="n"/>
      <c r="L739" s="267" t="n"/>
      <c r="M739" s="267" t="n"/>
      <c r="N739" s="267" t="n"/>
    </row>
    <row r="740">
      <c r="I740" s="267" t="n"/>
      <c r="J740" s="267" t="n"/>
      <c r="K740" s="267" t="n"/>
      <c r="L740" s="267" t="n"/>
      <c r="M740" s="267" t="n"/>
      <c r="N740" s="267" t="n"/>
    </row>
    <row r="741">
      <c r="I741" s="267" t="n"/>
      <c r="J741" s="267" t="n"/>
      <c r="K741" s="267" t="n"/>
      <c r="L741" s="267" t="n"/>
      <c r="M741" s="267" t="n"/>
      <c r="N741" s="267" t="n"/>
    </row>
    <row r="742">
      <c r="I742" s="267" t="n"/>
      <c r="J742" s="267" t="n"/>
      <c r="K742" s="267" t="n"/>
      <c r="L742" s="267" t="n"/>
      <c r="M742" s="267" t="n"/>
      <c r="N742" s="267" t="n"/>
    </row>
    <row r="743">
      <c r="I743" s="267" t="n"/>
      <c r="J743" s="267" t="n"/>
      <c r="K743" s="267" t="n"/>
      <c r="L743" s="267" t="n"/>
      <c r="M743" s="267" t="n"/>
      <c r="N743" s="267" t="n"/>
    </row>
    <row r="744">
      <c r="I744" s="267" t="n"/>
      <c r="J744" s="267" t="n"/>
      <c r="K744" s="267" t="n"/>
      <c r="L744" s="267" t="n"/>
      <c r="M744" s="267" t="n"/>
      <c r="N744" s="267" t="n"/>
    </row>
    <row r="745">
      <c r="I745" s="267" t="n"/>
      <c r="J745" s="267" t="n"/>
      <c r="K745" s="267" t="n"/>
      <c r="L745" s="267" t="n"/>
      <c r="M745" s="267" t="n"/>
      <c r="N745" s="267" t="n"/>
    </row>
    <row r="746">
      <c r="I746" s="267" t="n"/>
      <c r="J746" s="267" t="n"/>
      <c r="K746" s="267" t="n"/>
      <c r="L746" s="267" t="n"/>
      <c r="M746" s="267" t="n"/>
      <c r="N746" s="267" t="n"/>
    </row>
    <row r="747">
      <c r="I747" s="267" t="n"/>
      <c r="J747" s="267" t="n"/>
      <c r="K747" s="267" t="n"/>
      <c r="L747" s="267" t="n"/>
      <c r="M747" s="267" t="n"/>
      <c r="N747" s="267" t="n"/>
    </row>
    <row r="748">
      <c r="I748" s="267" t="n"/>
      <c r="J748" s="267" t="n"/>
      <c r="K748" s="267" t="n"/>
      <c r="L748" s="267" t="n"/>
      <c r="M748" s="267" t="n"/>
      <c r="N748" s="267" t="n"/>
    </row>
    <row r="749">
      <c r="I749" s="267" t="n"/>
      <c r="J749" s="267" t="n"/>
      <c r="K749" s="267" t="n"/>
      <c r="L749" s="267" t="n"/>
      <c r="M749" s="267" t="n"/>
      <c r="N749" s="267" t="n"/>
    </row>
    <row r="750">
      <c r="I750" s="267" t="n"/>
      <c r="J750" s="267" t="n"/>
      <c r="K750" s="267" t="n"/>
      <c r="L750" s="267" t="n"/>
      <c r="M750" s="267" t="n"/>
      <c r="N750" s="267" t="n"/>
    </row>
    <row r="751">
      <c r="I751" s="267" t="n"/>
      <c r="J751" s="267" t="n"/>
      <c r="K751" s="267" t="n"/>
      <c r="L751" s="267" t="n"/>
      <c r="M751" s="267" t="n"/>
      <c r="N751" s="267" t="n"/>
    </row>
    <row r="752">
      <c r="I752" s="267" t="n"/>
      <c r="J752" s="267" t="n"/>
      <c r="K752" s="267" t="n"/>
      <c r="L752" s="267" t="n"/>
      <c r="M752" s="267" t="n"/>
      <c r="N752" s="267" t="n"/>
    </row>
    <row r="753">
      <c r="I753" s="267" t="n"/>
      <c r="J753" s="267" t="n"/>
      <c r="K753" s="267" t="n"/>
      <c r="L753" s="267" t="n"/>
      <c r="M753" s="267" t="n"/>
      <c r="N753" s="267" t="n"/>
    </row>
    <row r="754">
      <c r="I754" s="267" t="n"/>
      <c r="J754" s="267" t="n"/>
      <c r="K754" s="267" t="n"/>
      <c r="L754" s="267" t="n"/>
      <c r="M754" s="267" t="n"/>
      <c r="N754" s="267" t="n"/>
    </row>
    <row r="755">
      <c r="I755" s="267" t="n"/>
      <c r="J755" s="267" t="n"/>
      <c r="K755" s="267" t="n"/>
      <c r="L755" s="267" t="n"/>
      <c r="M755" s="267" t="n"/>
      <c r="N755" s="267" t="n"/>
    </row>
    <row r="756">
      <c r="I756" s="267" t="n"/>
      <c r="J756" s="267" t="n"/>
      <c r="K756" s="267" t="n"/>
      <c r="L756" s="267" t="n"/>
      <c r="M756" s="267" t="n"/>
      <c r="N756" s="267" t="n"/>
    </row>
    <row r="757">
      <c r="I757" s="267" t="n"/>
      <c r="J757" s="267" t="n"/>
      <c r="K757" s="267" t="n"/>
      <c r="L757" s="267" t="n"/>
      <c r="M757" s="267" t="n"/>
      <c r="N757" s="267" t="n"/>
    </row>
    <row r="758">
      <c r="I758" s="267" t="n"/>
      <c r="J758" s="267" t="n"/>
      <c r="K758" s="267" t="n"/>
      <c r="L758" s="267" t="n"/>
      <c r="M758" s="267" t="n"/>
      <c r="N758" s="267" t="n"/>
    </row>
    <row r="759">
      <c r="I759" s="267" t="n"/>
      <c r="J759" s="267" t="n"/>
      <c r="K759" s="267" t="n"/>
      <c r="L759" s="267" t="n"/>
      <c r="M759" s="267" t="n"/>
      <c r="N759" s="267" t="n"/>
    </row>
    <row r="760">
      <c r="I760" s="267" t="n"/>
      <c r="J760" s="267" t="n"/>
      <c r="K760" s="267" t="n"/>
      <c r="L760" s="267" t="n"/>
      <c r="M760" s="267" t="n"/>
      <c r="N760" s="267" t="n"/>
    </row>
    <row r="761">
      <c r="I761" s="267" t="n"/>
      <c r="J761" s="267" t="n"/>
      <c r="K761" s="267" t="n"/>
      <c r="L761" s="267" t="n"/>
      <c r="M761" s="267" t="n"/>
      <c r="N761" s="267" t="n"/>
    </row>
    <row r="762">
      <c r="I762" s="267" t="n"/>
      <c r="J762" s="267" t="n"/>
      <c r="K762" s="267" t="n"/>
      <c r="L762" s="267" t="n"/>
      <c r="M762" s="267" t="n"/>
      <c r="N762" s="267" t="n"/>
    </row>
    <row r="763">
      <c r="I763" s="267" t="n"/>
      <c r="J763" s="267" t="n"/>
      <c r="K763" s="267" t="n"/>
      <c r="L763" s="267" t="n"/>
      <c r="M763" s="267" t="n"/>
      <c r="N763" s="267" t="n"/>
    </row>
    <row r="764">
      <c r="I764" s="267" t="n"/>
      <c r="J764" s="267" t="n"/>
      <c r="K764" s="267" t="n"/>
      <c r="L764" s="267" t="n"/>
      <c r="M764" s="267" t="n"/>
      <c r="N764" s="267" t="n"/>
    </row>
    <row r="765">
      <c r="I765" s="267" t="n"/>
      <c r="J765" s="267" t="n"/>
      <c r="K765" s="267" t="n"/>
      <c r="L765" s="267" t="n"/>
      <c r="M765" s="267" t="n"/>
      <c r="N765" s="267" t="n"/>
    </row>
    <row r="766">
      <c r="I766" s="267" t="n"/>
      <c r="J766" s="267" t="n"/>
      <c r="K766" s="267" t="n"/>
      <c r="L766" s="267" t="n"/>
      <c r="M766" s="267" t="n"/>
      <c r="N766" s="267" t="n"/>
    </row>
    <row r="767">
      <c r="I767" s="267" t="n"/>
      <c r="J767" s="267" t="n"/>
      <c r="K767" s="267" t="n"/>
      <c r="L767" s="267" t="n"/>
      <c r="M767" s="267" t="n"/>
      <c r="N767" s="267" t="n"/>
    </row>
    <row r="768">
      <c r="I768" s="267" t="n"/>
      <c r="J768" s="267" t="n"/>
      <c r="K768" s="267" t="n"/>
      <c r="L768" s="267" t="n"/>
      <c r="M768" s="267" t="n"/>
      <c r="N768" s="267" t="n"/>
    </row>
    <row r="769">
      <c r="I769" s="267" t="n"/>
      <c r="J769" s="267" t="n"/>
      <c r="K769" s="267" t="n"/>
      <c r="L769" s="267" t="n"/>
      <c r="M769" s="267" t="n"/>
      <c r="N769" s="267" t="n"/>
    </row>
    <row r="770">
      <c r="I770" s="267" t="n"/>
      <c r="J770" s="267" t="n"/>
      <c r="K770" s="267" t="n"/>
      <c r="L770" s="267" t="n"/>
      <c r="M770" s="267" t="n"/>
      <c r="N770" s="267" t="n"/>
    </row>
    <row r="771">
      <c r="I771" s="267" t="n"/>
      <c r="J771" s="267" t="n"/>
      <c r="K771" s="267" t="n"/>
      <c r="L771" s="267" t="n"/>
      <c r="M771" s="267" t="n"/>
      <c r="N771" s="267" t="n"/>
    </row>
    <row r="772">
      <c r="I772" s="267" t="n"/>
      <c r="J772" s="267" t="n"/>
      <c r="K772" s="267" t="n"/>
      <c r="L772" s="267" t="n"/>
      <c r="M772" s="267" t="n"/>
      <c r="N772" s="267" t="n"/>
    </row>
    <row r="773">
      <c r="I773" s="267" t="n"/>
      <c r="J773" s="267" t="n"/>
      <c r="K773" s="267" t="n"/>
      <c r="L773" s="267" t="n"/>
      <c r="M773" s="267" t="n"/>
      <c r="N773" s="267" t="n"/>
    </row>
    <row r="774">
      <c r="I774" s="267" t="n"/>
      <c r="J774" s="267" t="n"/>
      <c r="K774" s="267" t="n"/>
      <c r="L774" s="267" t="n"/>
      <c r="M774" s="267" t="n"/>
      <c r="N774" s="267" t="n"/>
    </row>
    <row r="775">
      <c r="I775" s="267" t="n"/>
      <c r="J775" s="267" t="n"/>
      <c r="K775" s="267" t="n"/>
      <c r="L775" s="267" t="n"/>
      <c r="M775" s="267" t="n"/>
      <c r="N775" s="267" t="n"/>
    </row>
    <row r="776">
      <c r="I776" s="267" t="n"/>
      <c r="J776" s="267" t="n"/>
      <c r="K776" s="267" t="n"/>
      <c r="L776" s="267" t="n"/>
      <c r="M776" s="267" t="n"/>
      <c r="N776" s="267" t="n"/>
    </row>
    <row r="777">
      <c r="I777" s="267" t="n"/>
      <c r="J777" s="267" t="n"/>
      <c r="K777" s="267" t="n"/>
      <c r="L777" s="267" t="n"/>
      <c r="M777" s="267" t="n"/>
      <c r="N777" s="267" t="n"/>
    </row>
    <row r="778">
      <c r="I778" s="267" t="n"/>
      <c r="J778" s="267" t="n"/>
      <c r="K778" s="267" t="n"/>
      <c r="L778" s="267" t="n"/>
      <c r="M778" s="267" t="n"/>
      <c r="N778" s="267" t="n"/>
    </row>
    <row r="779">
      <c r="I779" s="267" t="n"/>
      <c r="J779" s="267" t="n"/>
      <c r="K779" s="267" t="n"/>
      <c r="L779" s="267" t="n"/>
      <c r="M779" s="267" t="n"/>
      <c r="N779" s="267" t="n"/>
    </row>
    <row r="780">
      <c r="I780" s="267" t="n"/>
      <c r="J780" s="267" t="n"/>
      <c r="K780" s="267" t="n"/>
      <c r="L780" s="267" t="n"/>
      <c r="M780" s="267" t="n"/>
      <c r="N780" s="267" t="n"/>
    </row>
    <row r="781">
      <c r="I781" s="267" t="n"/>
      <c r="J781" s="267" t="n"/>
      <c r="K781" s="267" t="n"/>
      <c r="L781" s="267" t="n"/>
      <c r="M781" s="267" t="n"/>
      <c r="N781" s="267" t="n"/>
    </row>
    <row r="782">
      <c r="I782" s="267" t="n"/>
      <c r="J782" s="267" t="n"/>
      <c r="K782" s="267" t="n"/>
      <c r="L782" s="267" t="n"/>
      <c r="M782" s="267" t="n"/>
      <c r="N782" s="267" t="n"/>
    </row>
    <row r="783">
      <c r="I783" s="267" t="n"/>
      <c r="J783" s="267" t="n"/>
      <c r="K783" s="267" t="n"/>
      <c r="L783" s="267" t="n"/>
      <c r="M783" s="267" t="n"/>
      <c r="N783" s="267" t="n"/>
    </row>
    <row r="784">
      <c r="I784" s="267" t="n"/>
      <c r="J784" s="267" t="n"/>
      <c r="K784" s="267" t="n"/>
      <c r="L784" s="267" t="n"/>
      <c r="M784" s="267" t="n"/>
      <c r="N784" s="267" t="n"/>
    </row>
    <row r="785">
      <c r="I785" s="267" t="n"/>
      <c r="J785" s="267" t="n"/>
      <c r="K785" s="267" t="n"/>
      <c r="L785" s="267" t="n"/>
      <c r="M785" s="267" t="n"/>
      <c r="N785" s="267" t="n"/>
    </row>
    <row r="786">
      <c r="I786" s="267" t="n"/>
      <c r="J786" s="267" t="n"/>
      <c r="K786" s="267" t="n"/>
      <c r="L786" s="267" t="n"/>
      <c r="M786" s="267" t="n"/>
      <c r="N786" s="267" t="n"/>
    </row>
    <row r="787">
      <c r="I787" s="267" t="n"/>
      <c r="J787" s="267" t="n"/>
      <c r="K787" s="267" t="n"/>
      <c r="L787" s="267" t="n"/>
      <c r="M787" s="267" t="n"/>
      <c r="N787" s="267" t="n"/>
    </row>
    <row r="788">
      <c r="I788" s="267" t="n"/>
      <c r="J788" s="267" t="n"/>
      <c r="K788" s="267" t="n"/>
      <c r="L788" s="267" t="n"/>
      <c r="M788" s="267" t="n"/>
      <c r="N788" s="267" t="n"/>
    </row>
    <row r="789">
      <c r="I789" s="267" t="n"/>
      <c r="J789" s="267" t="n"/>
      <c r="K789" s="267" t="n"/>
      <c r="L789" s="267" t="n"/>
      <c r="M789" s="267" t="n"/>
      <c r="N789" s="267" t="n"/>
    </row>
    <row r="790">
      <c r="I790" s="267" t="n"/>
      <c r="J790" s="267" t="n"/>
      <c r="K790" s="267" t="n"/>
      <c r="L790" s="267" t="n"/>
      <c r="M790" s="267" t="n"/>
      <c r="N790" s="267" t="n"/>
    </row>
    <row r="791">
      <c r="I791" s="267" t="n"/>
      <c r="J791" s="267" t="n"/>
      <c r="K791" s="267" t="n"/>
      <c r="L791" s="267" t="n"/>
      <c r="M791" s="267" t="n"/>
      <c r="N791" s="267" t="n"/>
    </row>
    <row r="792">
      <c r="I792" s="267" t="n"/>
      <c r="J792" s="267" t="n"/>
      <c r="K792" s="267" t="n"/>
      <c r="L792" s="267" t="n"/>
      <c r="M792" s="267" t="n"/>
      <c r="N792" s="267" t="n"/>
    </row>
    <row r="793">
      <c r="I793" s="267" t="n"/>
      <c r="J793" s="267" t="n"/>
      <c r="K793" s="267" t="n"/>
      <c r="L793" s="267" t="n"/>
      <c r="M793" s="267" t="n"/>
      <c r="N793" s="267" t="n"/>
    </row>
    <row r="794">
      <c r="I794" s="267" t="n"/>
      <c r="J794" s="267" t="n"/>
      <c r="K794" s="267" t="n"/>
      <c r="L794" s="267" t="n"/>
      <c r="M794" s="267" t="n"/>
      <c r="N794" s="267" t="n"/>
    </row>
    <row r="795">
      <c r="I795" s="267" t="n"/>
      <c r="J795" s="267" t="n"/>
      <c r="K795" s="267" t="n"/>
      <c r="L795" s="267" t="n"/>
      <c r="M795" s="267" t="n"/>
      <c r="N795" s="267" t="n"/>
    </row>
    <row r="796">
      <c r="I796" s="267" t="n"/>
      <c r="J796" s="267" t="n"/>
      <c r="K796" s="267" t="n"/>
      <c r="L796" s="267" t="n"/>
      <c r="M796" s="267" t="n"/>
      <c r="N796" s="267" t="n"/>
    </row>
    <row r="797">
      <c r="I797" s="267" t="n"/>
      <c r="J797" s="267" t="n"/>
      <c r="K797" s="267" t="n"/>
      <c r="L797" s="267" t="n"/>
      <c r="M797" s="267" t="n"/>
      <c r="N797" s="267" t="n"/>
    </row>
    <row r="798">
      <c r="I798" s="267" t="n"/>
      <c r="J798" s="267" t="n"/>
      <c r="K798" s="267" t="n"/>
      <c r="L798" s="267" t="n"/>
      <c r="M798" s="267" t="n"/>
      <c r="N798" s="267" t="n"/>
    </row>
    <row r="799">
      <c r="I799" s="267" t="n"/>
      <c r="J799" s="267" t="n"/>
      <c r="K799" s="267" t="n"/>
      <c r="L799" s="267" t="n"/>
      <c r="M799" s="267" t="n"/>
      <c r="N799" s="267" t="n"/>
    </row>
    <row r="800">
      <c r="I800" s="267" t="n"/>
      <c r="J800" s="267" t="n"/>
      <c r="K800" s="267" t="n"/>
      <c r="L800" s="267" t="n"/>
      <c r="M800" s="267" t="n"/>
      <c r="N800" s="267" t="n"/>
    </row>
    <row r="801">
      <c r="I801" s="267" t="n"/>
      <c r="J801" s="267" t="n"/>
      <c r="K801" s="267" t="n"/>
      <c r="L801" s="267" t="n"/>
      <c r="M801" s="267" t="n"/>
      <c r="N801" s="267" t="n"/>
    </row>
    <row r="802">
      <c r="I802" s="267" t="n"/>
      <c r="J802" s="267" t="n"/>
      <c r="K802" s="267" t="n"/>
      <c r="L802" s="267" t="n"/>
      <c r="M802" s="267" t="n"/>
      <c r="N802" s="267" t="n"/>
    </row>
    <row r="803">
      <c r="I803" s="267" t="n"/>
      <c r="J803" s="267" t="n"/>
      <c r="K803" s="267" t="n"/>
      <c r="L803" s="267" t="n"/>
      <c r="M803" s="267" t="n"/>
      <c r="N803" s="267" t="n"/>
    </row>
    <row r="804">
      <c r="I804" s="267" t="n"/>
      <c r="J804" s="267" t="n"/>
      <c r="K804" s="267" t="n"/>
      <c r="L804" s="267" t="n"/>
      <c r="M804" s="267" t="n"/>
      <c r="N804" s="267" t="n"/>
    </row>
    <row r="805">
      <c r="I805" s="267" t="n"/>
      <c r="J805" s="267" t="n"/>
      <c r="K805" s="267" t="n"/>
      <c r="L805" s="267" t="n"/>
      <c r="M805" s="267" t="n"/>
      <c r="N805" s="267" t="n"/>
    </row>
    <row r="806">
      <c r="I806" s="267" t="n"/>
      <c r="J806" s="267" t="n"/>
      <c r="K806" s="267" t="n"/>
      <c r="L806" s="267" t="n"/>
      <c r="M806" s="267" t="n"/>
      <c r="N806" s="267" t="n"/>
    </row>
    <row r="807">
      <c r="I807" s="267" t="n"/>
      <c r="J807" s="267" t="n"/>
      <c r="K807" s="267" t="n"/>
      <c r="L807" s="267" t="n"/>
      <c r="M807" s="267" t="n"/>
      <c r="N807" s="267" t="n"/>
    </row>
    <row r="808">
      <c r="I808" s="267" t="n"/>
      <c r="J808" s="267" t="n"/>
      <c r="K808" s="267" t="n"/>
      <c r="L808" s="267" t="n"/>
      <c r="M808" s="267" t="n"/>
      <c r="N808" s="267" t="n"/>
    </row>
    <row r="809">
      <c r="I809" s="267" t="n"/>
      <c r="J809" s="267" t="n"/>
      <c r="K809" s="267" t="n"/>
      <c r="L809" s="267" t="n"/>
      <c r="M809" s="267" t="n"/>
      <c r="N809" s="267" t="n"/>
    </row>
    <row r="810">
      <c r="I810" s="267" t="n"/>
      <c r="J810" s="267" t="n"/>
      <c r="K810" s="267" t="n"/>
      <c r="L810" s="267" t="n"/>
      <c r="M810" s="267" t="n"/>
      <c r="N810" s="267" t="n"/>
    </row>
    <row r="811">
      <c r="I811" s="267" t="n"/>
      <c r="J811" s="267" t="n"/>
      <c r="K811" s="267" t="n"/>
      <c r="L811" s="267" t="n"/>
      <c r="M811" s="267" t="n"/>
      <c r="N811" s="267" t="n"/>
    </row>
    <row r="812">
      <c r="I812" s="267" t="n"/>
      <c r="J812" s="267" t="n"/>
      <c r="K812" s="267" t="n"/>
      <c r="L812" s="267" t="n"/>
      <c r="M812" s="267" t="n"/>
      <c r="N812" s="267" t="n"/>
    </row>
    <row r="813">
      <c r="I813" s="267" t="n"/>
      <c r="J813" s="267" t="n"/>
      <c r="K813" s="267" t="n"/>
      <c r="L813" s="267" t="n"/>
      <c r="M813" s="267" t="n"/>
      <c r="N813" s="267" t="n"/>
    </row>
    <row r="814">
      <c r="I814" s="267" t="n"/>
      <c r="J814" s="267" t="n"/>
      <c r="K814" s="267" t="n"/>
      <c r="L814" s="267" t="n"/>
      <c r="M814" s="267" t="n"/>
      <c r="N814" s="267" t="n"/>
    </row>
    <row r="815">
      <c r="I815" s="267" t="n"/>
      <c r="J815" s="267" t="n"/>
      <c r="K815" s="267" t="n"/>
      <c r="L815" s="267" t="n"/>
      <c r="M815" s="267" t="n"/>
      <c r="N815" s="267" t="n"/>
    </row>
    <row r="816">
      <c r="I816" s="267" t="n"/>
      <c r="J816" s="267" t="n"/>
      <c r="K816" s="267" t="n"/>
      <c r="L816" s="267" t="n"/>
      <c r="M816" s="267" t="n"/>
      <c r="N816" s="267" t="n"/>
    </row>
    <row r="817">
      <c r="I817" s="267" t="n"/>
      <c r="J817" s="267" t="n"/>
      <c r="K817" s="267" t="n"/>
      <c r="L817" s="267" t="n"/>
      <c r="M817" s="267" t="n"/>
      <c r="N817" s="267" t="n"/>
    </row>
    <row r="818">
      <c r="I818" s="267" t="n"/>
      <c r="J818" s="267" t="n"/>
      <c r="K818" s="267" t="n"/>
      <c r="L818" s="267" t="n"/>
      <c r="M818" s="267" t="n"/>
      <c r="N818" s="267" t="n"/>
    </row>
    <row r="819">
      <c r="I819" s="267" t="n"/>
      <c r="J819" s="267" t="n"/>
      <c r="K819" s="267" t="n"/>
      <c r="L819" s="267" t="n"/>
      <c r="M819" s="267" t="n"/>
      <c r="N819" s="267" t="n"/>
    </row>
    <row r="820">
      <c r="I820" s="267" t="n"/>
      <c r="J820" s="267" t="n"/>
      <c r="K820" s="267" t="n"/>
      <c r="L820" s="267" t="n"/>
      <c r="M820" s="267" t="n"/>
      <c r="N820" s="267" t="n"/>
    </row>
    <row r="821">
      <c r="I821" s="267" t="n"/>
      <c r="J821" s="267" t="n"/>
      <c r="K821" s="267" t="n"/>
      <c r="L821" s="267" t="n"/>
      <c r="M821" s="267" t="n"/>
      <c r="N821" s="267" t="n"/>
    </row>
    <row r="822">
      <c r="I822" s="267" t="n"/>
      <c r="J822" s="267" t="n"/>
      <c r="K822" s="267" t="n"/>
      <c r="L822" s="267" t="n"/>
      <c r="M822" s="267" t="n"/>
      <c r="N822" s="267" t="n"/>
    </row>
    <row r="823">
      <c r="I823" s="267" t="n"/>
      <c r="J823" s="267" t="n"/>
      <c r="K823" s="267" t="n"/>
      <c r="L823" s="267" t="n"/>
      <c r="M823" s="267" t="n"/>
      <c r="N823" s="267" t="n"/>
    </row>
    <row r="824">
      <c r="I824" s="267" t="n"/>
      <c r="J824" s="267" t="n"/>
      <c r="K824" s="267" t="n"/>
      <c r="L824" s="267" t="n"/>
      <c r="M824" s="267" t="n"/>
      <c r="N824" s="267" t="n"/>
    </row>
    <row r="825">
      <c r="I825" s="267" t="n"/>
      <c r="J825" s="267" t="n"/>
      <c r="K825" s="267" t="n"/>
      <c r="L825" s="267" t="n"/>
      <c r="M825" s="267" t="n"/>
      <c r="N825" s="267" t="n"/>
    </row>
    <row r="826">
      <c r="I826" s="267" t="n"/>
      <c r="J826" s="267" t="n"/>
      <c r="K826" s="267" t="n"/>
      <c r="L826" s="267" t="n"/>
      <c r="M826" s="267" t="n"/>
      <c r="N826" s="267" t="n"/>
    </row>
    <row r="827">
      <c r="I827" s="267" t="n"/>
      <c r="J827" s="267" t="n"/>
      <c r="K827" s="267" t="n"/>
      <c r="L827" s="267" t="n"/>
      <c r="M827" s="267" t="n"/>
      <c r="N827" s="267" t="n"/>
    </row>
    <row r="828">
      <c r="I828" s="267" t="n"/>
      <c r="J828" s="267" t="n"/>
      <c r="K828" s="267" t="n"/>
      <c r="L828" s="267" t="n"/>
      <c r="M828" s="267" t="n"/>
      <c r="N828" s="267" t="n"/>
    </row>
    <row r="829">
      <c r="I829" s="267" t="n"/>
      <c r="J829" s="267" t="n"/>
      <c r="K829" s="267" t="n"/>
      <c r="L829" s="267" t="n"/>
      <c r="M829" s="267" t="n"/>
      <c r="N829" s="267" t="n"/>
    </row>
    <row r="830">
      <c r="I830" s="267" t="n"/>
      <c r="J830" s="267" t="n"/>
      <c r="K830" s="267" t="n"/>
      <c r="L830" s="267" t="n"/>
      <c r="M830" s="267" t="n"/>
      <c r="N830" s="267" t="n"/>
    </row>
    <row r="831">
      <c r="I831" s="267" t="n"/>
      <c r="J831" s="267" t="n"/>
      <c r="K831" s="267" t="n"/>
      <c r="L831" s="267" t="n"/>
      <c r="M831" s="267" t="n"/>
      <c r="N831" s="267" t="n"/>
    </row>
    <row r="832">
      <c r="I832" s="267" t="n"/>
      <c r="J832" s="267" t="n"/>
      <c r="K832" s="267" t="n"/>
      <c r="L832" s="267" t="n"/>
      <c r="M832" s="267" t="n"/>
      <c r="N832" s="267" t="n"/>
    </row>
    <row r="833">
      <c r="I833" s="267" t="n"/>
      <c r="J833" s="267" t="n"/>
      <c r="K833" s="267" t="n"/>
      <c r="L833" s="267" t="n"/>
      <c r="M833" s="267" t="n"/>
      <c r="N833" s="267" t="n"/>
    </row>
    <row r="834">
      <c r="I834" s="267" t="n"/>
      <c r="J834" s="267" t="n"/>
      <c r="K834" s="267" t="n"/>
      <c r="L834" s="267" t="n"/>
      <c r="M834" s="267" t="n"/>
      <c r="N834" s="267" t="n"/>
    </row>
    <row r="835">
      <c r="I835" s="267" t="n"/>
      <c r="J835" s="267" t="n"/>
      <c r="K835" s="267" t="n"/>
      <c r="L835" s="267" t="n"/>
      <c r="M835" s="267" t="n"/>
      <c r="N835" s="267" t="n"/>
    </row>
    <row r="836">
      <c r="I836" s="267" t="n"/>
      <c r="J836" s="267" t="n"/>
      <c r="K836" s="267" t="n"/>
      <c r="L836" s="267" t="n"/>
      <c r="M836" s="267" t="n"/>
      <c r="N836" s="267" t="n"/>
    </row>
    <row r="837">
      <c r="I837" s="267" t="n"/>
      <c r="J837" s="267" t="n"/>
      <c r="K837" s="267" t="n"/>
      <c r="L837" s="267" t="n"/>
      <c r="M837" s="267" t="n"/>
      <c r="N837" s="267" t="n"/>
    </row>
    <row r="838">
      <c r="I838" s="267" t="n"/>
      <c r="J838" s="267" t="n"/>
      <c r="K838" s="267" t="n"/>
      <c r="L838" s="267" t="n"/>
      <c r="M838" s="267" t="n"/>
      <c r="N838" s="267" t="n"/>
    </row>
    <row r="839">
      <c r="I839" s="267" t="n"/>
      <c r="J839" s="267" t="n"/>
      <c r="K839" s="267" t="n"/>
      <c r="L839" s="267" t="n"/>
      <c r="M839" s="267" t="n"/>
      <c r="N839" s="267" t="n"/>
    </row>
    <row r="840">
      <c r="I840" s="267" t="n"/>
      <c r="J840" s="267" t="n"/>
      <c r="K840" s="267" t="n"/>
      <c r="L840" s="267" t="n"/>
      <c r="M840" s="267" t="n"/>
      <c r="N840" s="267" t="n"/>
    </row>
    <row r="841">
      <c r="I841" s="267" t="n"/>
      <c r="J841" s="267" t="n"/>
      <c r="K841" s="267" t="n"/>
      <c r="L841" s="267" t="n"/>
      <c r="M841" s="267" t="n"/>
      <c r="N841" s="267" t="n"/>
    </row>
    <row r="842">
      <c r="I842" s="267" t="n"/>
      <c r="J842" s="267" t="n"/>
      <c r="K842" s="267" t="n"/>
      <c r="L842" s="267" t="n"/>
      <c r="M842" s="267" t="n"/>
      <c r="N842" s="267" t="n"/>
    </row>
    <row r="843">
      <c r="I843" s="267" t="n"/>
      <c r="J843" s="267" t="n"/>
      <c r="K843" s="267" t="n"/>
      <c r="L843" s="267" t="n"/>
      <c r="M843" s="267" t="n"/>
      <c r="N843" s="267" t="n"/>
    </row>
    <row r="844">
      <c r="I844" s="267" t="n"/>
      <c r="J844" s="267" t="n"/>
      <c r="K844" s="267" t="n"/>
      <c r="L844" s="267" t="n"/>
      <c r="M844" s="267" t="n"/>
      <c r="N844" s="267" t="n"/>
    </row>
    <row r="845">
      <c r="I845" s="267" t="n"/>
      <c r="J845" s="267" t="n"/>
      <c r="K845" s="267" t="n"/>
      <c r="L845" s="267" t="n"/>
      <c r="M845" s="267" t="n"/>
      <c r="N845" s="267" t="n"/>
    </row>
    <row r="846">
      <c r="I846" s="267" t="n"/>
      <c r="J846" s="267" t="n"/>
      <c r="K846" s="267" t="n"/>
      <c r="L846" s="267" t="n"/>
      <c r="M846" s="267" t="n"/>
      <c r="N846" s="267" t="n"/>
    </row>
    <row r="847">
      <c r="I847" s="267" t="n"/>
      <c r="J847" s="267" t="n"/>
      <c r="K847" s="267" t="n"/>
      <c r="L847" s="267" t="n"/>
      <c r="M847" s="267" t="n"/>
      <c r="N847" s="267" t="n"/>
    </row>
    <row r="848">
      <c r="I848" s="267" t="n"/>
      <c r="J848" s="267" t="n"/>
      <c r="K848" s="267" t="n"/>
      <c r="L848" s="267" t="n"/>
      <c r="M848" s="267" t="n"/>
      <c r="N848" s="267" t="n"/>
    </row>
    <row r="849">
      <c r="I849" s="267" t="n"/>
      <c r="J849" s="267" t="n"/>
      <c r="K849" s="267" t="n"/>
      <c r="L849" s="267" t="n"/>
      <c r="M849" s="267" t="n"/>
      <c r="N849" s="267" t="n"/>
    </row>
    <row r="850">
      <c r="I850" s="267" t="n"/>
      <c r="J850" s="267" t="n"/>
      <c r="K850" s="267" t="n"/>
      <c r="L850" s="267" t="n"/>
      <c r="M850" s="267" t="n"/>
      <c r="N850" s="267" t="n"/>
    </row>
    <row r="851">
      <c r="I851" s="267" t="n"/>
      <c r="J851" s="267" t="n"/>
      <c r="K851" s="267" t="n"/>
      <c r="L851" s="267" t="n"/>
      <c r="M851" s="267" t="n"/>
      <c r="N851" s="267" t="n"/>
    </row>
    <row r="852">
      <c r="I852" s="267" t="n"/>
      <c r="J852" s="267" t="n"/>
      <c r="K852" s="267" t="n"/>
      <c r="L852" s="267" t="n"/>
      <c r="M852" s="267" t="n"/>
      <c r="N852" s="267" t="n"/>
    </row>
    <row r="853">
      <c r="I853" s="267" t="n"/>
      <c r="J853" s="267" t="n"/>
      <c r="K853" s="267" t="n"/>
      <c r="L853" s="267" t="n"/>
      <c r="M853" s="267" t="n"/>
      <c r="N853" s="267" t="n"/>
    </row>
    <row r="854">
      <c r="I854" s="267" t="n"/>
      <c r="J854" s="267" t="n"/>
      <c r="K854" s="267" t="n"/>
      <c r="L854" s="267" t="n"/>
      <c r="M854" s="267" t="n"/>
      <c r="N854" s="267" t="n"/>
    </row>
    <row r="855">
      <c r="I855" s="267" t="n"/>
      <c r="J855" s="267" t="n"/>
      <c r="K855" s="267" t="n"/>
      <c r="L855" s="267" t="n"/>
      <c r="M855" s="267" t="n"/>
      <c r="N855" s="267" t="n"/>
    </row>
    <row r="856">
      <c r="I856" s="267" t="n"/>
      <c r="J856" s="267" t="n"/>
      <c r="K856" s="267" t="n"/>
      <c r="L856" s="267" t="n"/>
      <c r="M856" s="267" t="n"/>
      <c r="N856" s="267" t="n"/>
    </row>
    <row r="857">
      <c r="I857" s="267" t="n"/>
      <c r="J857" s="267" t="n"/>
      <c r="K857" s="267" t="n"/>
      <c r="L857" s="267" t="n"/>
      <c r="M857" s="267" t="n"/>
      <c r="N857" s="267" t="n"/>
    </row>
    <row r="858">
      <c r="I858" s="267" t="n"/>
      <c r="J858" s="267" t="n"/>
      <c r="K858" s="267" t="n"/>
      <c r="L858" s="267" t="n"/>
      <c r="M858" s="267" t="n"/>
      <c r="N858" s="267" t="n"/>
    </row>
    <row r="859">
      <c r="I859" s="267" t="n"/>
      <c r="J859" s="267" t="n"/>
      <c r="K859" s="267" t="n"/>
      <c r="L859" s="267" t="n"/>
      <c r="M859" s="267" t="n"/>
      <c r="N859" s="267" t="n"/>
    </row>
    <row r="860">
      <c r="I860" s="267" t="n"/>
      <c r="J860" s="267" t="n"/>
      <c r="K860" s="267" t="n"/>
      <c r="L860" s="267" t="n"/>
      <c r="M860" s="267" t="n"/>
      <c r="N860" s="267" t="n"/>
    </row>
    <row r="861">
      <c r="I861" s="267" t="n"/>
      <c r="J861" s="267" t="n"/>
      <c r="K861" s="267" t="n"/>
      <c r="L861" s="267" t="n"/>
      <c r="M861" s="267" t="n"/>
      <c r="N861" s="267" t="n"/>
    </row>
    <row r="862">
      <c r="I862" s="267" t="n"/>
      <c r="J862" s="267" t="n"/>
      <c r="K862" s="267" t="n"/>
      <c r="L862" s="267" t="n"/>
      <c r="M862" s="267" t="n"/>
      <c r="N862" s="267" t="n"/>
    </row>
    <row r="863">
      <c r="I863" s="267" t="n"/>
      <c r="J863" s="267" t="n"/>
      <c r="K863" s="267" t="n"/>
      <c r="L863" s="267" t="n"/>
      <c r="M863" s="267" t="n"/>
      <c r="N863" s="267" t="n"/>
    </row>
    <row r="864">
      <c r="I864" s="267" t="n"/>
      <c r="J864" s="267" t="n"/>
      <c r="K864" s="267" t="n"/>
      <c r="L864" s="267" t="n"/>
      <c r="M864" s="267" t="n"/>
      <c r="N864" s="267" t="n"/>
    </row>
    <row r="865">
      <c r="I865" s="267" t="n"/>
      <c r="J865" s="267" t="n"/>
      <c r="K865" s="267" t="n"/>
      <c r="L865" s="267" t="n"/>
      <c r="M865" s="267" t="n"/>
      <c r="N865" s="267" t="n"/>
    </row>
    <row r="866">
      <c r="I866" s="267" t="n"/>
      <c r="J866" s="267" t="n"/>
      <c r="K866" s="267" t="n"/>
      <c r="L866" s="267" t="n"/>
      <c r="M866" s="267" t="n"/>
      <c r="N866" s="267" t="n"/>
    </row>
    <row r="867">
      <c r="I867" s="267" t="n"/>
      <c r="J867" s="267" t="n"/>
      <c r="K867" s="267" t="n"/>
      <c r="L867" s="267" t="n"/>
      <c r="M867" s="267" t="n"/>
      <c r="N867" s="267" t="n"/>
    </row>
    <row r="868">
      <c r="I868" s="267" t="n"/>
      <c r="J868" s="267" t="n"/>
      <c r="K868" s="267" t="n"/>
      <c r="L868" s="267" t="n"/>
      <c r="M868" s="267" t="n"/>
      <c r="N868" s="267" t="n"/>
    </row>
    <row r="869">
      <c r="I869" s="267" t="n"/>
      <c r="J869" s="267" t="n"/>
      <c r="K869" s="267" t="n"/>
      <c r="L869" s="267" t="n"/>
      <c r="M869" s="267" t="n"/>
      <c r="N869" s="267" t="n"/>
    </row>
    <row r="870">
      <c r="I870" s="267" t="n"/>
      <c r="J870" s="267" t="n"/>
      <c r="K870" s="267" t="n"/>
      <c r="L870" s="267" t="n"/>
      <c r="M870" s="267" t="n"/>
      <c r="N870" s="267" t="n"/>
    </row>
    <row r="871">
      <c r="I871" s="267" t="n"/>
      <c r="J871" s="267" t="n"/>
      <c r="K871" s="267" t="n"/>
      <c r="L871" s="267" t="n"/>
      <c r="M871" s="267" t="n"/>
      <c r="N871" s="267" t="n"/>
    </row>
    <row r="872">
      <c r="I872" s="267" t="n"/>
      <c r="J872" s="267" t="n"/>
      <c r="K872" s="267" t="n"/>
      <c r="L872" s="267" t="n"/>
      <c r="M872" s="267" t="n"/>
      <c r="N872" s="267" t="n"/>
    </row>
    <row r="873">
      <c r="I873" s="267" t="n"/>
      <c r="J873" s="267" t="n"/>
      <c r="K873" s="267" t="n"/>
      <c r="L873" s="267" t="n"/>
      <c r="M873" s="267" t="n"/>
      <c r="N873" s="267" t="n"/>
    </row>
    <row r="874">
      <c r="I874" s="267" t="n"/>
      <c r="J874" s="267" t="n"/>
      <c r="K874" s="267" t="n"/>
      <c r="L874" s="267" t="n"/>
      <c r="M874" s="267" t="n"/>
      <c r="N874" s="267" t="n"/>
    </row>
    <row r="875">
      <c r="I875" s="267" t="n"/>
      <c r="J875" s="267" t="n"/>
      <c r="K875" s="267" t="n"/>
      <c r="L875" s="267" t="n"/>
      <c r="M875" s="267" t="n"/>
      <c r="N875" s="267" t="n"/>
    </row>
    <row r="876">
      <c r="I876" s="267" t="n"/>
      <c r="J876" s="267" t="n"/>
      <c r="K876" s="267" t="n"/>
      <c r="L876" s="267" t="n"/>
      <c r="M876" s="267" t="n"/>
      <c r="N876" s="267" t="n"/>
    </row>
    <row r="877">
      <c r="I877" s="267" t="n"/>
      <c r="J877" s="267" t="n"/>
      <c r="K877" s="267" t="n"/>
      <c r="L877" s="267" t="n"/>
      <c r="M877" s="267" t="n"/>
      <c r="N877" s="267" t="n"/>
    </row>
    <row r="878">
      <c r="I878" s="267" t="n"/>
      <c r="J878" s="267" t="n"/>
      <c r="K878" s="267" t="n"/>
      <c r="L878" s="267" t="n"/>
      <c r="M878" s="267" t="n"/>
      <c r="N878" s="267" t="n"/>
    </row>
    <row r="879">
      <c r="I879" s="267" t="n"/>
      <c r="J879" s="267" t="n"/>
      <c r="K879" s="267" t="n"/>
      <c r="L879" s="267" t="n"/>
      <c r="M879" s="267" t="n"/>
      <c r="N879" s="267" t="n"/>
    </row>
    <row r="880">
      <c r="I880" s="267" t="n"/>
      <c r="J880" s="267" t="n"/>
      <c r="K880" s="267" t="n"/>
      <c r="L880" s="267" t="n"/>
      <c r="M880" s="267" t="n"/>
      <c r="N880" s="267" t="n"/>
    </row>
    <row r="881">
      <c r="I881" s="267" t="n"/>
      <c r="J881" s="267" t="n"/>
      <c r="K881" s="267" t="n"/>
      <c r="L881" s="267" t="n"/>
      <c r="M881" s="267" t="n"/>
      <c r="N881" s="267" t="n"/>
    </row>
    <row r="882">
      <c r="I882" s="267" t="n"/>
      <c r="J882" s="267" t="n"/>
      <c r="K882" s="267" t="n"/>
      <c r="L882" s="267" t="n"/>
      <c r="M882" s="267" t="n"/>
      <c r="N882" s="267" t="n"/>
    </row>
    <row r="883">
      <c r="I883" s="267" t="n"/>
      <c r="J883" s="267" t="n"/>
      <c r="K883" s="267" t="n"/>
      <c r="L883" s="267" t="n"/>
      <c r="M883" s="267" t="n"/>
      <c r="N883" s="267" t="n"/>
    </row>
    <row r="884">
      <c r="I884" s="267" t="n"/>
      <c r="J884" s="267" t="n"/>
      <c r="K884" s="267" t="n"/>
      <c r="L884" s="267" t="n"/>
      <c r="M884" s="267" t="n"/>
      <c r="N884" s="267" t="n"/>
    </row>
    <row r="885">
      <c r="I885" s="267" t="n"/>
      <c r="J885" s="267" t="n"/>
      <c r="K885" s="267" t="n"/>
      <c r="L885" s="267" t="n"/>
      <c r="M885" s="267" t="n"/>
      <c r="N885" s="267" t="n"/>
    </row>
    <row r="886">
      <c r="I886" s="267" t="n"/>
      <c r="J886" s="267" t="n"/>
      <c r="K886" s="267" t="n"/>
      <c r="L886" s="267" t="n"/>
      <c r="M886" s="267" t="n"/>
      <c r="N886" s="267" t="n"/>
    </row>
    <row r="887">
      <c r="I887" s="267" t="n"/>
      <c r="J887" s="267" t="n"/>
      <c r="K887" s="267" t="n"/>
      <c r="L887" s="267" t="n"/>
      <c r="M887" s="267" t="n"/>
      <c r="N887" s="267" t="n"/>
    </row>
    <row r="888">
      <c r="I888" s="267" t="n"/>
      <c r="J888" s="267" t="n"/>
      <c r="K888" s="267" t="n"/>
      <c r="L888" s="267" t="n"/>
      <c r="M888" s="267" t="n"/>
      <c r="N888" s="267" t="n"/>
    </row>
    <row r="889">
      <c r="I889" s="267" t="n"/>
      <c r="J889" s="267" t="n"/>
      <c r="K889" s="267" t="n"/>
      <c r="L889" s="267" t="n"/>
      <c r="M889" s="267" t="n"/>
      <c r="N889" s="267" t="n"/>
    </row>
    <row r="890">
      <c r="I890" s="267" t="n"/>
      <c r="J890" s="267" t="n"/>
      <c r="K890" s="267" t="n"/>
      <c r="L890" s="267" t="n"/>
      <c r="M890" s="267" t="n"/>
      <c r="N890" s="267" t="n"/>
    </row>
    <row r="891">
      <c r="I891" s="267" t="n"/>
      <c r="J891" s="267" t="n"/>
      <c r="K891" s="267" t="n"/>
      <c r="L891" s="267" t="n"/>
      <c r="M891" s="267" t="n"/>
      <c r="N891" s="267" t="n"/>
    </row>
    <row r="892">
      <c r="I892" s="267" t="n"/>
      <c r="J892" s="267" t="n"/>
      <c r="K892" s="267" t="n"/>
      <c r="L892" s="267" t="n"/>
      <c r="M892" s="267" t="n"/>
      <c r="N892" s="267" t="n"/>
    </row>
    <row r="893">
      <c r="I893" s="267" t="n"/>
      <c r="J893" s="267" t="n"/>
      <c r="K893" s="267" t="n"/>
      <c r="L893" s="267" t="n"/>
      <c r="M893" s="267" t="n"/>
      <c r="N893" s="267" t="n"/>
    </row>
    <row r="894">
      <c r="I894" s="267" t="n"/>
      <c r="J894" s="267" t="n"/>
      <c r="K894" s="267" t="n"/>
      <c r="L894" s="267" t="n"/>
      <c r="M894" s="267" t="n"/>
      <c r="N894" s="267" t="n"/>
    </row>
    <row r="895">
      <c r="I895" s="267" t="n"/>
      <c r="J895" s="267" t="n"/>
      <c r="K895" s="267" t="n"/>
      <c r="L895" s="267" t="n"/>
      <c r="M895" s="267" t="n"/>
      <c r="N895" s="267" t="n"/>
    </row>
    <row r="896">
      <c r="I896" s="267" t="n"/>
      <c r="J896" s="267" t="n"/>
      <c r="K896" s="267" t="n"/>
      <c r="L896" s="267" t="n"/>
      <c r="M896" s="267" t="n"/>
      <c r="N896" s="267" t="n"/>
    </row>
    <row r="897">
      <c r="I897" s="267" t="n"/>
      <c r="J897" s="267" t="n"/>
      <c r="K897" s="267" t="n"/>
      <c r="L897" s="267" t="n"/>
      <c r="M897" s="267" t="n"/>
      <c r="N897" s="267" t="n"/>
    </row>
    <row r="898">
      <c r="I898" s="267" t="n"/>
      <c r="J898" s="267" t="n"/>
      <c r="K898" s="267" t="n"/>
      <c r="L898" s="267" t="n"/>
      <c r="M898" s="267" t="n"/>
      <c r="N898" s="267" t="n"/>
    </row>
    <row r="899">
      <c r="I899" s="267" t="n"/>
      <c r="J899" s="267" t="n"/>
      <c r="K899" s="267" t="n"/>
      <c r="L899" s="267" t="n"/>
      <c r="M899" s="267" t="n"/>
      <c r="N899" s="267" t="n"/>
    </row>
    <row r="900">
      <c r="I900" s="267" t="n"/>
      <c r="J900" s="267" t="n"/>
      <c r="K900" s="267" t="n"/>
      <c r="L900" s="267" t="n"/>
      <c r="M900" s="267" t="n"/>
      <c r="N900" s="267" t="n"/>
    </row>
    <row r="901">
      <c r="I901" s="267" t="n"/>
      <c r="J901" s="267" t="n"/>
      <c r="K901" s="267" t="n"/>
      <c r="L901" s="267" t="n"/>
      <c r="M901" s="267" t="n"/>
      <c r="N901" s="267" t="n"/>
    </row>
    <row r="902">
      <c r="I902" s="267" t="n"/>
      <c r="J902" s="267" t="n"/>
      <c r="K902" s="267" t="n"/>
      <c r="L902" s="267" t="n"/>
      <c r="M902" s="267" t="n"/>
      <c r="N902" s="267" t="n"/>
    </row>
    <row r="903">
      <c r="I903" s="267" t="n"/>
      <c r="J903" s="267" t="n"/>
      <c r="K903" s="267" t="n"/>
      <c r="L903" s="267" t="n"/>
      <c r="M903" s="267" t="n"/>
      <c r="N903" s="267" t="n"/>
    </row>
    <row r="904">
      <c r="I904" s="267" t="n"/>
      <c r="J904" s="267" t="n"/>
      <c r="K904" s="267" t="n"/>
      <c r="L904" s="267" t="n"/>
      <c r="M904" s="267" t="n"/>
      <c r="N904" s="267" t="n"/>
    </row>
    <row r="905">
      <c r="I905" s="267" t="n"/>
      <c r="J905" s="267" t="n"/>
      <c r="K905" s="267" t="n"/>
      <c r="L905" s="267" t="n"/>
      <c r="M905" s="267" t="n"/>
      <c r="N905" s="267" t="n"/>
    </row>
    <row r="906">
      <c r="I906" s="267" t="n"/>
      <c r="J906" s="267" t="n"/>
      <c r="K906" s="267" t="n"/>
      <c r="L906" s="267" t="n"/>
      <c r="M906" s="267" t="n"/>
      <c r="N906" s="267" t="n"/>
    </row>
    <row r="907">
      <c r="I907" s="267" t="n"/>
      <c r="J907" s="267" t="n"/>
      <c r="K907" s="267" t="n"/>
      <c r="L907" s="267" t="n"/>
      <c r="M907" s="267" t="n"/>
      <c r="N907" s="267" t="n"/>
    </row>
    <row r="908">
      <c r="I908" s="267" t="n"/>
      <c r="J908" s="267" t="n"/>
      <c r="K908" s="267" t="n"/>
      <c r="L908" s="267" t="n"/>
      <c r="M908" s="267" t="n"/>
      <c r="N908" s="267" t="n"/>
    </row>
    <row r="909">
      <c r="I909" s="267" t="n"/>
      <c r="J909" s="267" t="n"/>
      <c r="K909" s="267" t="n"/>
      <c r="L909" s="267" t="n"/>
      <c r="M909" s="267" t="n"/>
      <c r="N909" s="267" t="n"/>
    </row>
    <row r="910">
      <c r="I910" s="267" t="n"/>
      <c r="J910" s="267" t="n"/>
      <c r="K910" s="267" t="n"/>
      <c r="L910" s="267" t="n"/>
      <c r="M910" s="267" t="n"/>
      <c r="N910" s="267" t="n"/>
    </row>
    <row r="911">
      <c r="I911" s="267" t="n"/>
      <c r="J911" s="267" t="n"/>
      <c r="K911" s="267" t="n"/>
      <c r="L911" s="267" t="n"/>
      <c r="M911" s="267" t="n"/>
      <c r="N911" s="267" t="n"/>
    </row>
    <row r="912">
      <c r="I912" s="267" t="n"/>
      <c r="J912" s="267" t="n"/>
      <c r="K912" s="267" t="n"/>
      <c r="L912" s="267" t="n"/>
      <c r="M912" s="267" t="n"/>
      <c r="N912" s="267" t="n"/>
    </row>
    <row r="913">
      <c r="I913" s="267" t="n"/>
      <c r="J913" s="267" t="n"/>
      <c r="K913" s="267" t="n"/>
      <c r="L913" s="267" t="n"/>
      <c r="M913" s="267" t="n"/>
      <c r="N913" s="267" t="n"/>
    </row>
    <row r="914">
      <c r="I914" s="267" t="n"/>
      <c r="J914" s="267" t="n"/>
      <c r="K914" s="267" t="n"/>
      <c r="L914" s="267" t="n"/>
      <c r="M914" s="267" t="n"/>
      <c r="N914" s="267" t="n"/>
    </row>
    <row r="915">
      <c r="I915" s="267" t="n"/>
      <c r="J915" s="267" t="n"/>
      <c r="K915" s="267" t="n"/>
      <c r="L915" s="267" t="n"/>
      <c r="M915" s="267" t="n"/>
      <c r="N915" s="267" t="n"/>
    </row>
    <row r="916">
      <c r="I916" s="267" t="n"/>
      <c r="J916" s="267" t="n"/>
      <c r="K916" s="267" t="n"/>
      <c r="L916" s="267" t="n"/>
      <c r="M916" s="267" t="n"/>
      <c r="N916" s="267" t="n"/>
    </row>
    <row r="917">
      <c r="I917" s="267" t="n"/>
      <c r="J917" s="267" t="n"/>
      <c r="K917" s="267" t="n"/>
      <c r="L917" s="267" t="n"/>
      <c r="M917" s="267" t="n"/>
      <c r="N917" s="267" t="n"/>
    </row>
    <row r="918">
      <c r="I918" s="267" t="n"/>
      <c r="J918" s="267" t="n"/>
      <c r="K918" s="267" t="n"/>
      <c r="L918" s="267" t="n"/>
      <c r="M918" s="267" t="n"/>
      <c r="N918" s="267" t="n"/>
    </row>
    <row r="919">
      <c r="I919" s="267" t="n"/>
      <c r="J919" s="267" t="n"/>
      <c r="K919" s="267" t="n"/>
      <c r="L919" s="267" t="n"/>
      <c r="M919" s="267" t="n"/>
      <c r="N919" s="267" t="n"/>
    </row>
    <row r="920">
      <c r="I920" s="267" t="n"/>
      <c r="J920" s="267" t="n"/>
      <c r="K920" s="267" t="n"/>
      <c r="L920" s="267" t="n"/>
      <c r="M920" s="267" t="n"/>
      <c r="N920" s="267" t="n"/>
    </row>
    <row r="921">
      <c r="I921" s="267" t="n"/>
      <c r="J921" s="267" t="n"/>
      <c r="K921" s="267" t="n"/>
      <c r="L921" s="267" t="n"/>
      <c r="M921" s="267" t="n"/>
      <c r="N921" s="267" t="n"/>
    </row>
    <row r="922">
      <c r="I922" s="267" t="n"/>
      <c r="J922" s="267" t="n"/>
      <c r="K922" s="267" t="n"/>
      <c r="L922" s="267" t="n"/>
      <c r="M922" s="267" t="n"/>
      <c r="N922" s="267" t="n"/>
    </row>
    <row r="923">
      <c r="I923" s="267" t="n"/>
      <c r="J923" s="267" t="n"/>
      <c r="K923" s="267" t="n"/>
      <c r="L923" s="267" t="n"/>
      <c r="M923" s="267" t="n"/>
      <c r="N923" s="267" t="n"/>
    </row>
    <row r="924">
      <c r="I924" s="267" t="n"/>
      <c r="J924" s="267" t="n"/>
      <c r="K924" s="267" t="n"/>
      <c r="L924" s="267" t="n"/>
      <c r="M924" s="267" t="n"/>
      <c r="N924" s="267" t="n"/>
    </row>
    <row r="925">
      <c r="I925" s="267" t="n"/>
      <c r="J925" s="267" t="n"/>
      <c r="K925" s="267" t="n"/>
      <c r="L925" s="267" t="n"/>
      <c r="M925" s="267" t="n"/>
      <c r="N925" s="267" t="n"/>
    </row>
    <row r="926">
      <c r="I926" s="267" t="n"/>
      <c r="J926" s="267" t="n"/>
      <c r="K926" s="267" t="n"/>
      <c r="L926" s="267" t="n"/>
      <c r="M926" s="267" t="n"/>
      <c r="N926" s="267" t="n"/>
    </row>
    <row r="927">
      <c r="I927" s="267" t="n"/>
      <c r="J927" s="267" t="n"/>
      <c r="K927" s="267" t="n"/>
      <c r="L927" s="267" t="n"/>
      <c r="M927" s="267" t="n"/>
      <c r="N927" s="267" t="n"/>
    </row>
    <row r="928">
      <c r="I928" s="267" t="n"/>
      <c r="J928" s="267" t="n"/>
      <c r="K928" s="267" t="n"/>
      <c r="L928" s="267" t="n"/>
      <c r="M928" s="267" t="n"/>
      <c r="N928" s="267" t="n"/>
    </row>
    <row r="929">
      <c r="I929" s="267" t="n"/>
      <c r="J929" s="267" t="n"/>
      <c r="K929" s="267" t="n"/>
      <c r="L929" s="267" t="n"/>
      <c r="M929" s="267" t="n"/>
      <c r="N929" s="267" t="n"/>
    </row>
    <row r="930">
      <c r="I930" s="267" t="n"/>
      <c r="J930" s="267" t="n"/>
      <c r="K930" s="267" t="n"/>
      <c r="L930" s="267" t="n"/>
      <c r="M930" s="267" t="n"/>
      <c r="N930" s="267" t="n"/>
    </row>
    <row r="931">
      <c r="I931" s="267" t="n"/>
      <c r="J931" s="267" t="n"/>
      <c r="K931" s="267" t="n"/>
      <c r="L931" s="267" t="n"/>
      <c r="M931" s="267" t="n"/>
      <c r="N931" s="267" t="n"/>
    </row>
    <row r="932">
      <c r="I932" s="267" t="n"/>
      <c r="J932" s="267" t="n"/>
      <c r="K932" s="267" t="n"/>
      <c r="L932" s="267" t="n"/>
      <c r="M932" s="267" t="n"/>
      <c r="N932" s="267" t="n"/>
    </row>
    <row r="933">
      <c r="I933" s="267" t="n"/>
      <c r="J933" s="267" t="n"/>
      <c r="K933" s="267" t="n"/>
      <c r="L933" s="267" t="n"/>
      <c r="M933" s="267" t="n"/>
      <c r="N933" s="267" t="n"/>
    </row>
    <row r="934">
      <c r="I934" s="267" t="n"/>
      <c r="J934" s="267" t="n"/>
      <c r="K934" s="267" t="n"/>
      <c r="L934" s="267" t="n"/>
      <c r="M934" s="267" t="n"/>
      <c r="N934" s="267" t="n"/>
    </row>
    <row r="935">
      <c r="I935" s="267" t="n"/>
      <c r="J935" s="267" t="n"/>
      <c r="K935" s="267" t="n"/>
      <c r="L935" s="267" t="n"/>
      <c r="M935" s="267" t="n"/>
      <c r="N935" s="267" t="n"/>
    </row>
    <row r="936">
      <c r="I936" s="267" t="n"/>
      <c r="J936" s="267" t="n"/>
      <c r="K936" s="267" t="n"/>
      <c r="L936" s="267" t="n"/>
      <c r="M936" s="267" t="n"/>
      <c r="N936" s="267" t="n"/>
    </row>
    <row r="937">
      <c r="I937" s="267" t="n"/>
      <c r="J937" s="267" t="n"/>
      <c r="K937" s="267" t="n"/>
      <c r="L937" s="267" t="n"/>
      <c r="M937" s="267" t="n"/>
      <c r="N937" s="267" t="n"/>
    </row>
    <row r="938">
      <c r="I938" s="267" t="n"/>
      <c r="J938" s="267" t="n"/>
      <c r="K938" s="267" t="n"/>
      <c r="L938" s="267" t="n"/>
      <c r="M938" s="267" t="n"/>
      <c r="N938" s="267" t="n"/>
    </row>
    <row r="939">
      <c r="I939" s="267" t="n"/>
      <c r="J939" s="267" t="n"/>
      <c r="K939" s="267" t="n"/>
      <c r="L939" s="267" t="n"/>
      <c r="M939" s="267" t="n"/>
      <c r="N939" s="267" t="n"/>
    </row>
    <row r="940">
      <c r="I940" s="267" t="n"/>
      <c r="J940" s="267" t="n"/>
      <c r="K940" s="267" t="n"/>
      <c r="L940" s="267" t="n"/>
      <c r="M940" s="267" t="n"/>
      <c r="N940" s="267" t="n"/>
    </row>
    <row r="941">
      <c r="I941" s="267" t="n"/>
      <c r="J941" s="267" t="n"/>
      <c r="K941" s="267" t="n"/>
      <c r="L941" s="267" t="n"/>
      <c r="M941" s="267" t="n"/>
      <c r="N941" s="267" t="n"/>
    </row>
    <row r="942">
      <c r="I942" s="267" t="n"/>
      <c r="J942" s="267" t="n"/>
      <c r="K942" s="267" t="n"/>
      <c r="L942" s="267" t="n"/>
      <c r="M942" s="267" t="n"/>
      <c r="N942" s="267" t="n"/>
    </row>
    <row r="943">
      <c r="I943" s="267" t="n"/>
      <c r="J943" s="267" t="n"/>
      <c r="K943" s="267" t="n"/>
      <c r="L943" s="267" t="n"/>
      <c r="M943" s="267" t="n"/>
      <c r="N943" s="267" t="n"/>
    </row>
    <row r="944">
      <c r="I944" s="267" t="n"/>
      <c r="J944" s="267" t="n"/>
      <c r="K944" s="267" t="n"/>
      <c r="L944" s="267" t="n"/>
      <c r="M944" s="267" t="n"/>
      <c r="N944" s="267" t="n"/>
    </row>
    <row r="945">
      <c r="I945" s="267" t="n"/>
      <c r="J945" s="267" t="n"/>
      <c r="K945" s="267" t="n"/>
      <c r="L945" s="267" t="n"/>
      <c r="M945" s="267" t="n"/>
      <c r="N945" s="267" t="n"/>
    </row>
    <row r="946">
      <c r="I946" s="267" t="n"/>
      <c r="J946" s="267" t="n"/>
      <c r="K946" s="267" t="n"/>
      <c r="L946" s="267" t="n"/>
      <c r="M946" s="267" t="n"/>
      <c r="N946" s="267" t="n"/>
    </row>
    <row r="947">
      <c r="I947" s="267" t="n"/>
      <c r="J947" s="267" t="n"/>
      <c r="K947" s="267" t="n"/>
      <c r="L947" s="267" t="n"/>
      <c r="M947" s="267" t="n"/>
      <c r="N947" s="267" t="n"/>
    </row>
    <row r="948">
      <c r="I948" s="267" t="n"/>
      <c r="J948" s="267" t="n"/>
      <c r="K948" s="267" t="n"/>
      <c r="L948" s="267" t="n"/>
      <c r="M948" s="267" t="n"/>
      <c r="N948" s="267" t="n"/>
    </row>
    <row r="949">
      <c r="I949" s="267" t="n"/>
      <c r="J949" s="267" t="n"/>
      <c r="K949" s="267" t="n"/>
      <c r="L949" s="267" t="n"/>
      <c r="M949" s="267" t="n"/>
      <c r="N949" s="267" t="n"/>
    </row>
    <row r="950">
      <c r="I950" s="267" t="n"/>
      <c r="J950" s="267" t="n"/>
      <c r="K950" s="267" t="n"/>
      <c r="L950" s="267" t="n"/>
      <c r="M950" s="267" t="n"/>
      <c r="N950" s="267" t="n"/>
    </row>
    <row r="951">
      <c r="I951" s="267" t="n"/>
      <c r="J951" s="267" t="n"/>
      <c r="K951" s="267" t="n"/>
      <c r="L951" s="267" t="n"/>
      <c r="M951" s="267" t="n"/>
      <c r="N951" s="267" t="n"/>
    </row>
    <row r="952">
      <c r="I952" s="267" t="n"/>
      <c r="J952" s="267" t="n"/>
      <c r="K952" s="267" t="n"/>
      <c r="L952" s="267" t="n"/>
      <c r="M952" s="267" t="n"/>
      <c r="N952" s="267" t="n"/>
    </row>
    <row r="953">
      <c r="I953" s="267" t="n"/>
      <c r="J953" s="267" t="n"/>
      <c r="K953" s="267" t="n"/>
      <c r="L953" s="267" t="n"/>
      <c r="M953" s="267" t="n"/>
      <c r="N953" s="267" t="n"/>
    </row>
    <row r="954">
      <c r="I954" s="267" t="n"/>
      <c r="J954" s="267" t="n"/>
      <c r="K954" s="267" t="n"/>
      <c r="L954" s="267" t="n"/>
      <c r="M954" s="267" t="n"/>
      <c r="N954" s="267" t="n"/>
    </row>
    <row r="955">
      <c r="I955" s="267" t="n"/>
      <c r="J955" s="267" t="n"/>
      <c r="K955" s="267" t="n"/>
      <c r="L955" s="267" t="n"/>
      <c r="M955" s="267" t="n"/>
      <c r="N955" s="267" t="n"/>
    </row>
    <row r="956">
      <c r="I956" s="267" t="n"/>
      <c r="J956" s="267" t="n"/>
      <c r="K956" s="267" t="n"/>
      <c r="L956" s="267" t="n"/>
      <c r="M956" s="267" t="n"/>
      <c r="N956" s="267" t="n"/>
    </row>
    <row r="957">
      <c r="I957" s="267" t="n"/>
      <c r="J957" s="267" t="n"/>
      <c r="K957" s="267" t="n"/>
      <c r="L957" s="267" t="n"/>
      <c r="M957" s="267" t="n"/>
      <c r="N957" s="267" t="n"/>
    </row>
    <row r="958">
      <c r="I958" s="267" t="n"/>
      <c r="J958" s="267" t="n"/>
      <c r="K958" s="267" t="n"/>
      <c r="L958" s="267" t="n"/>
      <c r="M958" s="267" t="n"/>
      <c r="N958" s="267" t="n"/>
    </row>
    <row r="959">
      <c r="I959" s="267" t="n"/>
      <c r="J959" s="267" t="n"/>
      <c r="K959" s="267" t="n"/>
      <c r="L959" s="267" t="n"/>
      <c r="M959" s="267" t="n"/>
      <c r="N959" s="267" t="n"/>
    </row>
    <row r="960">
      <c r="I960" s="267" t="n"/>
      <c r="J960" s="267" t="n"/>
      <c r="K960" s="267" t="n"/>
      <c r="L960" s="267" t="n"/>
      <c r="M960" s="267" t="n"/>
      <c r="N960" s="267" t="n"/>
    </row>
    <row r="961">
      <c r="I961" s="267" t="n"/>
      <c r="J961" s="267" t="n"/>
      <c r="K961" s="267" t="n"/>
      <c r="L961" s="267" t="n"/>
      <c r="M961" s="267" t="n"/>
      <c r="N961" s="267" t="n"/>
    </row>
    <row r="962">
      <c r="I962" s="267" t="n"/>
      <c r="J962" s="267" t="n"/>
      <c r="K962" s="267" t="n"/>
      <c r="L962" s="267" t="n"/>
      <c r="M962" s="267" t="n"/>
      <c r="N962" s="267" t="n"/>
    </row>
    <row r="963">
      <c r="I963" s="267" t="n"/>
      <c r="J963" s="267" t="n"/>
      <c r="K963" s="267" t="n"/>
      <c r="L963" s="267" t="n"/>
      <c r="M963" s="267" t="n"/>
      <c r="N963" s="267" t="n"/>
    </row>
    <row r="964">
      <c r="I964" s="267" t="n"/>
      <c r="J964" s="267" t="n"/>
      <c r="K964" s="267" t="n"/>
      <c r="L964" s="267" t="n"/>
      <c r="M964" s="267" t="n"/>
      <c r="N964" s="267" t="n"/>
    </row>
    <row r="965">
      <c r="I965" s="267" t="n"/>
      <c r="J965" s="267" t="n"/>
      <c r="K965" s="267" t="n"/>
      <c r="L965" s="267" t="n"/>
      <c r="M965" s="267" t="n"/>
      <c r="N965" s="267" t="n"/>
    </row>
    <row r="966">
      <c r="I966" s="267" t="n"/>
      <c r="J966" s="267" t="n"/>
      <c r="K966" s="267" t="n"/>
      <c r="L966" s="267" t="n"/>
      <c r="M966" s="267" t="n"/>
      <c r="N966" s="267" t="n"/>
    </row>
    <row r="967">
      <c r="I967" s="267" t="n"/>
      <c r="J967" s="267" t="n"/>
      <c r="K967" s="267" t="n"/>
      <c r="L967" s="267" t="n"/>
      <c r="M967" s="267" t="n"/>
      <c r="N967" s="267" t="n"/>
    </row>
    <row r="968">
      <c r="I968" s="267" t="n"/>
      <c r="J968" s="267" t="n"/>
      <c r="K968" s="267" t="n"/>
      <c r="L968" s="267" t="n"/>
      <c r="M968" s="267" t="n"/>
      <c r="N968" s="267" t="n"/>
    </row>
    <row r="969">
      <c r="I969" s="267" t="n"/>
      <c r="J969" s="267" t="n"/>
      <c r="K969" s="267" t="n"/>
      <c r="L969" s="267" t="n"/>
      <c r="M969" s="267" t="n"/>
      <c r="N969" s="267" t="n"/>
    </row>
    <row r="970">
      <c r="I970" s="267" t="n"/>
      <c r="J970" s="267" t="n"/>
      <c r="K970" s="267" t="n"/>
      <c r="L970" s="267" t="n"/>
      <c r="M970" s="267" t="n"/>
      <c r="N970" s="267" t="n"/>
    </row>
    <row r="971">
      <c r="I971" s="267" t="n"/>
      <c r="J971" s="267" t="n"/>
      <c r="K971" s="267" t="n"/>
      <c r="L971" s="267" t="n"/>
      <c r="M971" s="267" t="n"/>
      <c r="N971" s="267" t="n"/>
    </row>
    <row r="972">
      <c r="I972" s="267" t="n"/>
      <c r="J972" s="267" t="n"/>
      <c r="K972" s="267" t="n"/>
      <c r="L972" s="267" t="n"/>
      <c r="M972" s="267" t="n"/>
      <c r="N972" s="267" t="n"/>
    </row>
    <row r="973">
      <c r="I973" s="267" t="n"/>
      <c r="J973" s="267" t="n"/>
      <c r="K973" s="267" t="n"/>
      <c r="L973" s="267" t="n"/>
      <c r="M973" s="267" t="n"/>
      <c r="N973" s="267" t="n"/>
    </row>
    <row r="974">
      <c r="I974" s="267" t="n"/>
      <c r="J974" s="267" t="n"/>
      <c r="K974" s="267" t="n"/>
      <c r="L974" s="267" t="n"/>
      <c r="M974" s="267" t="n"/>
      <c r="N974" s="267" t="n"/>
    </row>
    <row r="975">
      <c r="I975" s="267" t="n"/>
      <c r="J975" s="267" t="n"/>
      <c r="K975" s="267" t="n"/>
      <c r="L975" s="267" t="n"/>
      <c r="M975" s="267" t="n"/>
      <c r="N975" s="267" t="n"/>
    </row>
    <row r="976">
      <c r="I976" s="267" t="n"/>
      <c r="J976" s="267" t="n"/>
      <c r="K976" s="267" t="n"/>
      <c r="L976" s="267" t="n"/>
      <c r="M976" s="267" t="n"/>
      <c r="N976" s="267" t="n"/>
    </row>
    <row r="977">
      <c r="I977" s="267" t="n"/>
      <c r="J977" s="267" t="n"/>
      <c r="K977" s="267" t="n"/>
      <c r="L977" s="267" t="n"/>
      <c r="M977" s="267" t="n"/>
      <c r="N977" s="267" t="n"/>
    </row>
    <row r="978">
      <c r="I978" s="267" t="n"/>
      <c r="J978" s="267" t="n"/>
      <c r="K978" s="267" t="n"/>
      <c r="L978" s="267" t="n"/>
      <c r="M978" s="267" t="n"/>
      <c r="N978" s="267" t="n"/>
    </row>
    <row r="979">
      <c r="I979" s="267" t="n"/>
      <c r="J979" s="267" t="n"/>
      <c r="K979" s="267" t="n"/>
      <c r="L979" s="267" t="n"/>
      <c r="M979" s="267" t="n"/>
      <c r="N979" s="267" t="n"/>
    </row>
    <row r="980">
      <c r="I980" s="267" t="n"/>
      <c r="J980" s="267" t="n"/>
      <c r="K980" s="267" t="n"/>
      <c r="L980" s="267" t="n"/>
      <c r="M980" s="267" t="n"/>
      <c r="N980" s="267" t="n"/>
    </row>
    <row r="981">
      <c r="I981" s="267" t="n"/>
      <c r="J981" s="267" t="n"/>
      <c r="K981" s="267" t="n"/>
      <c r="L981" s="267" t="n"/>
      <c r="M981" s="267" t="n"/>
      <c r="N981" s="267" t="n"/>
    </row>
    <row r="982">
      <c r="I982" s="267" t="n"/>
      <c r="J982" s="267" t="n"/>
      <c r="K982" s="267" t="n"/>
      <c r="L982" s="267" t="n"/>
      <c r="M982" s="267" t="n"/>
      <c r="N982" s="267" t="n"/>
    </row>
    <row r="983">
      <c r="I983" s="267" t="n"/>
      <c r="J983" s="267" t="n"/>
      <c r="K983" s="267" t="n"/>
      <c r="L983" s="267" t="n"/>
      <c r="M983" s="267" t="n"/>
      <c r="N983" s="267" t="n"/>
    </row>
    <row r="984">
      <c r="I984" s="267" t="n"/>
      <c r="J984" s="267" t="n"/>
      <c r="K984" s="267" t="n"/>
      <c r="L984" s="267" t="n"/>
      <c r="M984" s="267" t="n"/>
      <c r="N984" s="267" t="n"/>
    </row>
    <row r="985">
      <c r="I985" s="267" t="n"/>
      <c r="J985" s="267" t="n"/>
      <c r="K985" s="267" t="n"/>
      <c r="L985" s="267" t="n"/>
      <c r="M985" s="267" t="n"/>
      <c r="N985" s="267" t="n"/>
    </row>
    <row r="986">
      <c r="I986" s="267" t="n"/>
      <c r="J986" s="267" t="n"/>
      <c r="K986" s="267" t="n"/>
      <c r="L986" s="267" t="n"/>
      <c r="M986" s="267" t="n"/>
      <c r="N986" s="267" t="n"/>
    </row>
    <row r="987">
      <c r="I987" s="267" t="n"/>
      <c r="J987" s="267" t="n"/>
      <c r="K987" s="267" t="n"/>
      <c r="L987" s="267" t="n"/>
      <c r="M987" s="267" t="n"/>
      <c r="N987" s="267" t="n"/>
    </row>
    <row r="988">
      <c r="I988" s="267" t="n"/>
      <c r="J988" s="267" t="n"/>
      <c r="K988" s="267" t="n"/>
      <c r="L988" s="267" t="n"/>
      <c r="M988" s="267" t="n"/>
      <c r="N988" s="267" t="n"/>
    </row>
    <row r="989">
      <c r="I989" s="267" t="n"/>
      <c r="J989" s="267" t="n"/>
      <c r="K989" s="267" t="n"/>
      <c r="L989" s="267" t="n"/>
      <c r="M989" s="267" t="n"/>
      <c r="N989" s="267" t="n"/>
    </row>
    <row r="990">
      <c r="I990" s="267" t="n"/>
      <c r="J990" s="267" t="n"/>
      <c r="K990" s="267" t="n"/>
      <c r="L990" s="267" t="n"/>
      <c r="M990" s="267" t="n"/>
      <c r="N990" s="267" t="n"/>
    </row>
    <row r="991">
      <c r="I991" s="267" t="n"/>
      <c r="J991" s="267" t="n"/>
      <c r="K991" s="267" t="n"/>
      <c r="L991" s="267" t="n"/>
      <c r="M991" s="267" t="n"/>
      <c r="N991" s="267" t="n"/>
    </row>
    <row r="992">
      <c r="I992" s="267" t="n"/>
      <c r="J992" s="267" t="n"/>
      <c r="K992" s="267" t="n"/>
      <c r="L992" s="267" t="n"/>
      <c r="M992" s="267" t="n"/>
      <c r="N992" s="267" t="n"/>
    </row>
    <row r="993">
      <c r="I993" s="267" t="n"/>
      <c r="J993" s="267" t="n"/>
      <c r="K993" s="267" t="n"/>
      <c r="L993" s="267" t="n"/>
      <c r="M993" s="267" t="n"/>
      <c r="N993" s="267" t="n"/>
    </row>
    <row r="994">
      <c r="I994" s="267" t="n"/>
      <c r="J994" s="267" t="n"/>
      <c r="K994" s="267" t="n"/>
      <c r="L994" s="267" t="n"/>
      <c r="M994" s="267" t="n"/>
      <c r="N994" s="267" t="n"/>
    </row>
    <row r="995">
      <c r="I995" s="267" t="n"/>
      <c r="J995" s="267" t="n"/>
      <c r="K995" s="267" t="n"/>
      <c r="L995" s="267" t="n"/>
      <c r="M995" s="267" t="n"/>
      <c r="N995" s="267" t="n"/>
    </row>
    <row r="996">
      <c r="I996" s="267" t="n"/>
      <c r="J996" s="267" t="n"/>
      <c r="K996" s="267" t="n"/>
      <c r="L996" s="267" t="n"/>
      <c r="M996" s="267" t="n"/>
      <c r="N996" s="267" t="n"/>
    </row>
    <row r="997">
      <c r="I997" s="267" t="n"/>
      <c r="J997" s="267" t="n"/>
      <c r="K997" s="267" t="n"/>
      <c r="L997" s="267" t="n"/>
      <c r="M997" s="267" t="n"/>
      <c r="N997" s="267" t="n"/>
    </row>
    <row r="998">
      <c r="I998" s="267" t="n"/>
      <c r="J998" s="267" t="n"/>
      <c r="K998" s="267" t="n"/>
      <c r="L998" s="267" t="n"/>
      <c r="M998" s="267" t="n"/>
      <c r="N998" s="267" t="n"/>
    </row>
    <row r="999">
      <c r="I999" s="267" t="n"/>
      <c r="J999" s="267" t="n"/>
      <c r="K999" s="267" t="n"/>
      <c r="L999" s="267" t="n"/>
      <c r="M999" s="267" t="n"/>
      <c r="N999" s="267" t="n"/>
    </row>
    <row r="1000">
      <c r="I1000" s="267" t="n"/>
      <c r="J1000" s="267" t="n"/>
      <c r="K1000" s="267" t="n"/>
      <c r="L1000" s="267" t="n"/>
      <c r="M1000" s="267" t="n"/>
      <c r="N1000" s="267" t="n"/>
    </row>
    <row r="1001">
      <c r="I1001" s="267" t="n"/>
      <c r="J1001" s="267" t="n"/>
      <c r="K1001" s="267" t="n"/>
      <c r="L1001" s="267" t="n"/>
      <c r="M1001" s="267" t="n"/>
      <c r="N1001" s="267" t="n"/>
    </row>
    <row r="1002">
      <c r="I1002" s="267" t="n"/>
      <c r="J1002" s="267" t="n"/>
      <c r="K1002" s="267" t="n"/>
      <c r="L1002" s="267" t="n"/>
      <c r="M1002" s="267" t="n"/>
      <c r="N1002" s="267" t="n"/>
    </row>
    <row r="1003">
      <c r="I1003" s="267" t="n"/>
      <c r="J1003" s="267" t="n"/>
      <c r="K1003" s="267" t="n"/>
      <c r="L1003" s="267" t="n"/>
      <c r="M1003" s="267" t="n"/>
      <c r="N1003" s="267" t="n"/>
    </row>
    <row r="1004">
      <c r="I1004" s="267" t="n"/>
      <c r="J1004" s="267" t="n"/>
      <c r="K1004" s="267" t="n"/>
      <c r="L1004" s="267" t="n"/>
      <c r="M1004" s="267" t="n"/>
      <c r="N1004" s="267" t="n"/>
    </row>
    <row r="1005">
      <c r="I1005" s="267" t="n"/>
      <c r="J1005" s="267" t="n"/>
      <c r="K1005" s="267" t="n"/>
      <c r="L1005" s="267" t="n"/>
      <c r="M1005" s="267" t="n"/>
      <c r="N1005" s="267" t="n"/>
    </row>
    <row r="1006">
      <c r="I1006" s="267" t="n"/>
      <c r="J1006" s="267" t="n"/>
      <c r="K1006" s="267" t="n"/>
      <c r="L1006" s="267" t="n"/>
      <c r="M1006" s="267" t="n"/>
      <c r="N1006" s="267" t="n"/>
    </row>
    <row r="1007">
      <c r="I1007" s="267" t="n"/>
      <c r="J1007" s="267" t="n"/>
      <c r="K1007" s="267" t="n"/>
      <c r="L1007" s="267" t="n"/>
      <c r="M1007" s="267" t="n"/>
      <c r="N1007" s="267" t="n"/>
    </row>
    <row r="1008">
      <c r="I1008" s="267" t="n"/>
      <c r="J1008" s="267" t="n"/>
      <c r="K1008" s="267" t="n"/>
      <c r="L1008" s="267" t="n"/>
      <c r="M1008" s="267" t="n"/>
      <c r="N1008" s="267" t="n"/>
    </row>
    <row r="1009">
      <c r="I1009" s="267" t="n"/>
      <c r="J1009" s="267" t="n"/>
      <c r="K1009" s="267" t="n"/>
      <c r="L1009" s="267" t="n"/>
      <c r="M1009" s="267" t="n"/>
      <c r="N1009" s="267" t="n"/>
    </row>
    <row r="1010">
      <c r="I1010" s="267" t="n"/>
      <c r="J1010" s="267" t="n"/>
      <c r="K1010" s="267" t="n"/>
      <c r="L1010" s="267" t="n"/>
      <c r="M1010" s="267" t="n"/>
      <c r="N1010" s="267" t="n"/>
    </row>
    <row r="1011">
      <c r="I1011" s="267" t="n"/>
      <c r="J1011" s="267" t="n"/>
      <c r="K1011" s="267" t="n"/>
      <c r="L1011" s="267" t="n"/>
      <c r="M1011" s="267" t="n"/>
      <c r="N1011" s="267" t="n"/>
    </row>
    <row r="1012">
      <c r="I1012" s="267" t="n"/>
      <c r="J1012" s="267" t="n"/>
      <c r="K1012" s="267" t="n"/>
      <c r="L1012" s="267" t="n"/>
      <c r="M1012" s="267" t="n"/>
      <c r="N1012" s="267" t="n"/>
    </row>
    <row r="1013">
      <c r="I1013" s="267" t="n"/>
      <c r="J1013" s="267" t="n"/>
      <c r="K1013" s="267" t="n"/>
      <c r="L1013" s="267" t="n"/>
      <c r="M1013" s="267" t="n"/>
      <c r="N1013" s="267" t="n"/>
    </row>
    <row r="1014">
      <c r="I1014" s="267" t="n"/>
      <c r="J1014" s="267" t="n"/>
      <c r="K1014" s="267" t="n"/>
      <c r="L1014" s="267" t="n"/>
      <c r="M1014" s="267" t="n"/>
      <c r="N1014" s="267" t="n"/>
    </row>
    <row r="1015">
      <c r="I1015" s="267" t="n"/>
      <c r="J1015" s="267" t="n"/>
      <c r="K1015" s="267" t="n"/>
      <c r="L1015" s="267" t="n"/>
      <c r="M1015" s="267" t="n"/>
      <c r="N1015" s="267" t="n"/>
    </row>
    <row r="1016">
      <c r="I1016" s="267" t="n"/>
      <c r="J1016" s="267" t="n"/>
      <c r="K1016" s="267" t="n"/>
      <c r="L1016" s="267" t="n"/>
      <c r="M1016" s="267" t="n"/>
      <c r="N1016" s="267" t="n"/>
    </row>
    <row r="1017">
      <c r="I1017" s="267" t="n"/>
      <c r="J1017" s="267" t="n"/>
      <c r="K1017" s="267" t="n"/>
      <c r="L1017" s="267" t="n"/>
      <c r="M1017" s="267" t="n"/>
      <c r="N1017" s="267" t="n"/>
    </row>
    <row r="1018">
      <c r="I1018" s="267" t="n"/>
      <c r="J1018" s="267" t="n"/>
      <c r="K1018" s="267" t="n"/>
      <c r="L1018" s="267" t="n"/>
      <c r="M1018" s="267" t="n"/>
      <c r="N1018" s="267" t="n"/>
    </row>
    <row r="1019">
      <c r="I1019" s="267" t="n"/>
      <c r="J1019" s="267" t="n"/>
      <c r="K1019" s="267" t="n"/>
      <c r="L1019" s="267" t="n"/>
      <c r="M1019" s="267" t="n"/>
      <c r="N1019" s="267" t="n"/>
    </row>
    <row r="1020">
      <c r="I1020" s="267" t="n"/>
      <c r="J1020" s="267" t="n"/>
      <c r="K1020" s="267" t="n"/>
      <c r="L1020" s="267" t="n"/>
      <c r="M1020" s="267" t="n"/>
      <c r="N1020" s="267" t="n"/>
    </row>
    <row r="1021">
      <c r="I1021" s="267" t="n"/>
      <c r="J1021" s="267" t="n"/>
      <c r="K1021" s="267" t="n"/>
      <c r="L1021" s="267" t="n"/>
      <c r="M1021" s="267" t="n"/>
      <c r="N1021" s="267" t="n"/>
    </row>
    <row r="1022">
      <c r="I1022" s="267" t="n"/>
      <c r="J1022" s="267" t="n"/>
      <c r="K1022" s="267" t="n"/>
      <c r="L1022" s="267" t="n"/>
      <c r="M1022" s="267" t="n"/>
      <c r="N1022" s="267" t="n"/>
    </row>
    <row r="1023">
      <c r="I1023" s="267" t="n"/>
      <c r="J1023" s="267" t="n"/>
      <c r="K1023" s="267" t="n"/>
      <c r="L1023" s="267" t="n"/>
      <c r="M1023" s="267" t="n"/>
      <c r="N1023" s="267" t="n"/>
    </row>
    <row r="1024">
      <c r="I1024" s="267" t="n"/>
      <c r="J1024" s="267" t="n"/>
      <c r="K1024" s="267" t="n"/>
      <c r="L1024" s="267" t="n"/>
      <c r="M1024" s="267" t="n"/>
      <c r="N1024" s="267" t="n"/>
    </row>
    <row r="1025">
      <c r="I1025" s="267" t="n"/>
      <c r="J1025" s="267" t="n"/>
      <c r="K1025" s="267" t="n"/>
      <c r="L1025" s="267" t="n"/>
      <c r="M1025" s="267" t="n"/>
      <c r="N1025" s="267" t="n"/>
    </row>
    <row r="1026">
      <c r="I1026" s="267" t="n"/>
      <c r="J1026" s="267" t="n"/>
      <c r="K1026" s="267" t="n"/>
      <c r="L1026" s="267" t="n"/>
      <c r="M1026" s="267" t="n"/>
      <c r="N1026" s="267" t="n"/>
    </row>
    <row r="1027">
      <c r="I1027" s="267" t="n"/>
      <c r="J1027" s="267" t="n"/>
      <c r="K1027" s="267" t="n"/>
      <c r="L1027" s="267" t="n"/>
      <c r="M1027" s="267" t="n"/>
      <c r="N1027" s="267" t="n"/>
    </row>
    <row r="1028">
      <c r="I1028" s="267" t="n"/>
      <c r="J1028" s="267" t="n"/>
      <c r="K1028" s="267" t="n"/>
      <c r="L1028" s="267" t="n"/>
      <c r="M1028" s="267" t="n"/>
      <c r="N1028" s="267" t="n"/>
    </row>
    <row r="1029">
      <c r="I1029" s="267" t="n"/>
      <c r="J1029" s="267" t="n"/>
      <c r="K1029" s="267" t="n"/>
      <c r="L1029" s="267" t="n"/>
      <c r="M1029" s="267" t="n"/>
      <c r="N1029" s="267" t="n"/>
    </row>
    <row r="1030">
      <c r="I1030" s="267" t="n"/>
      <c r="J1030" s="267" t="n"/>
      <c r="K1030" s="267" t="n"/>
      <c r="L1030" s="267" t="n"/>
      <c r="M1030" s="267" t="n"/>
      <c r="N1030" s="267" t="n"/>
    </row>
    <row r="1031">
      <c r="I1031" s="267" t="n"/>
      <c r="J1031" s="267" t="n"/>
      <c r="K1031" s="267" t="n"/>
      <c r="L1031" s="267" t="n"/>
      <c r="M1031" s="267" t="n"/>
      <c r="N1031" s="267" t="n"/>
    </row>
    <row r="1032">
      <c r="I1032" s="267" t="n"/>
      <c r="J1032" s="267" t="n"/>
      <c r="K1032" s="267" t="n"/>
      <c r="L1032" s="267" t="n"/>
      <c r="M1032" s="267" t="n"/>
      <c r="N1032" s="267" t="n"/>
    </row>
    <row r="1033">
      <c r="I1033" s="267" t="n"/>
      <c r="J1033" s="267" t="n"/>
      <c r="K1033" s="267" t="n"/>
      <c r="L1033" s="267" t="n"/>
      <c r="M1033" s="267" t="n"/>
      <c r="N1033" s="267" t="n"/>
    </row>
    <row r="1034">
      <c r="I1034" s="267" t="n"/>
      <c r="J1034" s="267" t="n"/>
      <c r="K1034" s="267" t="n"/>
      <c r="L1034" s="267" t="n"/>
      <c r="M1034" s="267" t="n"/>
      <c r="N1034" s="267" t="n"/>
    </row>
    <row r="1035">
      <c r="I1035" s="267" t="n"/>
      <c r="J1035" s="267" t="n"/>
      <c r="K1035" s="267" t="n"/>
      <c r="L1035" s="267" t="n"/>
      <c r="M1035" s="267" t="n"/>
      <c r="N1035" s="267" t="n"/>
    </row>
    <row r="1036">
      <c r="I1036" s="267" t="n"/>
      <c r="J1036" s="267" t="n"/>
      <c r="K1036" s="267" t="n"/>
      <c r="L1036" s="267" t="n"/>
      <c r="M1036" s="267" t="n"/>
      <c r="N1036" s="267" t="n"/>
    </row>
    <row r="1037">
      <c r="I1037" s="267" t="n"/>
      <c r="J1037" s="267" t="n"/>
      <c r="K1037" s="267" t="n"/>
      <c r="L1037" s="267" t="n"/>
      <c r="M1037" s="267" t="n"/>
      <c r="N1037" s="267" t="n"/>
    </row>
    <row r="1038">
      <c r="I1038" s="267" t="n"/>
      <c r="J1038" s="267" t="n"/>
      <c r="K1038" s="267" t="n"/>
      <c r="L1038" s="267" t="n"/>
      <c r="M1038" s="267" t="n"/>
      <c r="N1038" s="267" t="n"/>
    </row>
    <row r="1039">
      <c r="I1039" s="267" t="n"/>
      <c r="J1039" s="267" t="n"/>
      <c r="K1039" s="267" t="n"/>
      <c r="L1039" s="267" t="n"/>
      <c r="M1039" s="267" t="n"/>
      <c r="N1039" s="267" t="n"/>
    </row>
    <row r="1040">
      <c r="I1040" s="267" t="n"/>
      <c r="J1040" s="267" t="n"/>
      <c r="K1040" s="267" t="n"/>
      <c r="L1040" s="267" t="n"/>
      <c r="M1040" s="267" t="n"/>
      <c r="N1040" s="267" t="n"/>
    </row>
    <row r="1041">
      <c r="I1041" s="267" t="n"/>
      <c r="J1041" s="267" t="n"/>
      <c r="K1041" s="267" t="n"/>
      <c r="L1041" s="267" t="n"/>
      <c r="M1041" s="267" t="n"/>
      <c r="N1041" s="267" t="n"/>
    </row>
    <row r="1042">
      <c r="I1042" s="267" t="n"/>
      <c r="J1042" s="267" t="n"/>
      <c r="K1042" s="267" t="n"/>
      <c r="L1042" s="267" t="n"/>
      <c r="M1042" s="267" t="n"/>
      <c r="N1042" s="267" t="n"/>
    </row>
    <row r="1043">
      <c r="I1043" s="267" t="n"/>
      <c r="J1043" s="267" t="n"/>
      <c r="K1043" s="267" t="n"/>
      <c r="L1043" s="267" t="n"/>
      <c r="M1043" s="267" t="n"/>
      <c r="N1043" s="267" t="n"/>
    </row>
    <row r="1044">
      <c r="I1044" s="267" t="n"/>
      <c r="J1044" s="267" t="n"/>
      <c r="K1044" s="267" t="n"/>
      <c r="L1044" s="267" t="n"/>
      <c r="M1044" s="267" t="n"/>
      <c r="N1044" s="267" t="n"/>
    </row>
    <row r="1045">
      <c r="I1045" s="267" t="n"/>
      <c r="J1045" s="267" t="n"/>
      <c r="K1045" s="267" t="n"/>
      <c r="L1045" s="267" t="n"/>
      <c r="M1045" s="267" t="n"/>
      <c r="N1045" s="267" t="n"/>
    </row>
    <row r="1046">
      <c r="I1046" s="267" t="n"/>
      <c r="J1046" s="267" t="n"/>
      <c r="K1046" s="267" t="n"/>
      <c r="L1046" s="267" t="n"/>
      <c r="M1046" s="267" t="n"/>
      <c r="N1046" s="267" t="n"/>
    </row>
    <row r="1047">
      <c r="I1047" s="267" t="n"/>
      <c r="J1047" s="267" t="n"/>
      <c r="K1047" s="267" t="n"/>
      <c r="L1047" s="267" t="n"/>
      <c r="M1047" s="267" t="n"/>
      <c r="N1047" s="267" t="n"/>
    </row>
    <row r="1048">
      <c r="I1048" s="267" t="n"/>
      <c r="J1048" s="267" t="n"/>
      <c r="K1048" s="267" t="n"/>
      <c r="L1048" s="267" t="n"/>
      <c r="M1048" s="267" t="n"/>
      <c r="N1048" s="267" t="n"/>
    </row>
    <row r="1049">
      <c r="I1049" s="267" t="n"/>
      <c r="J1049" s="267" t="n"/>
      <c r="K1049" s="267" t="n"/>
      <c r="L1049" s="267" t="n"/>
      <c r="M1049" s="267" t="n"/>
      <c r="N1049" s="267" t="n"/>
    </row>
    <row r="1050">
      <c r="I1050" s="267" t="n"/>
      <c r="J1050" s="267" t="n"/>
      <c r="K1050" s="267" t="n"/>
      <c r="L1050" s="267" t="n"/>
      <c r="M1050" s="267" t="n"/>
      <c r="N1050" s="267" t="n"/>
    </row>
    <row r="1051">
      <c r="I1051" s="267" t="n"/>
      <c r="J1051" s="267" t="n"/>
      <c r="K1051" s="267" t="n"/>
      <c r="L1051" s="267" t="n"/>
      <c r="M1051" s="267" t="n"/>
      <c r="N1051" s="267" t="n"/>
    </row>
    <row r="1052">
      <c r="I1052" s="267" t="n"/>
      <c r="J1052" s="267" t="n"/>
      <c r="K1052" s="267" t="n"/>
      <c r="L1052" s="267" t="n"/>
      <c r="M1052" s="267" t="n"/>
      <c r="N1052" s="267" t="n"/>
    </row>
    <row r="1053">
      <c r="I1053" s="267" t="n"/>
      <c r="J1053" s="267" t="n"/>
      <c r="K1053" s="267" t="n"/>
      <c r="L1053" s="267" t="n"/>
      <c r="M1053" s="267" t="n"/>
      <c r="N1053" s="267" t="n"/>
    </row>
    <row r="1054">
      <c r="I1054" s="267" t="n"/>
      <c r="J1054" s="267" t="n"/>
      <c r="K1054" s="267" t="n"/>
      <c r="L1054" s="267" t="n"/>
      <c r="M1054" s="267" t="n"/>
      <c r="N1054" s="267" t="n"/>
    </row>
  </sheetData>
  <autoFilter ref="A12:W158">
    <filterColumn colId="20" hiddenButton="0" showButton="1">
      <filters>
        <filter val="IMAGEN"/>
      </filters>
    </filterColumn>
  </autoFilter>
  <mergeCells count="24">
    <mergeCell ref="G12:H12"/>
    <mergeCell ref="B12:B13"/>
    <mergeCell ref="F12:F13"/>
    <mergeCell ref="L12:L13"/>
    <mergeCell ref="N12:N13"/>
    <mergeCell ref="A11:W11"/>
    <mergeCell ref="R12:R13"/>
    <mergeCell ref="A12:A13"/>
    <mergeCell ref="C12:C13"/>
    <mergeCell ref="T12:T13"/>
    <mergeCell ref="M12:M13"/>
    <mergeCell ref="O12:O13"/>
    <mergeCell ref="D12:D13"/>
    <mergeCell ref="U12:U13"/>
    <mergeCell ref="O8:Q8"/>
    <mergeCell ref="W12:W13"/>
    <mergeCell ref="Q157:Q158"/>
    <mergeCell ref="M163:M164"/>
    <mergeCell ref="V12:V13"/>
    <mergeCell ref="K157:K158"/>
    <mergeCell ref="E12:E13"/>
    <mergeCell ref="S12:S13"/>
    <mergeCell ref="A10:W10"/>
    <mergeCell ref="G158:H158"/>
  </mergeCells>
  <printOptions horizontalCentered="1" verticalCentered="1"/>
  <pageMargins left="0.3937007874015748" right="0.3937007874015748" top="0.3937007874015748" bottom="0.3937007874015748" header="0" footer="0"/>
  <pageSetup orientation="portrait" scale="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 Guadalupe Romero Najera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2026-10-12T20:31:43Z</dcterms:modified>
  <cp:lastModifiedBy>Biomédica  Comercial</cp:lastModifiedBy>
</cp:coreProperties>
</file>