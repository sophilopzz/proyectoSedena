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4" autoFilterDateGrouping="1"/>
  </bookViews>
  <sheets>
    <sheet xmlns:r="http://schemas.openxmlformats.org/officeDocument/2006/relationships" name="Universo de Equipos" sheetId="1" state="visible" r:id="rId1"/>
    <sheet xmlns:r="http://schemas.openxmlformats.org/officeDocument/2006/relationships" name="Directorio de Hospitales" sheetId="2" state="visible" r:id="rId2"/>
    <sheet xmlns:r="http://schemas.openxmlformats.org/officeDocument/2006/relationships" name="Asignación por Ingeniero" sheetId="3" state="visible" r:id="rId3"/>
    <sheet xmlns:r="http://schemas.openxmlformats.org/officeDocument/2006/relationships" name="Calendario Operativo" sheetId="4" state="visible" r:id="rId4"/>
    <sheet xmlns:r="http://schemas.openxmlformats.org/officeDocument/2006/relationships" name="Programación" sheetId="5" state="visible" r:id="rId5"/>
    <sheet xmlns:r="http://schemas.openxmlformats.org/officeDocument/2006/relationships" name="PARTIDAS A PARTICIPAR  FILTRADA" sheetId="6" state="visible" r:id="rId6"/>
    <sheet xmlns:r="http://schemas.openxmlformats.org/officeDocument/2006/relationships" name="PARTIDAS FALLADAS" sheetId="7" state="visible" r:id="rId7"/>
    <sheet xmlns:r="http://schemas.openxmlformats.org/officeDocument/2006/relationships" name="PARTIDAS ADJUDICADAS" sheetId="8" state="visible" r:id="rId8"/>
  </sheets>
  <definedNames>
    <definedName name="_xlnm._FilterDatabase" localSheetId="0" hidden="1">'Universo de Equipos'!$A$3:$N$147</definedName>
    <definedName name="_xlnm._FilterDatabase" localSheetId="1" hidden="1">'Directorio de Hospitales'!$A$3:$H$40</definedName>
    <definedName name="_xlnm._FilterDatabase" localSheetId="2" hidden="1">'Asignación por Ingeniero'!$A$17:$P$160</definedName>
    <definedName name="_xlnm._FilterDatabase" localSheetId="4" hidden="1">'Programación'!$A$4:$M$147</definedName>
    <definedName name="_xlnm._FilterDatabase" localSheetId="5" hidden="1">'PARTIDAS A PARTICIPAR  FILTRADA'!$V$12:$X$178</definedName>
    <definedName name="_xlnm.Print_Area" localSheetId="5">'PARTIDAS A PARTICIPAR  FILTRADA'!$A$1:$Z$190</definedName>
    <definedName name="_xlnm._FilterDatabase" localSheetId="6" hidden="1">'PARTIDAS FALLADAS'!$A$12:$Y$178</definedName>
    <definedName name="_xlnm._FilterDatabase" localSheetId="7" hidden="1">'PARTIDAS ADJUDICADAS'!$A$12:$W$158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%"/>
    <numFmt numFmtId="166" formatCode="_-* #,##0_-;\-* #,##0_-;_-* &quot;-&quot;??_-;_-@_-"/>
  </numFmts>
  <fonts count="5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ova"/>
      <family val="2"/>
      <b val="1"/>
      <color theme="1"/>
      <sz val="12"/>
    </font>
    <font>
      <name val="Arial Nova"/>
      <family val="2"/>
      <color theme="1"/>
      <sz val="12"/>
    </font>
    <font>
      <name val="Arial Nova"/>
      <family val="2"/>
      <color theme="0"/>
      <sz val="12"/>
    </font>
    <font>
      <name val="Arial Nova"/>
      <family val="2"/>
      <b val="1"/>
      <color rgb="FF000000"/>
      <sz val="12"/>
    </font>
    <font>
      <name val="Arial Nova"/>
      <family val="2"/>
      <color rgb="FF000000"/>
      <sz val="12"/>
    </font>
    <font>
      <name val="Arial Nova"/>
      <family val="2"/>
      <sz val="12"/>
    </font>
    <font>
      <name val="Arial Nova"/>
      <family val="2"/>
      <color indexed="8"/>
      <sz val="12"/>
    </font>
    <font>
      <name val="Arial Nova"/>
      <family val="2"/>
      <b val="1"/>
      <color rgb="FF000000"/>
      <sz val="20"/>
      <u val="single"/>
    </font>
    <font>
      <name val="Arial Nova"/>
      <b val="1"/>
      <color rgb="FF000000"/>
      <sz val="12"/>
    </font>
    <font>
      <name val="Arial Nova"/>
      <sz val="12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0F172A"/>
      <sz val="9"/>
    </font>
    <font>
      <name val="Calibri"/>
      <family val="2"/>
      <b val="1"/>
      <sz val="14"/>
      <scheme val="minor"/>
    </font>
    <font>
      <name val="Arial Nova"/>
      <family val="2"/>
      <b val="1"/>
      <color theme="1"/>
      <sz val="14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b val="1"/>
      <color rgb="FF475569"/>
      <sz val="8.5"/>
    </font>
    <font>
      <name val="Calibri"/>
      <b val="1"/>
      <color rgb="FF1B365D"/>
      <sz val="13.5"/>
    </font>
    <font>
      <name val="Calibri"/>
      <color rgb="FF64748B"/>
      <sz val="8"/>
    </font>
    <font>
      <name val="Calibri"/>
      <b val="1"/>
      <color rgb="FF0F766E"/>
      <sz val="13.5"/>
    </font>
    <font>
      <name val="Calibri"/>
      <b val="1"/>
      <color rgb="FF1E3A8A"/>
      <sz val="13.5"/>
    </font>
    <font>
      <name val="Calibri"/>
      <b val="1"/>
      <color rgb="FF334155"/>
      <sz val="13.5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D4AF37"/>
      <sz val="11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1B365D"/>
      <sz val="11"/>
    </font>
  </fonts>
  <fills count="6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1909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CFDF5"/>
        <bgColor rgb="FFECFDF5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F0FDF4"/>
        <bgColor rgb="FFF0FDF4"/>
      </patternFill>
    </fill>
    <fill>
      <patternFill patternType="solid">
        <fgColor rgb="FFE2E8F0"/>
        <bgColor rgb="FFE2E8F0"/>
      </patternFill>
    </fill>
    <fill>
      <patternFill patternType="solid">
        <fgColor rgb="FFFFFF00"/>
        <bgColor rgb="FFF0FDF4"/>
      </patternFill>
    </fill>
    <fill>
      <patternFill patternType="solid">
        <fgColor theme="7" tint="0.3999755851924192"/>
        <bgColor rgb="FFF8FAFC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7" tint="0.3999755851924192"/>
        <bgColor rgb="FFF0FDF4"/>
      </patternFill>
    </fill>
    <fill>
      <patternFill patternType="solid">
        <fgColor rgb="FFFFFF00"/>
        <bgColor rgb="FFF8FAFC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66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8FAFC"/>
      </patternFill>
    </fill>
    <fill>
      <patternFill patternType="solid">
        <fgColor rgb="FFFF0000"/>
        <bgColor rgb="FFFFFFFF"/>
      </patternFill>
    </fill>
    <fill>
      <patternFill patternType="solid">
        <fgColor theme="4" tint="0.3999755851924192"/>
        <bgColor rgb="FFF8FAFC"/>
      </patternFill>
    </fill>
    <fill>
      <patternFill patternType="solid">
        <fgColor rgb="FF7030A0"/>
        <bgColor rgb="FFFFFFFF"/>
      </patternFill>
    </fill>
    <fill>
      <patternFill patternType="solid">
        <fgColor rgb="FFFF0000"/>
        <bgColor rgb="FFF0FDF4"/>
      </patternFill>
    </fill>
    <fill>
      <patternFill patternType="solid">
        <fgColor rgb="FFA50021"/>
        <bgColor rgb="FFF0FDF4"/>
      </patternFill>
    </fill>
    <fill>
      <patternFill patternType="solid">
        <fgColor theme="4" tint="0.3999755851924192"/>
        <bgColor rgb="FFF0FDF4"/>
      </patternFill>
    </fill>
    <fill>
      <patternFill patternType="solid">
        <fgColor theme="9" tint="0.3999755851924192"/>
        <bgColor rgb="FFF0FDF4"/>
      </patternFill>
    </fill>
    <fill>
      <patternFill patternType="solid">
        <fgColor rgb="FFA500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0A192F"/>
        <bgColor rgb="FF0A192F"/>
      </patternFill>
    </fill>
    <fill>
      <patternFill patternType="solid">
        <fgColor rgb="FFFFF8DC"/>
        <bgColor rgb="FFFFF8DC"/>
      </patternFill>
    </fill>
    <fill>
      <patternFill patternType="solid">
        <fgColor rgb="00FFF8DC"/>
        <bgColor rgb="00FFF8DC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double">
        <color rgb="FF0F172A"/>
      </bottom>
      <diagonal/>
    </border>
    <border>
      <left/>
      <right/>
      <top/>
      <bottom style="double">
        <color rgb="FF0F172A"/>
      </bottom>
      <diagonal/>
    </border>
    <border>
      <left/>
      <right style="thin">
        <color rgb="FFCBD5E1"/>
      </right>
      <top/>
      <bottom style="double">
        <color rgb="FF0F172A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475569"/>
      </top>
      <bottom style="double">
        <color rgb="FF0F172A"/>
      </bottom>
      <diagonal/>
    </border>
    <border>
      <left/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/>
      <diagonal/>
    </border>
    <border>
      <left/>
      <right/>
      <top style="thin">
        <color rgb="FF475569"/>
      </top>
      <bottom/>
      <diagonal/>
    </border>
    <border>
      <left/>
      <right style="thin">
        <color rgb="FFCBD5E1"/>
      </right>
      <top style="thin">
        <color rgb="FF475569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21"/>
    <xf numFmtId="43" fontId="1" fillId="0" borderId="21"/>
    <xf numFmtId="9" fontId="1" fillId="0" borderId="21"/>
  </cellStyleXfs>
  <cellXfs count="30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2" borderId="1" applyAlignment="1" pivotButton="0" quotePrefix="0" xfId="0">
      <alignment vertical="top" wrapText="1"/>
    </xf>
    <xf numFmtId="49" fontId="5" fillId="2" borderId="2" applyAlignment="1" pivotButton="0" quotePrefix="0" xfId="0">
      <alignment vertical="top" wrapText="1"/>
    </xf>
    <xf numFmtId="49" fontId="5" fillId="2" borderId="2" applyAlignment="1" pivotButton="0" quotePrefix="0" xfId="0">
      <alignment horizontal="center" vertical="top" wrapText="1"/>
    </xf>
    <xf numFmtId="49" fontId="3" fillId="0" borderId="0" applyAlignment="1" pivotButton="0" quotePrefix="0" xfId="0">
      <alignment vertical="top"/>
    </xf>
    <xf numFmtId="49" fontId="3" fillId="0" borderId="0" applyAlignment="1" pivotButton="0" quotePrefix="0" xfId="0">
      <alignment vertical="center"/>
    </xf>
    <xf numFmtId="49" fontId="5" fillId="2" borderId="4" applyAlignment="1" pivotButton="0" quotePrefix="0" xfId="0">
      <alignment horizontal="center" wrapText="1"/>
    </xf>
    <xf numFmtId="49" fontId="5" fillId="2" borderId="5" applyAlignment="1" pivotButton="0" quotePrefix="0" xfId="0">
      <alignment horizontal="center" wrapText="1"/>
    </xf>
    <xf numFmtId="49" fontId="5" fillId="2" borderId="6" applyAlignment="1" pivotButton="0" quotePrefix="0" xfId="0">
      <alignment horizontal="center" wrapText="1"/>
    </xf>
    <xf numFmtId="49" fontId="5" fillId="2" borderId="7" applyAlignment="1" pivotButton="0" quotePrefix="0" xfId="0">
      <alignment horizontal="center" wrapText="1"/>
    </xf>
    <xf numFmtId="49" fontId="2" fillId="0" borderId="0" applyAlignment="1" pivotButton="0" quotePrefix="0" xfId="0">
      <alignment horizontal="center"/>
    </xf>
    <xf numFmtId="49" fontId="5" fillId="2" borderId="5" applyAlignment="1" pivotButton="0" quotePrefix="0" xfId="0">
      <alignment horizontal="center" vertical="distributed" wrapText="1"/>
    </xf>
    <xf numFmtId="49" fontId="5" fillId="2" borderId="5" applyAlignment="1" pivotButton="0" quotePrefix="0" xfId="0">
      <alignment vertical="center" wrapText="1"/>
    </xf>
    <xf numFmtId="49" fontId="5" fillId="2" borderId="4" applyAlignment="1" pivotButton="0" quotePrefix="0" xfId="0">
      <alignment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49" fontId="5" fillId="2" borderId="7" applyAlignment="1" pivotButton="0" quotePrefix="0" xfId="0">
      <alignment vertical="center" wrapText="1"/>
    </xf>
    <xf numFmtId="49" fontId="5" fillId="2" borderId="9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/>
    </xf>
    <xf numFmtId="0" fontId="6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1" xfId="0">
      <alignment horizontal="left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1" xfId="0">
      <alignment horizontal="left" vertical="center"/>
    </xf>
    <xf numFmtId="0" fontId="6" fillId="5" borderId="8" applyAlignment="1" pivotButton="0" quotePrefix="0" xfId="0">
      <alignment horizontal="center" vertical="center" wrapText="1"/>
    </xf>
    <xf numFmtId="0" fontId="6" fillId="5" borderId="8" applyAlignment="1" pivotButton="0" quotePrefix="0" xfId="0">
      <alignment horizontal="justify" vertical="center" wrapText="1"/>
    </xf>
    <xf numFmtId="49" fontId="5" fillId="5" borderId="3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49" fontId="5" fillId="5" borderId="8" applyAlignment="1" pivotButton="0" quotePrefix="0" xfId="0">
      <alignment horizontal="left" vertical="center" wrapText="1"/>
    </xf>
    <xf numFmtId="49" fontId="5" fillId="5" borderId="8" applyAlignment="1" pivotButton="0" quotePrefix="0" xfId="0">
      <alignment horizontal="center" vertical="center" wrapText="1"/>
    </xf>
    <xf numFmtId="49" fontId="5" fillId="5" borderId="9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 wrapText="1"/>
    </xf>
    <xf numFmtId="49" fontId="5" fillId="7" borderId="3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/>
    </xf>
    <xf numFmtId="49" fontId="7" fillId="7" borderId="8" applyAlignment="1" pivotButton="0" quotePrefix="0" xfId="0">
      <alignment horizontal="center" vertical="center"/>
    </xf>
    <xf numFmtId="49" fontId="5" fillId="7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49" fontId="5" fillId="7" borderId="8" applyAlignment="1" pivotButton="0" quotePrefix="0" xfId="0">
      <alignment horizontal="left" vertical="center" wrapText="1"/>
    </xf>
    <xf numFmtId="49" fontId="5" fillId="7" borderId="9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justify" vertical="center" wrapText="1"/>
    </xf>
    <xf numFmtId="0" fontId="5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/>
    </xf>
    <xf numFmtId="0" fontId="3" fillId="7" borderId="8" applyAlignment="1" pivotButton="0" quotePrefix="0" xfId="0">
      <alignment horizontal="center" vertical="center"/>
    </xf>
    <xf numFmtId="0" fontId="3" fillId="8" borderId="0" applyAlignment="1" pivotButton="0" quotePrefix="0" xfId="0">
      <alignment vertical="center"/>
    </xf>
    <xf numFmtId="164" fontId="5" fillId="9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top"/>
    </xf>
    <xf numFmtId="0" fontId="3" fillId="5" borderId="8" applyAlignment="1" pivotButton="0" quotePrefix="0" xfId="0">
      <alignment horizontal="center" vertical="center"/>
    </xf>
    <xf numFmtId="49" fontId="2" fillId="0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wrapText="1"/>
    </xf>
    <xf numFmtId="1" fontId="11" fillId="0" borderId="13" applyAlignment="1" pivotButton="0" quotePrefix="0" xfId="0">
      <alignment horizontal="center" vertical="center"/>
    </xf>
    <xf numFmtId="1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left" vertical="center" wrapText="1"/>
    </xf>
    <xf numFmtId="49" fontId="9" fillId="6" borderId="8" applyAlignment="1" pivotButton="0" quotePrefix="0" xfId="0">
      <alignment horizontal="center" vertical="center" wrapText="1"/>
    </xf>
    <xf numFmtId="164" fontId="5" fillId="11" borderId="8" applyAlignment="1" pivotButton="0" quotePrefix="0" xfId="0">
      <alignment horizontal="center" vertical="center" wrapText="1"/>
    </xf>
    <xf numFmtId="49" fontId="5" fillId="11" borderId="8" applyAlignment="1" pivotButton="0" quotePrefix="0" xfId="0">
      <alignment horizontal="center" vertical="center" wrapText="1"/>
    </xf>
    <xf numFmtId="0" fontId="7" fillId="11" borderId="8" applyAlignment="1" pivotButton="0" quotePrefix="0" xfId="0">
      <alignment horizontal="center" vertical="center"/>
    </xf>
    <xf numFmtId="49" fontId="7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/>
    </xf>
    <xf numFmtId="49" fontId="2" fillId="11" borderId="8" applyAlignment="1" pivotButton="0" quotePrefix="0" xfId="0">
      <alignment horizontal="center" vertical="center" wrapText="1"/>
    </xf>
    <xf numFmtId="0" fontId="11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 wrapText="1"/>
    </xf>
    <xf numFmtId="0" fontId="3" fillId="11" borderId="8" applyAlignment="1" pivotButton="0" quotePrefix="0" xfId="0">
      <alignment horizontal="center" vertical="top"/>
    </xf>
    <xf numFmtId="0" fontId="6" fillId="11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/>
    </xf>
    <xf numFmtId="1" fontId="11" fillId="0" borderId="12" applyAlignment="1" pivotButton="0" quotePrefix="0" xfId="0">
      <alignment horizontal="center" vertical="center"/>
    </xf>
    <xf numFmtId="49" fontId="3" fillId="0" borderId="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left" vertical="center" wrapText="1"/>
    </xf>
    <xf numFmtId="1" fontId="11" fillId="0" borderId="12" applyAlignment="1" pivotButton="0" quotePrefix="0" xfId="0">
      <alignment horizontal="left" vertical="center" wrapText="1"/>
    </xf>
    <xf numFmtId="0" fontId="6" fillId="11" borderId="8" applyAlignment="1" pivotButton="0" quotePrefix="0" xfId="0">
      <alignment horizontal="left" vertical="center" wrapText="1"/>
    </xf>
    <xf numFmtId="0" fontId="3" fillId="11" borderId="8" applyAlignment="1" pivotButton="0" quotePrefix="0" xfId="0">
      <alignment horizontal="left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0" fontId="2" fillId="0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0" fontId="7" fillId="12" borderId="8" applyAlignment="1" pivotButton="0" quotePrefix="0" xfId="0">
      <alignment horizontal="center" vertical="center"/>
    </xf>
    <xf numFmtId="9" fontId="1" fillId="0" borderId="21" pivotButton="0" quotePrefix="0" xfId="2"/>
    <xf numFmtId="0" fontId="3" fillId="14" borderId="0" applyAlignment="1" pivotButton="0" quotePrefix="0" xfId="0">
      <alignment horizontal="center" vertical="center"/>
    </xf>
    <xf numFmtId="0" fontId="3" fillId="6" borderId="22" applyAlignment="1" pivotButton="0" quotePrefix="0" xfId="0">
      <alignment vertical="center"/>
    </xf>
    <xf numFmtId="164" fontId="3" fillId="6" borderId="23" applyAlignment="1" pivotButton="0" quotePrefix="0" xfId="0">
      <alignment vertical="center"/>
    </xf>
    <xf numFmtId="0" fontId="3" fillId="7" borderId="24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  <xf numFmtId="9" fontId="15" fillId="13" borderId="27" applyAlignment="1" pivotButton="0" quotePrefix="0" xfId="2">
      <alignment horizontal="center" vertical="center"/>
    </xf>
    <xf numFmtId="0" fontId="22" fillId="21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left" vertical="center" wrapText="1"/>
    </xf>
    <xf numFmtId="0" fontId="24" fillId="24" borderId="29" applyAlignment="1" pivotButton="0" quotePrefix="0" xfId="0">
      <alignment horizontal="center" vertical="center" wrapText="1"/>
    </xf>
    <xf numFmtId="0" fontId="24" fillId="24" borderId="29" applyAlignment="1" pivotButton="0" quotePrefix="0" xfId="0">
      <alignment horizontal="left" vertical="center" wrapText="1"/>
    </xf>
    <xf numFmtId="0" fontId="23" fillId="23" borderId="29" applyAlignment="1" pivotButton="0" quotePrefix="0" xfId="0">
      <alignment horizontal="center" vertical="center" wrapText="1"/>
    </xf>
    <xf numFmtId="0" fontId="23" fillId="23" borderId="29" applyAlignment="1" pivotButton="0" quotePrefix="0" xfId="0">
      <alignment horizontal="left" vertical="center" wrapText="1"/>
    </xf>
    <xf numFmtId="0" fontId="24" fillId="23" borderId="29" applyAlignment="1" pivotButton="0" quotePrefix="0" xfId="0">
      <alignment horizontal="center" vertical="center" wrapText="1"/>
    </xf>
    <xf numFmtId="0" fontId="24" fillId="23" borderId="29" applyAlignment="1" pivotButton="0" quotePrefix="0" xfId="0">
      <alignment horizontal="left" vertical="center" wrapText="1"/>
    </xf>
    <xf numFmtId="0" fontId="23" fillId="25" borderId="29" applyAlignment="1" pivotButton="0" quotePrefix="0" xfId="0">
      <alignment horizontal="center" vertical="center" wrapText="1"/>
    </xf>
    <xf numFmtId="0" fontId="23" fillId="25" borderId="29" applyAlignment="1" pivotButton="0" quotePrefix="0" xfId="0">
      <alignment horizontal="left" vertical="center" wrapText="1"/>
    </xf>
    <xf numFmtId="0" fontId="24" fillId="25" borderId="29" applyAlignment="1" pivotButton="0" quotePrefix="0" xfId="0">
      <alignment horizontal="center" vertical="center" wrapText="1"/>
    </xf>
    <xf numFmtId="0" fontId="24" fillId="25" borderId="29" applyAlignment="1" pivotButton="0" quotePrefix="0" xfId="0">
      <alignment horizontal="left" vertical="center" wrapText="1"/>
    </xf>
    <xf numFmtId="3" fontId="25" fillId="26" borderId="30" applyAlignment="1" pivotButton="0" quotePrefix="0" xfId="0">
      <alignment horizontal="center" vertical="center" wrapText="1"/>
    </xf>
    <xf numFmtId="0" fontId="19" fillId="15" borderId="31" applyAlignment="1" pivotButton="0" quotePrefix="0" xfId="0">
      <alignment horizontal="center" vertical="center" wrapText="1"/>
    </xf>
    <xf numFmtId="3" fontId="21" fillId="20" borderId="32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left" vertical="center" wrapText="1"/>
    </xf>
    <xf numFmtId="0" fontId="20" fillId="17" borderId="8" applyAlignment="1" pivotButton="0" quotePrefix="0" xfId="0">
      <alignment horizontal="center" vertical="center" wrapText="1"/>
    </xf>
    <xf numFmtId="0" fontId="20" fillId="17" borderId="8" applyAlignment="1" pivotButton="0" quotePrefix="0" xfId="0">
      <alignment horizontal="left" vertical="center" wrapText="1"/>
    </xf>
    <xf numFmtId="0" fontId="20" fillId="19" borderId="8" applyAlignment="1" pivotButton="0" quotePrefix="0" xfId="0">
      <alignment horizontal="center" vertical="center" wrapText="1"/>
    </xf>
    <xf numFmtId="0" fontId="20" fillId="19" borderId="8" applyAlignment="1" pivotButton="0" quotePrefix="0" xfId="0">
      <alignment horizontal="left" vertical="center" wrapText="1"/>
    </xf>
    <xf numFmtId="0" fontId="20" fillId="18" borderId="1" applyAlignment="1" pivotButton="0" quotePrefix="0" xfId="0">
      <alignment horizontal="center" vertical="center" wrapText="1"/>
    </xf>
    <xf numFmtId="0" fontId="20" fillId="18" borderId="35" applyAlignment="1" pivotButton="0" quotePrefix="0" xfId="0">
      <alignment horizontal="left" vertical="center" wrapText="1"/>
    </xf>
    <xf numFmtId="0" fontId="26" fillId="48" borderId="38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center" vertical="center" wrapText="1"/>
    </xf>
    <xf numFmtId="0" fontId="27" fillId="44" borderId="38" applyAlignment="1" pivotButton="0" quotePrefix="0" xfId="0">
      <alignment horizontal="center" vertical="center" wrapText="1"/>
    </xf>
    <xf numFmtId="0" fontId="27" fillId="51" borderId="38" applyAlignment="1" pivotButton="0" quotePrefix="0" xfId="0">
      <alignment horizontal="left" vertical="center" wrapText="1"/>
    </xf>
    <xf numFmtId="0" fontId="27" fillId="51" borderId="38" applyAlignment="1" pivotButton="0" quotePrefix="0" xfId="0">
      <alignment horizontal="center" vertical="center" wrapText="1"/>
    </xf>
    <xf numFmtId="165" fontId="28" fillId="51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center" vertical="center" wrapText="1"/>
    </xf>
    <xf numFmtId="0" fontId="29" fillId="34" borderId="38" applyAlignment="1" pivotButton="0" quotePrefix="0" xfId="0">
      <alignment horizontal="center" vertical="center" wrapText="1"/>
    </xf>
    <xf numFmtId="0" fontId="27" fillId="50" borderId="38" applyAlignment="1" pivotButton="0" quotePrefix="0" xfId="0">
      <alignment horizontal="left" vertical="center" wrapText="1"/>
    </xf>
    <xf numFmtId="0" fontId="27" fillId="50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27" fillId="46" borderId="38" applyAlignment="1" pivotButton="0" quotePrefix="0" xfId="0">
      <alignment horizontal="center" vertical="center" wrapText="1"/>
    </xf>
    <xf numFmtId="0" fontId="27" fillId="47" borderId="38" applyAlignment="1" pivotButton="0" quotePrefix="0" xfId="0">
      <alignment horizontal="center" vertical="center" wrapText="1"/>
    </xf>
    <xf numFmtId="0" fontId="27" fillId="3" borderId="38" applyAlignment="1" pivotButton="0" quotePrefix="0" xfId="0">
      <alignment horizontal="center" vertical="center" wrapText="1"/>
    </xf>
    <xf numFmtId="0" fontId="27" fillId="13" borderId="38" applyAlignment="1" pivotButton="0" quotePrefix="0" xfId="0">
      <alignment horizontal="center" vertical="center" wrapText="1"/>
    </xf>
    <xf numFmtId="0" fontId="29" fillId="45" borderId="38" applyAlignment="1" pivotButton="0" quotePrefix="0" xfId="0">
      <alignment horizontal="center" vertical="center" wrapText="1"/>
    </xf>
    <xf numFmtId="0" fontId="29" fillId="43" borderId="38" applyAlignment="1" pivotButton="0" quotePrefix="0" xfId="0">
      <alignment horizontal="center" vertical="center" wrapText="1"/>
    </xf>
    <xf numFmtId="0" fontId="30" fillId="52" borderId="39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left" vertical="center" wrapText="1"/>
    </xf>
    <xf numFmtId="0" fontId="27" fillId="33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left" vertical="center" wrapText="1"/>
    </xf>
    <xf numFmtId="0" fontId="29" fillId="36" borderId="38" applyAlignment="1" pivotButton="0" quotePrefix="0" xfId="0">
      <alignment horizontal="center" vertical="center" wrapText="1"/>
    </xf>
    <xf numFmtId="0" fontId="29" fillId="39" borderId="38" applyAlignment="1" pivotButton="0" quotePrefix="0" xfId="0">
      <alignment horizontal="center" vertical="center" wrapText="1"/>
    </xf>
    <xf numFmtId="0" fontId="29" fillId="35" borderId="38" applyAlignment="1" pivotButton="0" quotePrefix="0" xfId="0">
      <alignment horizontal="center" vertical="center" wrapText="1"/>
    </xf>
    <xf numFmtId="0" fontId="27" fillId="30" borderId="38" applyAlignment="1" pivotButton="0" quotePrefix="0" xfId="0">
      <alignment horizontal="center" vertical="center" wrapText="1"/>
    </xf>
    <xf numFmtId="0" fontId="27" fillId="29" borderId="38" applyAlignment="1" pivotButton="0" quotePrefix="0" xfId="0">
      <alignment horizontal="center" vertical="center" wrapText="1"/>
    </xf>
    <xf numFmtId="0" fontId="27" fillId="28" borderId="38" applyAlignment="1" pivotButton="0" quotePrefix="0" xfId="0">
      <alignment horizontal="center" vertical="center" wrapText="1"/>
    </xf>
    <xf numFmtId="0" fontId="27" fillId="37" borderId="38" applyAlignment="1" pivotButton="0" quotePrefix="0" xfId="0">
      <alignment horizontal="center" vertical="center" wrapText="1"/>
    </xf>
    <xf numFmtId="0" fontId="27" fillId="41" borderId="38" applyAlignment="1" pivotButton="0" quotePrefix="0" xfId="0">
      <alignment horizontal="center" vertical="center" wrapText="1"/>
    </xf>
    <xf numFmtId="0" fontId="27" fillId="27" borderId="38" applyAlignment="1" pivotButton="0" quotePrefix="0" xfId="0">
      <alignment horizontal="center" vertical="center" wrapText="1"/>
    </xf>
    <xf numFmtId="0" fontId="27" fillId="31" borderId="38" applyAlignment="1" pivotButton="0" quotePrefix="0" xfId="0">
      <alignment horizontal="center" vertical="center" wrapText="1"/>
    </xf>
    <xf numFmtId="0" fontId="27" fillId="42" borderId="38" applyAlignment="1" pivotButton="0" quotePrefix="0" xfId="0">
      <alignment horizontal="center" vertical="center" wrapText="1"/>
    </xf>
    <xf numFmtId="0" fontId="27" fillId="32" borderId="38" applyAlignment="1" pivotButton="0" quotePrefix="0" xfId="0">
      <alignment horizontal="center" vertical="center" wrapText="1"/>
    </xf>
    <xf numFmtId="0" fontId="29" fillId="38" borderId="38" applyAlignment="1" pivotButton="0" quotePrefix="0" xfId="0">
      <alignment horizontal="center" vertical="center" wrapText="1"/>
    </xf>
    <xf numFmtId="0" fontId="29" fillId="40" borderId="38" applyAlignment="1" pivotButton="0" quotePrefix="0" xfId="0">
      <alignment horizontal="center" vertical="center" wrapText="1"/>
    </xf>
    <xf numFmtId="3" fontId="30" fillId="52" borderId="39" applyAlignment="1" pivotButton="0" quotePrefix="0" xfId="0">
      <alignment horizontal="center" vertical="center" wrapText="1"/>
    </xf>
    <xf numFmtId="0" fontId="39" fillId="54" borderId="40" applyAlignment="1" pivotButton="0" quotePrefix="0" xfId="0">
      <alignment horizontal="center" vertical="center" wrapText="1"/>
    </xf>
    <xf numFmtId="0" fontId="41" fillId="57" borderId="40" applyAlignment="1" pivotButton="0" quotePrefix="0" xfId="0">
      <alignment horizontal="center" vertical="center" wrapText="1"/>
    </xf>
    <xf numFmtId="0" fontId="40" fillId="57" borderId="40" applyAlignment="1" pivotButton="0" quotePrefix="0" xfId="0">
      <alignment horizontal="center" vertical="center" wrapText="1"/>
    </xf>
    <xf numFmtId="0" fontId="41" fillId="56" borderId="40" applyAlignment="1" pivotButton="0" quotePrefix="0" xfId="0">
      <alignment horizontal="center" vertical="center" wrapText="1"/>
    </xf>
    <xf numFmtId="0" fontId="40" fillId="56" borderId="40" applyAlignment="1" pivotButton="0" quotePrefix="0" xfId="0">
      <alignment horizontal="center" vertical="center" wrapText="1"/>
    </xf>
    <xf numFmtId="0" fontId="42" fillId="58" borderId="41" applyAlignment="1" pivotButton="0" quotePrefix="0" xfId="0">
      <alignment horizontal="right" vertical="center"/>
    </xf>
    <xf numFmtId="0" fontId="42" fillId="58" borderId="41" applyAlignment="1" pivotButton="0" quotePrefix="0" xfId="0">
      <alignment horizontal="center" vertical="center" wrapText="1"/>
    </xf>
    <xf numFmtId="0" fontId="14" fillId="44" borderId="40" applyAlignment="1" pivotButton="0" quotePrefix="0" xfId="0">
      <alignment horizontal="left" vertical="center" wrapText="1"/>
    </xf>
    <xf numFmtId="0" fontId="29" fillId="34" borderId="40" applyAlignment="1" pivotButton="0" quotePrefix="0" xfId="0">
      <alignment horizontal="left" vertical="center" wrapText="1"/>
    </xf>
    <xf numFmtId="0" fontId="14" fillId="46" borderId="40" applyAlignment="1" pivotButton="0" quotePrefix="0" xfId="0">
      <alignment horizontal="left" vertical="center" wrapText="1"/>
    </xf>
    <xf numFmtId="0" fontId="14" fillId="47" borderId="40" applyAlignment="1" pivotButton="0" quotePrefix="0" xfId="0">
      <alignment horizontal="left" vertical="center" wrapText="1"/>
    </xf>
    <xf numFmtId="0" fontId="14" fillId="3" borderId="40" applyAlignment="1" pivotButton="0" quotePrefix="0" xfId="0">
      <alignment horizontal="left" vertical="center" wrapText="1"/>
    </xf>
    <xf numFmtId="0" fontId="14" fillId="13" borderId="40" applyAlignment="1" pivotButton="0" quotePrefix="0" xfId="0">
      <alignment horizontal="left" vertical="center" wrapText="1"/>
    </xf>
    <xf numFmtId="0" fontId="29" fillId="45" borderId="40" applyAlignment="1" pivotButton="0" quotePrefix="0" xfId="0">
      <alignment horizontal="left" vertical="center" wrapText="1"/>
    </xf>
    <xf numFmtId="0" fontId="29" fillId="43" borderId="40" applyAlignment="1" pivotButton="0" quotePrefix="0" xfId="0">
      <alignment horizontal="left" vertical="center" wrapText="1"/>
    </xf>
    <xf numFmtId="0" fontId="45" fillId="59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center" vertical="center" wrapText="1"/>
    </xf>
    <xf numFmtId="0" fontId="47" fillId="61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left" vertical="center" wrapText="1"/>
    </xf>
    <xf numFmtId="0" fontId="48" fillId="36" borderId="42" applyAlignment="1" pivotButton="0" quotePrefix="0" xfId="0">
      <alignment horizontal="left" vertical="center" wrapText="1"/>
    </xf>
    <xf numFmtId="0" fontId="46" fillId="62" borderId="42" applyAlignment="1" pivotButton="0" quotePrefix="0" xfId="0">
      <alignment horizontal="center" vertical="center" wrapText="1"/>
    </xf>
    <xf numFmtId="0" fontId="47" fillId="62" borderId="42" applyAlignment="1" pivotButton="0" quotePrefix="0" xfId="0">
      <alignment horizontal="center" vertical="center" wrapText="1"/>
    </xf>
    <xf numFmtId="0" fontId="46" fillId="62" borderId="42" applyAlignment="1" pivotButton="0" quotePrefix="0" xfId="0">
      <alignment horizontal="left" vertical="center" wrapText="1"/>
    </xf>
    <xf numFmtId="0" fontId="48" fillId="38" borderId="42" applyAlignment="1" pivotButton="0" quotePrefix="0" xfId="0">
      <alignment horizontal="left" vertical="center" wrapText="1"/>
    </xf>
    <xf numFmtId="0" fontId="47" fillId="33" borderId="42" applyAlignment="1" pivotButton="0" quotePrefix="0" xfId="0">
      <alignment horizontal="left" vertical="center" wrapText="1"/>
    </xf>
    <xf numFmtId="0" fontId="47" fillId="37" borderId="42" applyAlignment="1" pivotButton="0" quotePrefix="0" xfId="0">
      <alignment horizontal="left" vertical="center" wrapText="1"/>
    </xf>
    <xf numFmtId="0" fontId="47" fillId="27" borderId="42" applyAlignment="1" pivotButton="0" quotePrefix="0" xfId="0">
      <alignment horizontal="left" vertical="center" wrapText="1"/>
    </xf>
    <xf numFmtId="0" fontId="48" fillId="39" borderId="42" applyAlignment="1" pivotButton="0" quotePrefix="0" xfId="0">
      <alignment horizontal="left" vertical="center" wrapText="1"/>
    </xf>
    <xf numFmtId="0" fontId="47" fillId="42" borderId="42" applyAlignment="1" pivotButton="0" quotePrefix="0" xfId="0">
      <alignment horizontal="left" vertical="center" wrapText="1"/>
    </xf>
    <xf numFmtId="0" fontId="47" fillId="32" borderId="42" applyAlignment="1" pivotButton="0" quotePrefix="0" xfId="0">
      <alignment horizontal="left" vertical="center" wrapText="1"/>
    </xf>
    <xf numFmtId="0" fontId="47" fillId="28" borderId="42" applyAlignment="1" pivotButton="0" quotePrefix="0" xfId="0">
      <alignment horizontal="left" vertical="center" wrapText="1"/>
    </xf>
    <xf numFmtId="0" fontId="48" fillId="34" borderId="42" applyAlignment="1" pivotButton="0" quotePrefix="0" xfId="0">
      <alignment horizontal="left" vertical="center" wrapText="1"/>
    </xf>
    <xf numFmtId="0" fontId="48" fillId="40" borderId="42" applyAlignment="1" pivotButton="0" quotePrefix="0" xfId="0">
      <alignment horizontal="left" vertical="center" wrapText="1"/>
    </xf>
    <xf numFmtId="0" fontId="47" fillId="30" borderId="42" applyAlignment="1" pivotButton="0" quotePrefix="0" xfId="0">
      <alignment horizontal="left" vertical="center" wrapText="1"/>
    </xf>
    <xf numFmtId="0" fontId="47" fillId="29" borderId="42" applyAlignment="1" pivotButton="0" quotePrefix="0" xfId="0">
      <alignment horizontal="left" vertical="center" wrapText="1"/>
    </xf>
    <xf numFmtId="0" fontId="47" fillId="41" borderId="42" applyAlignment="1" pivotButton="0" quotePrefix="0" xfId="0">
      <alignment horizontal="left" vertical="center" wrapText="1"/>
    </xf>
    <xf numFmtId="0" fontId="48" fillId="35" borderId="42" applyAlignment="1" pivotButton="0" quotePrefix="0" xfId="0">
      <alignment horizontal="left" vertical="center" wrapText="1"/>
    </xf>
    <xf numFmtId="0" fontId="47" fillId="31" borderId="42" applyAlignment="1" pivotButton="0" quotePrefix="0" xfId="0">
      <alignment horizontal="left" vertical="center" wrapText="1"/>
    </xf>
    <xf numFmtId="3" fontId="49" fillId="63" borderId="43" applyAlignment="1" pivotButton="0" quotePrefix="0" xfId="0">
      <alignment horizontal="center" vertical="center" wrapText="1"/>
    </xf>
    <xf numFmtId="0" fontId="49" fillId="63" borderId="43" applyAlignment="1" pivotButton="0" quotePrefix="0" xfId="0">
      <alignment horizontal="center" vertical="center" wrapText="1"/>
    </xf>
    <xf numFmtId="0" fontId="24" fillId="0" borderId="29" applyAlignment="1" pivotButton="0" quotePrefix="0" xfId="0">
      <alignment horizontal="center" vertical="center" wrapText="1"/>
    </xf>
    <xf numFmtId="0" fontId="51" fillId="65" borderId="44" applyAlignment="1" pivotButton="0" quotePrefix="0" xfId="0">
      <alignment horizontal="center" vertical="center" wrapText="1"/>
    </xf>
    <xf numFmtId="0" fontId="52" fillId="0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center" vertical="center" wrapText="1"/>
    </xf>
    <xf numFmtId="0" fontId="52" fillId="66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left" vertical="center"/>
    </xf>
    <xf numFmtId="0" fontId="53" fillId="66" borderId="44" applyAlignment="1" pivotButton="0" quotePrefix="0" xfId="0">
      <alignment horizontal="center" vertical="center" wrapText="1"/>
    </xf>
    <xf numFmtId="0" fontId="21" fillId="63" borderId="43" applyAlignment="1" pivotButton="0" quotePrefix="0" xfId="0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0" fontId="44" fillId="6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43" fillId="59" borderId="21" applyAlignment="1" pivotButton="0" quotePrefix="0" xfId="0">
      <alignment horizontal="center" vertical="center" wrapText="1"/>
    </xf>
    <xf numFmtId="0" fontId="21" fillId="20" borderId="32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4" pivotButton="0" quotePrefix="0" xfId="0"/>
    <xf numFmtId="0" fontId="18" fillId="16" borderId="21" applyAlignment="1" pivotButton="0" quotePrefix="0" xfId="0">
      <alignment horizontal="center" vertical="center" wrapText="1"/>
    </xf>
    <xf numFmtId="0" fontId="17" fillId="15" borderId="21" applyAlignment="1" pivotButton="0" quotePrefix="0" xfId="0">
      <alignment horizontal="center" vertical="center" wrapText="1"/>
    </xf>
    <xf numFmtId="0" fontId="25" fillId="26" borderId="43" applyAlignment="1" pivotButton="0" quotePrefix="0" xfId="0">
      <alignment horizontal="right" vertical="center"/>
    </xf>
    <xf numFmtId="0" fontId="18" fillId="22" borderId="21" applyAlignment="1" pivotButton="0" quotePrefix="0" xfId="0">
      <alignment horizontal="center" vertical="center" wrapText="1"/>
    </xf>
    <xf numFmtId="0" fontId="12" fillId="21" borderId="21" applyAlignment="1" pivotButton="0" quotePrefix="0" xfId="0">
      <alignment horizontal="center" vertical="center" wrapText="1"/>
    </xf>
    <xf numFmtId="0" fontId="12" fillId="48" borderId="21" applyAlignment="1" pivotButton="0" quotePrefix="0" xfId="0">
      <alignment horizontal="center" vertical="center" wrapText="1"/>
    </xf>
    <xf numFmtId="0" fontId="18" fillId="49" borderId="21" applyAlignment="1" pivotButton="0" quotePrefix="0" xfId="0">
      <alignment horizontal="center" vertical="center" wrapText="1"/>
    </xf>
    <xf numFmtId="0" fontId="30" fillId="52" borderId="43" applyAlignment="1" pivotButton="0" quotePrefix="0" xfId="0">
      <alignment horizontal="right" vertical="center"/>
    </xf>
    <xf numFmtId="0" fontId="13" fillId="48" borderId="21" applyAlignment="1" pivotButton="0" quotePrefix="0" xfId="0">
      <alignment horizontal="left" vertical="center" indent="1"/>
    </xf>
    <xf numFmtId="0" fontId="21" fillId="52" borderId="43" applyAlignment="1" pivotButton="0" quotePrefix="0" xfId="0">
      <alignment horizontal="right" vertical="center"/>
    </xf>
    <xf numFmtId="0" fontId="32" fillId="56" borderId="42" applyAlignment="1" pivotButton="0" quotePrefix="0" xfId="0">
      <alignment horizontal="center" vertical="center" wrapText="1"/>
    </xf>
    <xf numFmtId="0" fontId="0" fillId="0" borderId="20" pivotButton="0" quotePrefix="0" xfId="0"/>
    <xf numFmtId="0" fontId="50" fillId="64" borderId="0" applyAlignment="1" pivotButton="0" quotePrefix="0" xfId="0">
      <alignment horizontal="center" vertical="center" wrapText="1"/>
    </xf>
    <xf numFmtId="0" fontId="34" fillId="56" borderId="42" applyAlignment="1" pivotButton="0" quotePrefix="0" xfId="0">
      <alignment horizontal="center" vertical="center" wrapText="1"/>
    </xf>
    <xf numFmtId="0" fontId="31" fillId="54" borderId="21" applyAlignment="1" pivotButton="0" quotePrefix="0" xfId="0">
      <alignment horizontal="center" vertical="center" wrapText="1"/>
    </xf>
    <xf numFmtId="0" fontId="38" fillId="54" borderId="21" applyAlignment="1" pivotButton="0" quotePrefix="0" xfId="0">
      <alignment horizontal="left" vertical="center" indent="1"/>
    </xf>
    <xf numFmtId="0" fontId="35" fillId="56" borderId="42" applyAlignment="1" pivotButton="0" quotePrefix="0" xfId="0">
      <alignment horizontal="center" vertical="center" wrapText="1"/>
    </xf>
    <xf numFmtId="0" fontId="33" fillId="56" borderId="42" applyAlignment="1" pivotButton="0" quotePrefix="0" xfId="0">
      <alignment horizontal="center" vertical="center" wrapText="1"/>
    </xf>
    <xf numFmtId="0" fontId="36" fillId="56" borderId="42" applyAlignment="1" pivotButton="0" quotePrefix="0" xfId="0">
      <alignment horizontal="center" vertical="center" wrapText="1"/>
    </xf>
    <xf numFmtId="0" fontId="18" fillId="55" borderId="21" applyAlignment="1" pivotButton="0" quotePrefix="0" xfId="0">
      <alignment horizontal="center" vertical="center" wrapText="1"/>
    </xf>
    <xf numFmtId="0" fontId="37" fillId="56" borderId="42" applyAlignment="1" pivotButton="0" quotePrefix="0" xfId="0">
      <alignment horizontal="center" vertical="center" wrapText="1"/>
    </xf>
    <xf numFmtId="166" fontId="3" fillId="0" borderId="8" applyAlignment="1" pivotButton="0" quotePrefix="0" xfId="1">
      <alignment horizontal="center" vertical="center"/>
    </xf>
    <xf numFmtId="0" fontId="0" fillId="0" borderId="3" pivotButton="0" quotePrefix="0" xfId="0"/>
    <xf numFmtId="49" fontId="5" fillId="2" borderId="8" applyAlignment="1" pivotButton="0" quotePrefix="0" xfId="0">
      <alignment horizontal="center" vertical="top" wrapText="1"/>
    </xf>
    <xf numFmtId="0" fontId="0" fillId="0" borderId="2" pivotButton="0" quotePrefix="0" xfId="0"/>
    <xf numFmtId="49" fontId="5" fillId="2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0" fillId="0" borderId="5" pivotButton="0" quotePrefix="0" xfId="0"/>
    <xf numFmtId="49" fontId="5" fillId="2" borderId="11" applyAlignment="1" pivotButton="0" quotePrefix="0" xfId="0">
      <alignment horizontal="center" vertical="center" wrapText="1"/>
    </xf>
    <xf numFmtId="0" fontId="0" fillId="0" borderId="11" pivotButton="0" quotePrefix="0" xfId="0"/>
    <xf numFmtId="49" fontId="9" fillId="8" borderId="8" applyAlignment="1" pivotButton="0" quotePrefix="0" xfId="0">
      <alignment horizontal="center" vertical="center" wrapText="1"/>
    </xf>
    <xf numFmtId="49" fontId="9" fillId="6" borderId="8" applyAlignment="1" pivotButton="0" quotePrefix="0" xfId="0">
      <alignment horizontal="center" vertical="center" wrapText="1"/>
    </xf>
    <xf numFmtId="49" fontId="2" fillId="3" borderId="11" applyAlignment="1" pivotButton="0" quotePrefix="1" xfId="0">
      <alignment horizontal="center" vertical="center" wrapText="1"/>
    </xf>
    <xf numFmtId="49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left" vertical="top" wrapText="1"/>
    </xf>
    <xf numFmtId="49" fontId="5" fillId="6" borderId="8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5" fillId="10" borderId="14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0" fontId="16" fillId="13" borderId="28" applyAlignment="1" pivotButton="0" quotePrefix="0" xfId="0">
      <alignment horizontal="center" vertical="center"/>
    </xf>
    <xf numFmtId="0" fontId="0" fillId="0" borderId="27" pivotButton="0" quotePrefix="0" xfId="0"/>
    <xf numFmtId="164" fontId="5" fillId="6" borderId="19" applyAlignment="1" pivotButton="0" quotePrefix="0" xfId="0">
      <alignment horizontal="center" vertical="center" wrapText="1"/>
    </xf>
    <xf numFmtId="0" fontId="3" fillId="8" borderId="0" applyAlignment="1" pivotButton="0" quotePrefix="0" xfId="0">
      <alignment vertical="center"/>
    </xf>
    <xf numFmtId="165" fontId="28" fillId="51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32" fillId="56" borderId="44" applyAlignment="1" pivotButton="0" quotePrefix="0" xfId="0">
      <alignment horizontal="center" vertical="center" wrapText="1"/>
    </xf>
    <xf numFmtId="0" fontId="33" fillId="56" borderId="44" applyAlignment="1" pivotButton="0" quotePrefix="0" xfId="0">
      <alignment horizontal="center" vertical="center" wrapText="1"/>
    </xf>
    <xf numFmtId="0" fontId="35" fillId="56" borderId="44" applyAlignment="1" pivotButton="0" quotePrefix="0" xfId="0">
      <alignment horizontal="center" vertical="center" wrapText="1"/>
    </xf>
    <xf numFmtId="0" fontId="36" fillId="56" borderId="44" applyAlignment="1" pivotButton="0" quotePrefix="0" xfId="0">
      <alignment horizontal="center" vertical="center" wrapText="1"/>
    </xf>
    <xf numFmtId="0" fontId="37" fillId="56" borderId="44" applyAlignment="1" pivotButton="0" quotePrefix="0" xfId="0">
      <alignment horizontal="center" vertical="center" wrapText="1"/>
    </xf>
    <xf numFmtId="0" fontId="34" fillId="56" borderId="44" applyAlignment="1" pivotButton="0" quotePrefix="0" xfId="0">
      <alignment horizontal="center" vertical="center" wrapText="1"/>
    </xf>
    <xf numFmtId="0" fontId="41" fillId="67" borderId="40" applyAlignment="1" pivotButton="0" quotePrefix="0" xfId="0">
      <alignment horizontal="center" vertical="center" wrapText="1"/>
    </xf>
    <xf numFmtId="0" fontId="41" fillId="0" borderId="40" applyAlignment="1" pivotButton="0" quotePrefix="0" xfId="0">
      <alignment horizontal="center" vertical="center" wrapText="1"/>
    </xf>
    <xf numFmtId="0" fontId="50" fillId="64" borderId="21" applyAlignment="1" pivotButton="0" quotePrefix="0" xfId="0">
      <alignment horizontal="center" vertical="center" wrapText="1"/>
    </xf>
    <xf numFmtId="0" fontId="52" fillId="67" borderId="44" applyAlignment="1" pivotButton="0" quotePrefix="0" xfId="0">
      <alignment horizontal="center" vertical="center" wrapText="1"/>
    </xf>
    <xf numFmtId="164" fontId="5" fillId="9" borderId="8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164" fontId="2" fillId="0" borderId="8" applyAlignment="1" pivotButton="0" quotePrefix="0" xfId="0">
      <alignment vertical="center"/>
    </xf>
    <xf numFmtId="166" fontId="3" fillId="0" borderId="8" applyAlignment="1" pivotButton="0" quotePrefix="0" xfId="1">
      <alignment horizontal="center" vertical="center"/>
    </xf>
    <xf numFmtId="164" fontId="5" fillId="11" borderId="8" applyAlignment="1" pivotButton="0" quotePrefix="0" xfId="0">
      <alignment horizontal="center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164" fontId="5" fillId="6" borderId="19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164" fontId="3" fillId="6" borderId="2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1B365D"/>
    <outlinePr summaryBelow="1" summaryRight="1"/>
    <pageSetUpPr/>
  </sheetPr>
  <dimension ref="A1:N147"/>
  <sheetViews>
    <sheetView topLeftCell="F137" zoomScale="88" workbookViewId="0">
      <selection activeCell="R13" sqref="R13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92.6640625" bestFit="1" customWidth="1" style="227" min="6" max="6"/>
    <col width="18.44140625" bestFit="1" customWidth="1" style="227" min="7" max="7"/>
    <col width="18" customWidth="1" style="227" min="8" max="9"/>
    <col width="16" customWidth="1" style="227" min="10" max="10"/>
    <col width="20" customWidth="1" style="227" min="11" max="11"/>
    <col width="12" customWidth="1" style="227" min="12" max="13"/>
    <col width="13" customWidth="1" style="227" min="14" max="14"/>
  </cols>
  <sheetData>
    <row r="1" ht="30" customHeight="1" s="227">
      <c r="A1" s="233" t="inlineStr">
        <is>
          <t>CONTROL DE INVENTARIO DE EQUIPOS MÉDICOS - LICITACIÓN SEDENA 2026-2027</t>
        </is>
      </c>
    </row>
    <row r="2" ht="22.05" customHeight="1" s="227">
      <c r="A2" s="232" t="inlineStr">
        <is>
          <t>MEDICAL DIMEGAR, S.A. DE C.V. | INVENTARIO DE EQUIPOS | COBERTURA EN 37 UNIDADES MILITARES</t>
        </is>
      </c>
    </row>
    <row r="3" ht="28.05" customHeight="1" s="227">
      <c r="A3" s="126" t="inlineStr">
        <is>
          <t>No.</t>
        </is>
      </c>
      <c r="B3" s="126" t="inlineStr">
        <is>
          <t>Folio Control</t>
        </is>
      </c>
      <c r="C3" s="126" t="inlineStr">
        <is>
          <t>Partida</t>
        </is>
      </c>
      <c r="D3" s="126" t="inlineStr">
        <is>
          <t>Hospital Militar / Unidad Médica</t>
        </is>
      </c>
      <c r="E3" s="126" t="inlineStr">
        <is>
          <t>Entidad Federativa</t>
        </is>
      </c>
      <c r="F3" s="126" t="inlineStr">
        <is>
          <t>Equipo Médico / Denominación Oficial</t>
        </is>
      </c>
      <c r="G3" s="126" t="inlineStr">
        <is>
          <t>Marca</t>
        </is>
      </c>
      <c r="H3" s="126" t="inlineStr">
        <is>
          <t>Modelo</t>
        </is>
      </c>
      <c r="I3" s="126" t="inlineStr">
        <is>
          <t>No. de Serie (N/S)</t>
        </is>
      </c>
      <c r="J3" s="126" t="inlineStr">
        <is>
          <t>Especialidad Médica</t>
        </is>
      </c>
      <c r="K3" s="126" t="inlineStr">
        <is>
          <t>Proveedor Soporte / Especialista</t>
        </is>
      </c>
      <c r="L3" s="126" t="inlineStr">
        <is>
          <t>Servicios 2026</t>
        </is>
      </c>
      <c r="M3" s="126" t="inlineStr">
        <is>
          <t>Servicios 2027</t>
        </is>
      </c>
      <c r="N3" s="126" t="inlineStr">
        <is>
          <t>Total Servicios</t>
        </is>
      </c>
    </row>
    <row r="4" ht="19.95" customHeight="1" s="227">
      <c r="A4" s="128" t="n">
        <v>1</v>
      </c>
      <c r="B4" s="128" t="inlineStr">
        <is>
          <t>BM-001</t>
        </is>
      </c>
      <c r="C4" s="134" t="n">
        <v>6</v>
      </c>
      <c r="D4" s="135" t="inlineStr">
        <is>
          <t>H.C.M. Lomas de Sotelo</t>
        </is>
      </c>
      <c r="E4" s="128" t="inlineStr">
        <is>
          <t>CDMX</t>
        </is>
      </c>
      <c r="F4" s="129" t="inlineStr">
        <is>
          <t>Microscopio avanzado, marca Leica, modelo M320F12</t>
        </is>
      </c>
      <c r="G4" s="129" t="inlineStr">
        <is>
          <t>Leica</t>
        </is>
      </c>
      <c r="H4" s="129" t="inlineStr">
        <is>
          <t>M320F12</t>
        </is>
      </c>
      <c r="I4" s="128" t="inlineStr">
        <is>
          <t>10724001</t>
        </is>
      </c>
      <c r="J4" s="128" t="inlineStr">
        <is>
          <t>OFTALMO</t>
        </is>
      </c>
      <c r="K4" s="128" t="inlineStr">
        <is>
          <t>COINDISA</t>
        </is>
      </c>
      <c r="L4" s="128" t="n">
        <v>1</v>
      </c>
      <c r="M4" s="128" t="n">
        <v>2</v>
      </c>
      <c r="N4" s="128">
        <f>L4+M4</f>
        <v/>
      </c>
    </row>
    <row r="5" ht="19.95" customHeight="1" s="227">
      <c r="A5" s="130" t="n">
        <v>2</v>
      </c>
      <c r="B5" s="130" t="inlineStr">
        <is>
          <t>BM-002</t>
        </is>
      </c>
      <c r="C5" s="130" t="n">
        <v>16</v>
      </c>
      <c r="D5" s="131" t="inlineStr">
        <is>
          <t>H.M.Z. Ixcotel</t>
        </is>
      </c>
      <c r="E5" s="130" t="inlineStr">
        <is>
          <t>OAXACA</t>
        </is>
      </c>
      <c r="F5" s="131" t="inlineStr">
        <is>
          <t>Sistema de diagnóstico oftálmico avanzado, marca Heidelberg Engineering, modelo Anterion</t>
        </is>
      </c>
      <c r="G5" s="131" t="inlineStr">
        <is>
          <t>Heidelberg Engineering</t>
        </is>
      </c>
      <c r="H5" s="131" t="inlineStr">
        <is>
          <t>Anterion</t>
        </is>
      </c>
      <c r="I5" s="130" t="inlineStr">
        <is>
          <t>01827B0106</t>
        </is>
      </c>
      <c r="J5" s="130" t="inlineStr">
        <is>
          <t>OFTALMO</t>
        </is>
      </c>
      <c r="K5" s="130" t="inlineStr">
        <is>
          <t>ARFAMEX</t>
        </is>
      </c>
      <c r="L5" s="130" t="n">
        <v>1</v>
      </c>
      <c r="M5" s="130" t="n">
        <v>2</v>
      </c>
      <c r="N5" s="130">
        <f>L5+M5</f>
        <v/>
      </c>
    </row>
    <row r="6" ht="19.95" customHeight="1" s="227">
      <c r="A6" s="128" t="n">
        <v>3</v>
      </c>
      <c r="B6" s="128" t="inlineStr">
        <is>
          <t>BM-003</t>
        </is>
      </c>
      <c r="C6" s="128" t="n">
        <v>17</v>
      </c>
      <c r="D6" s="129" t="inlineStr">
        <is>
          <t>H.M.Z. Ixcotel</t>
        </is>
      </c>
      <c r="E6" s="128" t="inlineStr">
        <is>
          <t>OAXACA</t>
        </is>
      </c>
      <c r="F6" s="129" t="inlineStr">
        <is>
          <t>Sistema de diagnóstico oftálmico avanzado, marca Heidelberg Engineering, modelo Spectralis</t>
        </is>
      </c>
      <c r="G6" s="129" t="inlineStr">
        <is>
          <t>Heidelberg Engineering</t>
        </is>
      </c>
      <c r="H6" s="129" t="inlineStr">
        <is>
          <t>Spectralis</t>
        </is>
      </c>
      <c r="I6" s="128" t="inlineStr">
        <is>
          <t>SPEC-CAM-22694-S3610</t>
        </is>
      </c>
      <c r="J6" s="128" t="inlineStr">
        <is>
          <t>OFTALMO</t>
        </is>
      </c>
      <c r="K6" s="128" t="inlineStr">
        <is>
          <t>ARFAMEX</t>
        </is>
      </c>
      <c r="L6" s="128" t="n">
        <v>1</v>
      </c>
      <c r="M6" s="128" t="n">
        <v>2</v>
      </c>
      <c r="N6" s="128">
        <f>L6+M6</f>
        <v/>
      </c>
    </row>
    <row r="7" ht="19.95" customHeight="1" s="227">
      <c r="A7" s="130" t="n">
        <v>4</v>
      </c>
      <c r="B7" s="130" t="inlineStr">
        <is>
          <t>BM-004</t>
        </is>
      </c>
      <c r="C7" s="130" t="n">
        <v>19</v>
      </c>
      <c r="D7" s="131" t="inlineStr">
        <is>
          <t>H.M.E.O. Constituyentes</t>
        </is>
      </c>
      <c r="E7" s="130" t="inlineStr">
        <is>
          <t>CDMX</t>
        </is>
      </c>
      <c r="F7" s="131" t="inlineStr">
        <is>
          <t>Sistema de facoemulsificación, marca Alcon, modelo Centurion</t>
        </is>
      </c>
      <c r="G7" s="131" t="inlineStr">
        <is>
          <t>Alcon</t>
        </is>
      </c>
      <c r="H7" s="131" t="inlineStr">
        <is>
          <t>Centurion</t>
        </is>
      </c>
      <c r="I7" s="130" t="inlineStr">
        <is>
          <t>2201601801X</t>
        </is>
      </c>
      <c r="J7" s="130" t="inlineStr">
        <is>
          <t>OFTALMO</t>
        </is>
      </c>
      <c r="K7" s="130" t="inlineStr">
        <is>
          <t>ALCON</t>
        </is>
      </c>
      <c r="L7" s="130" t="n">
        <v>1</v>
      </c>
      <c r="M7" s="130" t="n">
        <v>2</v>
      </c>
      <c r="N7" s="130">
        <f>L7+M7</f>
        <v/>
      </c>
    </row>
    <row r="8" ht="19.95" customHeight="1" s="227">
      <c r="A8" s="128" t="n">
        <v>5</v>
      </c>
      <c r="B8" s="128" t="inlineStr">
        <is>
          <t>BM-005</t>
        </is>
      </c>
      <c r="C8" s="128" t="n">
        <v>20</v>
      </c>
      <c r="D8" s="129" t="inlineStr">
        <is>
          <t>H.M.E.O. Constituyentes</t>
        </is>
      </c>
      <c r="E8" s="128" t="inlineStr">
        <is>
          <t>CDMX</t>
        </is>
      </c>
      <c r="F8" s="129" t="inlineStr">
        <is>
          <t>Sistema de facoemulsificación, marca Alcon, modelo Centurion</t>
        </is>
      </c>
      <c r="G8" s="129" t="inlineStr">
        <is>
          <t>Alcon</t>
        </is>
      </c>
      <c r="H8" s="129" t="inlineStr">
        <is>
          <t>Centurion</t>
        </is>
      </c>
      <c r="I8" s="128" t="inlineStr">
        <is>
          <t>2201483301X</t>
        </is>
      </c>
      <c r="J8" s="128" t="inlineStr">
        <is>
          <t>OFTALMO</t>
        </is>
      </c>
      <c r="K8" s="128" t="inlineStr">
        <is>
          <t>ALCON</t>
        </is>
      </c>
      <c r="L8" s="128" t="n">
        <v>1</v>
      </c>
      <c r="M8" s="128" t="n">
        <v>2</v>
      </c>
      <c r="N8" s="128">
        <f>L8+M8</f>
        <v/>
      </c>
    </row>
    <row r="9" ht="19.95" customHeight="1" s="227">
      <c r="A9" s="130" t="n">
        <v>6</v>
      </c>
      <c r="B9" s="130" t="inlineStr">
        <is>
          <t>BM-006</t>
        </is>
      </c>
      <c r="C9" s="130" t="n">
        <v>21</v>
      </c>
      <c r="D9" s="131" t="inlineStr">
        <is>
          <t>H.M.E.O. Constituyentes</t>
        </is>
      </c>
      <c r="E9" s="130" t="inlineStr">
        <is>
          <t>CDMX</t>
        </is>
      </c>
      <c r="F9" s="131" t="inlineStr">
        <is>
          <t>Sistema de facoemulsificación, marca Alcon, modelo Centurion</t>
        </is>
      </c>
      <c r="G9" s="131" t="inlineStr">
        <is>
          <t>Alcon</t>
        </is>
      </c>
      <c r="H9" s="131" t="inlineStr">
        <is>
          <t>Centurion</t>
        </is>
      </c>
      <c r="I9" s="130" t="inlineStr">
        <is>
          <t>2201602101X</t>
        </is>
      </c>
      <c r="J9" s="130" t="inlineStr">
        <is>
          <t>OFTALMO</t>
        </is>
      </c>
      <c r="K9" s="130" t="inlineStr">
        <is>
          <t>ALCON</t>
        </is>
      </c>
      <c r="L9" s="130" t="n">
        <v>1</v>
      </c>
      <c r="M9" s="130" t="n">
        <v>2</v>
      </c>
      <c r="N9" s="130">
        <f>L9+M9</f>
        <v/>
      </c>
    </row>
    <row r="10" ht="19.95" customHeight="1" s="227">
      <c r="A10" s="128" t="n">
        <v>7</v>
      </c>
      <c r="B10" s="128" t="inlineStr">
        <is>
          <t>BM-007</t>
        </is>
      </c>
      <c r="C10" s="128" t="n">
        <v>22</v>
      </c>
      <c r="D10" s="129" t="inlineStr">
        <is>
          <t>H.M.E.O. Constituyentes</t>
        </is>
      </c>
      <c r="E10" s="128" t="inlineStr">
        <is>
          <t>CDMX</t>
        </is>
      </c>
      <c r="F10" s="129" t="inlineStr">
        <is>
          <t>Sistema de facoemulsificación, marca Alcon, modelo Centurion</t>
        </is>
      </c>
      <c r="G10" s="129" t="inlineStr">
        <is>
          <t>Alcon</t>
        </is>
      </c>
      <c r="H10" s="129" t="inlineStr">
        <is>
          <t>Centurion</t>
        </is>
      </c>
      <c r="I10" s="128" t="inlineStr">
        <is>
          <t>2202291501X</t>
        </is>
      </c>
      <c r="J10" s="128" t="inlineStr">
        <is>
          <t>OFTALMO</t>
        </is>
      </c>
      <c r="K10" s="128" t="inlineStr">
        <is>
          <t>ALCON</t>
        </is>
      </c>
      <c r="L10" s="128" t="n">
        <v>1</v>
      </c>
      <c r="M10" s="128" t="n">
        <v>2</v>
      </c>
      <c r="N10" s="128">
        <f>L10+M10</f>
        <v/>
      </c>
    </row>
    <row r="11" ht="19.95" customHeight="1" s="227">
      <c r="A11" s="130" t="n">
        <v>8</v>
      </c>
      <c r="B11" s="130" t="inlineStr">
        <is>
          <t>BM-008</t>
        </is>
      </c>
      <c r="C11" s="130" t="n">
        <v>23</v>
      </c>
      <c r="D11" s="131" t="inlineStr">
        <is>
          <t>H.M.E.O. Constituyentes</t>
        </is>
      </c>
      <c r="E11" s="130" t="inlineStr">
        <is>
          <t>CDMX</t>
        </is>
      </c>
      <c r="F11" s="131" t="inlineStr">
        <is>
          <t>Sistema de cirugía vitreorretiniana, marca Alcon, modelo Constellation</t>
        </is>
      </c>
      <c r="G11" s="131" t="inlineStr">
        <is>
          <t>Alcon</t>
        </is>
      </c>
      <c r="H11" s="131" t="inlineStr">
        <is>
          <t>Constellation</t>
        </is>
      </c>
      <c r="I11" s="130" t="inlineStr">
        <is>
          <t>2201508001X</t>
        </is>
      </c>
      <c r="J11" s="130" t="inlineStr">
        <is>
          <t>OFTALMO</t>
        </is>
      </c>
      <c r="K11" s="130" t="inlineStr">
        <is>
          <t>ALCON</t>
        </is>
      </c>
      <c r="L11" s="130" t="n">
        <v>1</v>
      </c>
      <c r="M11" s="130" t="n">
        <v>2</v>
      </c>
      <c r="N11" s="130">
        <f>L11+M11</f>
        <v/>
      </c>
    </row>
    <row r="12" ht="19.95" customHeight="1" s="227">
      <c r="A12" s="128" t="n">
        <v>9</v>
      </c>
      <c r="B12" s="128" t="inlineStr">
        <is>
          <t>BM-009</t>
        </is>
      </c>
      <c r="C12" s="128" t="n">
        <v>24</v>
      </c>
      <c r="D12" s="129" t="inlineStr">
        <is>
          <t>H.M.E.O. Constituyentes</t>
        </is>
      </c>
      <c r="E12" s="128" t="inlineStr">
        <is>
          <t>CDMX</t>
        </is>
      </c>
      <c r="F12" s="129" t="inlineStr">
        <is>
          <t>Sistema de cirugía vitreorretiniana, marca Alcon, modelo Constellation</t>
        </is>
      </c>
      <c r="G12" s="129" t="inlineStr">
        <is>
          <t>Alcon</t>
        </is>
      </c>
      <c r="H12" s="129" t="inlineStr">
        <is>
          <t>Constellation</t>
        </is>
      </c>
      <c r="I12" s="128" t="inlineStr">
        <is>
          <t>2201508101X</t>
        </is>
      </c>
      <c r="J12" s="128" t="inlineStr">
        <is>
          <t>OFTALMO</t>
        </is>
      </c>
      <c r="K12" s="128" t="inlineStr">
        <is>
          <t>ALCON</t>
        </is>
      </c>
      <c r="L12" s="128" t="n">
        <v>1</v>
      </c>
      <c r="M12" s="128" t="n">
        <v>2</v>
      </c>
      <c r="N12" s="128">
        <f>L12+M12</f>
        <v/>
      </c>
    </row>
    <row r="13" ht="19.95" customHeight="1" s="227">
      <c r="A13" s="130" t="n">
        <v>10</v>
      </c>
      <c r="B13" s="130" t="inlineStr">
        <is>
          <t>BM-010</t>
        </is>
      </c>
      <c r="C13" s="130" t="n">
        <v>25</v>
      </c>
      <c r="D13" s="131" t="inlineStr">
        <is>
          <t>H.M.E.O. Constituyentes</t>
        </is>
      </c>
      <c r="E13" s="130" t="inlineStr">
        <is>
          <t>CDMX</t>
        </is>
      </c>
      <c r="F13" s="131" t="inlineStr">
        <is>
          <t>Sistema de cirugía vitreorretiniana, marca Alcon, modelo Constellation</t>
        </is>
      </c>
      <c r="G13" s="131" t="inlineStr">
        <is>
          <t>Alcon</t>
        </is>
      </c>
      <c r="H13" s="131" t="inlineStr">
        <is>
          <t>Constellation</t>
        </is>
      </c>
      <c r="I13" s="130" t="inlineStr">
        <is>
          <t>2201541901X</t>
        </is>
      </c>
      <c r="J13" s="130" t="inlineStr">
        <is>
          <t>OFTALMO</t>
        </is>
      </c>
      <c r="K13" s="130" t="inlineStr">
        <is>
          <t>ALCON</t>
        </is>
      </c>
      <c r="L13" s="130" t="n">
        <v>1</v>
      </c>
      <c r="M13" s="130" t="n">
        <v>2</v>
      </c>
      <c r="N13" s="130">
        <f>L13+M13</f>
        <v/>
      </c>
    </row>
    <row r="14" ht="19.95" customHeight="1" s="227">
      <c r="A14" s="128" t="n">
        <v>11</v>
      </c>
      <c r="B14" s="128" t="inlineStr">
        <is>
          <t>BM-011</t>
        </is>
      </c>
      <c r="C14" s="128" t="n">
        <v>26</v>
      </c>
      <c r="D14" s="129" t="inlineStr">
        <is>
          <t>H.M.E.O. Constituyentes</t>
        </is>
      </c>
      <c r="E14" s="128" t="inlineStr">
        <is>
          <t>CDMX</t>
        </is>
      </c>
      <c r="F14" s="129" t="inlineStr">
        <is>
          <t>Láser de diodo, marca A.R.C. Laser, modelo FOX 810</t>
        </is>
      </c>
      <c r="G14" s="129" t="inlineStr">
        <is>
          <t>A.R.C. Laser</t>
        </is>
      </c>
      <c r="H14" s="129" t="inlineStr">
        <is>
          <t>FOX 810</t>
        </is>
      </c>
      <c r="I14" s="128" t="inlineStr">
        <is>
          <t>615423-AAAB</t>
        </is>
      </c>
      <c r="J14" s="128" t="inlineStr">
        <is>
          <t>OFTALMO</t>
        </is>
      </c>
      <c r="K14" s="128" t="inlineStr">
        <is>
          <t>MD</t>
        </is>
      </c>
      <c r="L14" s="128" t="n">
        <v>1</v>
      </c>
      <c r="M14" s="128" t="n">
        <v>2</v>
      </c>
      <c r="N14" s="128">
        <f>L14+M14</f>
        <v/>
      </c>
    </row>
    <row r="15" ht="19.95" customHeight="1" s="227">
      <c r="A15" s="130" t="n">
        <v>12</v>
      </c>
      <c r="B15" s="130" t="inlineStr">
        <is>
          <t>BM-012</t>
        </is>
      </c>
      <c r="C15" s="130" t="n">
        <v>27</v>
      </c>
      <c r="D15" s="131" t="inlineStr">
        <is>
          <t>H.M.E.O. Constituyentes</t>
        </is>
      </c>
      <c r="E15" s="130" t="inlineStr">
        <is>
          <t>CDMX</t>
        </is>
      </c>
      <c r="F15" s="131" t="inlineStr">
        <is>
          <t>Electroretinógrafo portátil, marca LKC, modelo RETeval</t>
        </is>
      </c>
      <c r="G15" s="131" t="inlineStr">
        <is>
          <t>LKC</t>
        </is>
      </c>
      <c r="H15" s="131" t="inlineStr">
        <is>
          <t>RETeval</t>
        </is>
      </c>
      <c r="I15" s="130" t="inlineStr">
        <is>
          <t>R002034</t>
        </is>
      </c>
      <c r="J15" s="130" t="inlineStr">
        <is>
          <t>OFTALMO</t>
        </is>
      </c>
      <c r="K15" s="130" t="inlineStr">
        <is>
          <t>ARFAMEX</t>
        </is>
      </c>
      <c r="L15" s="130" t="n">
        <v>1</v>
      </c>
      <c r="M15" s="130" t="n">
        <v>2</v>
      </c>
      <c r="N15" s="130">
        <f>L15+M15</f>
        <v/>
      </c>
    </row>
    <row r="16" ht="19.95" customHeight="1" s="227">
      <c r="A16" s="128" t="n">
        <v>13</v>
      </c>
      <c r="B16" s="128" t="inlineStr">
        <is>
          <t>BM-013</t>
        </is>
      </c>
      <c r="C16" s="128" t="n">
        <v>28</v>
      </c>
      <c r="D16" s="129" t="inlineStr">
        <is>
          <t>H.M.E.O. Constituyentes</t>
        </is>
      </c>
      <c r="E16" s="128" t="inlineStr">
        <is>
          <t>CDMX</t>
        </is>
      </c>
      <c r="F16" s="129" t="inlineStr">
        <is>
          <t>Electroretinógrafo portátil, marca LKC, modelo RETeval</t>
        </is>
      </c>
      <c r="G16" s="129" t="inlineStr">
        <is>
          <t>LKC</t>
        </is>
      </c>
      <c r="H16" s="129" t="inlineStr">
        <is>
          <t>RETeval</t>
        </is>
      </c>
      <c r="I16" s="128" t="inlineStr">
        <is>
          <t>R002556</t>
        </is>
      </c>
      <c r="J16" s="128" t="inlineStr">
        <is>
          <t>OFTALMO</t>
        </is>
      </c>
      <c r="K16" s="128" t="inlineStr">
        <is>
          <t>ARFAMEX</t>
        </is>
      </c>
      <c r="L16" s="128" t="n">
        <v>1</v>
      </c>
      <c r="M16" s="128" t="n">
        <v>2</v>
      </c>
      <c r="N16" s="128">
        <f>L16+M16</f>
        <v/>
      </c>
    </row>
    <row r="17" ht="19.95" customHeight="1" s="227">
      <c r="A17" s="130" t="n">
        <v>14</v>
      </c>
      <c r="B17" s="130" t="inlineStr">
        <is>
          <t>BM-014</t>
        </is>
      </c>
      <c r="C17" s="130" t="n">
        <v>29</v>
      </c>
      <c r="D17" s="131" t="inlineStr">
        <is>
          <t>H.M.E.O. Constituyentes</t>
        </is>
      </c>
      <c r="E17" s="130" t="inlineStr">
        <is>
          <t>CDMX</t>
        </is>
      </c>
      <c r="F17" s="131" t="inlineStr">
        <is>
          <t>Microscopio confocal, marca Heidelberg Engineering, modelo HRT3 RCM</t>
        </is>
      </c>
      <c r="G17" s="131" t="inlineStr">
        <is>
          <t>Heidelberg Engineering</t>
        </is>
      </c>
      <c r="H17" s="131" t="inlineStr">
        <is>
          <t>HRT3 RCM</t>
        </is>
      </c>
      <c r="I17" s="130" t="inlineStr">
        <is>
          <t>HRT3-08313</t>
        </is>
      </c>
      <c r="J17" s="130" t="inlineStr">
        <is>
          <t>OFTALMO</t>
        </is>
      </c>
      <c r="K17" s="130" t="inlineStr">
        <is>
          <t>ARFAMEX</t>
        </is>
      </c>
      <c r="L17" s="130" t="n">
        <v>1</v>
      </c>
      <c r="M17" s="130" t="n">
        <v>2</v>
      </c>
      <c r="N17" s="130">
        <f>L17+M17</f>
        <v/>
      </c>
    </row>
    <row r="18" ht="19.95" customHeight="1" s="227">
      <c r="A18" s="128" t="n">
        <v>15</v>
      </c>
      <c r="B18" s="128" t="inlineStr">
        <is>
          <t>BM-015</t>
        </is>
      </c>
      <c r="C18" s="128" t="n">
        <v>30</v>
      </c>
      <c r="D18" s="129" t="inlineStr">
        <is>
          <t>H.M.E.O. Constituyentes</t>
        </is>
      </c>
      <c r="E18" s="128" t="inlineStr">
        <is>
          <t>CDMX</t>
        </is>
      </c>
      <c r="F18" s="129" t="inlineStr">
        <is>
          <t>Topógrafo corneal con cámara Scheimpflug, marca Oculus, modelo Pentacam</t>
        </is>
      </c>
      <c r="G18" s="129" t="inlineStr">
        <is>
          <t>Oculus</t>
        </is>
      </c>
      <c r="H18" s="129" t="inlineStr">
        <is>
          <t>Pentacam</t>
        </is>
      </c>
      <c r="I18" s="128" t="inlineStr">
        <is>
          <t>7010054522270</t>
        </is>
      </c>
      <c r="J18" s="128" t="inlineStr">
        <is>
          <t>OFTALMO</t>
        </is>
      </c>
      <c r="K18" s="128" t="inlineStr">
        <is>
          <t>CYAN</t>
        </is>
      </c>
      <c r="L18" s="128" t="n">
        <v>1</v>
      </c>
      <c r="M18" s="128" t="n">
        <v>2</v>
      </c>
      <c r="N18" s="128">
        <f>L18+M18</f>
        <v/>
      </c>
    </row>
    <row r="19" ht="19.95" customHeight="1" s="227">
      <c r="A19" s="130" t="n">
        <v>16</v>
      </c>
      <c r="B19" s="130" t="inlineStr">
        <is>
          <t>BM-016</t>
        </is>
      </c>
      <c r="C19" s="130" t="n">
        <v>32</v>
      </c>
      <c r="D19" s="131" t="inlineStr">
        <is>
          <t>H.M.E.O. Constituyentes</t>
        </is>
      </c>
      <c r="E19" s="130" t="inlineStr">
        <is>
          <t>CDMX</t>
        </is>
      </c>
      <c r="F19" s="131" t="inlineStr">
        <is>
          <t>Sistema de fotocoagulación láser con estación de trabajo, marca OD-OS, modelo Navilas</t>
        </is>
      </c>
      <c r="G19" s="131" t="inlineStr">
        <is>
          <t>OD-OS</t>
        </is>
      </c>
      <c r="H19" s="131" t="inlineStr">
        <is>
          <t>Navilas</t>
        </is>
      </c>
      <c r="I19" s="130" t="inlineStr">
        <is>
          <t>158000-3215</t>
        </is>
      </c>
      <c r="J19" s="130" t="inlineStr">
        <is>
          <t>OFTALMO</t>
        </is>
      </c>
      <c r="K19" s="130" t="inlineStr">
        <is>
          <t>FARBAC</t>
        </is>
      </c>
      <c r="L19" s="130" t="n">
        <v>1</v>
      </c>
      <c r="M19" s="130" t="n">
        <v>2</v>
      </c>
      <c r="N19" s="130">
        <f>L19+M19</f>
        <v/>
      </c>
    </row>
    <row r="20" ht="19.95" customHeight="1" s="227">
      <c r="A20" s="128" t="n">
        <v>17</v>
      </c>
      <c r="B20" s="128" t="inlineStr">
        <is>
          <t>BM-017</t>
        </is>
      </c>
      <c r="C20" s="128" t="n">
        <v>33</v>
      </c>
      <c r="D20" s="129" t="inlineStr">
        <is>
          <t>H.M.E.O. Constituyentes</t>
        </is>
      </c>
      <c r="E20" s="128" t="inlineStr">
        <is>
          <t>CDMX</t>
        </is>
      </c>
      <c r="F20" s="129" t="inlineStr">
        <is>
          <t>Cámara de campo ultra amplio, marca Natus, modelo RetCam Envision</t>
        </is>
      </c>
      <c r="G20" s="129" t="inlineStr">
        <is>
          <t>Natus</t>
        </is>
      </c>
      <c r="H20" s="129" t="inlineStr">
        <is>
          <t>RetCam Envision</t>
        </is>
      </c>
      <c r="I20" s="128" t="inlineStr">
        <is>
          <t>RE-0276</t>
        </is>
      </c>
      <c r="J20" s="128" t="inlineStr">
        <is>
          <t>OFTALMO</t>
        </is>
      </c>
      <c r="K20" s="128" t="inlineStr">
        <is>
          <t>ARFAMEX</t>
        </is>
      </c>
      <c r="L20" s="128" t="n">
        <v>1</v>
      </c>
      <c r="M20" s="128" t="n">
        <v>2</v>
      </c>
      <c r="N20" s="128">
        <f>L20+M20</f>
        <v/>
      </c>
    </row>
    <row r="21" ht="19.95" customHeight="1" s="227">
      <c r="A21" s="130" t="n">
        <v>18</v>
      </c>
      <c r="B21" s="130" t="inlineStr">
        <is>
          <t>BM-018</t>
        </is>
      </c>
      <c r="C21" s="130" t="n">
        <v>34</v>
      </c>
      <c r="D21" s="131" t="inlineStr">
        <is>
          <t>H.M.E.O. Constituyentes</t>
        </is>
      </c>
      <c r="E21" s="130" t="inlineStr">
        <is>
          <t>CDMX</t>
        </is>
      </c>
      <c r="F21" s="131" t="inlineStr">
        <is>
          <t>Láser, marca Quantel Medical, modelo Vitra 810</t>
        </is>
      </c>
      <c r="G21" s="131" t="inlineStr">
        <is>
          <t>Quantel Medical</t>
        </is>
      </c>
      <c r="H21" s="131" t="inlineStr">
        <is>
          <t>Vitra 810</t>
        </is>
      </c>
      <c r="I21" s="130" t="inlineStr">
        <is>
          <t>574</t>
        </is>
      </c>
      <c r="J21" s="130" t="inlineStr">
        <is>
          <t>OFTALMO</t>
        </is>
      </c>
      <c r="K21" s="130" t="inlineStr">
        <is>
          <t>ARFAMEX</t>
        </is>
      </c>
      <c r="L21" s="130" t="n">
        <v>1</v>
      </c>
      <c r="M21" s="130" t="n">
        <v>2</v>
      </c>
      <c r="N21" s="130">
        <f>L21+M21</f>
        <v/>
      </c>
    </row>
    <row r="22" ht="19.95" customHeight="1" s="227">
      <c r="A22" s="128" t="n">
        <v>19</v>
      </c>
      <c r="B22" s="128" t="inlineStr">
        <is>
          <t>BM-019</t>
        </is>
      </c>
      <c r="C22" s="128" t="n">
        <v>35</v>
      </c>
      <c r="D22" s="129" t="inlineStr">
        <is>
          <t>H.M.E.O. Constituyentes</t>
        </is>
      </c>
      <c r="E22" s="128" t="inlineStr">
        <is>
          <t>CDMX</t>
        </is>
      </c>
      <c r="F22" s="129" t="inlineStr">
        <is>
          <t>Láser, marca Quantel Medical, modelo Vitra 811</t>
        </is>
      </c>
      <c r="G22" s="129" t="inlineStr">
        <is>
          <t>Quantel Medical</t>
        </is>
      </c>
      <c r="H22" s="129" t="inlineStr">
        <is>
          <t>Vitra 811</t>
        </is>
      </c>
      <c r="I22" s="128" t="inlineStr">
        <is>
          <t>575</t>
        </is>
      </c>
      <c r="J22" s="128" t="inlineStr">
        <is>
          <t>OFTALMO</t>
        </is>
      </c>
      <c r="K22" s="128" t="inlineStr">
        <is>
          <t>ARFAMEX</t>
        </is>
      </c>
      <c r="L22" s="128" t="n">
        <v>1</v>
      </c>
      <c r="M22" s="128" t="n">
        <v>2</v>
      </c>
      <c r="N22" s="128">
        <f>L22+M22</f>
        <v/>
      </c>
    </row>
    <row r="23" ht="19.95" customHeight="1" s="227">
      <c r="A23" s="130" t="n">
        <v>20</v>
      </c>
      <c r="B23" s="130" t="inlineStr">
        <is>
          <t>BM-020</t>
        </is>
      </c>
      <c r="C23" s="130" t="n">
        <v>38</v>
      </c>
      <c r="D23" s="131" t="inlineStr">
        <is>
          <t>H.M.E.O. Constituyentes</t>
        </is>
      </c>
      <c r="E23" s="130" t="inlineStr">
        <is>
          <t>CDMX</t>
        </is>
      </c>
      <c r="F23" s="131" t="inlineStr">
        <is>
          <t>Retinógrafo portátil de campo amplio para neonatos, marca Visunex Medical Systems, modelo PanoCam</t>
        </is>
      </c>
      <c r="G23" s="131" t="inlineStr">
        <is>
          <t>Visunex Medical Systems</t>
        </is>
      </c>
      <c r="H23" s="131" t="inlineStr">
        <is>
          <t>PanoCam</t>
        </is>
      </c>
      <c r="I23" s="130" t="inlineStr">
        <is>
          <t>A237402</t>
        </is>
      </c>
      <c r="J23" s="130" t="inlineStr">
        <is>
          <t>OFTALMO</t>
        </is>
      </c>
      <c r="K23" s="130" t="inlineStr">
        <is>
          <t>MD</t>
        </is>
      </c>
      <c r="L23" s="130" t="n">
        <v>1</v>
      </c>
      <c r="M23" s="130" t="n">
        <v>2</v>
      </c>
      <c r="N23" s="130">
        <f>L23+M23</f>
        <v/>
      </c>
    </row>
    <row r="24" ht="19.95" customHeight="1" s="227">
      <c r="A24" s="128" t="n">
        <v>21</v>
      </c>
      <c r="B24" s="128" t="inlineStr">
        <is>
          <t>BM-021</t>
        </is>
      </c>
      <c r="C24" s="128" t="n">
        <v>39</v>
      </c>
      <c r="D24" s="129" t="inlineStr">
        <is>
          <t>H.M.E.O. Constituyentes</t>
        </is>
      </c>
      <c r="E24" s="128" t="inlineStr">
        <is>
          <t>CDMX</t>
        </is>
      </c>
      <c r="F24" s="129" t="inlineStr">
        <is>
          <t>Retinógrafo portátil de campo amplio para neonatos, marca Visunex Medical Systems, modelo PanoCam</t>
        </is>
      </c>
      <c r="G24" s="129" t="inlineStr">
        <is>
          <t>Visunex Medical Systems</t>
        </is>
      </c>
      <c r="H24" s="129" t="inlineStr">
        <is>
          <t>PanoCam</t>
        </is>
      </c>
      <c r="I24" s="128" t="inlineStr">
        <is>
          <t>A237403</t>
        </is>
      </c>
      <c r="J24" s="128" t="inlineStr">
        <is>
          <t>OFTALMO</t>
        </is>
      </c>
      <c r="K24" s="128" t="inlineStr">
        <is>
          <t>MD</t>
        </is>
      </c>
      <c r="L24" s="128" t="n">
        <v>1</v>
      </c>
      <c r="M24" s="128" t="n">
        <v>2</v>
      </c>
      <c r="N24" s="128">
        <f>L24+M24</f>
        <v/>
      </c>
    </row>
    <row r="25" ht="19.95" customHeight="1" s="227">
      <c r="A25" s="130" t="n">
        <v>22</v>
      </c>
      <c r="B25" s="130" t="inlineStr">
        <is>
          <t>BM-022</t>
        </is>
      </c>
      <c r="C25" s="130" t="n">
        <v>40</v>
      </c>
      <c r="D25" s="131" t="inlineStr">
        <is>
          <t>H.M.E.O. Constituyentes</t>
        </is>
      </c>
      <c r="E25" s="130" t="inlineStr">
        <is>
          <t>CDMX</t>
        </is>
      </c>
      <c r="F25" s="131" t="inlineStr">
        <is>
          <t>Retinógrafo portátil de campo amplio para neonatos, marca Visunex Medical Systems, modelo PanoCam</t>
        </is>
      </c>
      <c r="G25" s="131" t="inlineStr">
        <is>
          <t>Visunex Medical Systems</t>
        </is>
      </c>
      <c r="H25" s="131" t="inlineStr">
        <is>
          <t>PanoCam</t>
        </is>
      </c>
      <c r="I25" s="130" t="inlineStr">
        <is>
          <t>A237401</t>
        </is>
      </c>
      <c r="J25" s="130" t="inlineStr">
        <is>
          <t>OFTALMO</t>
        </is>
      </c>
      <c r="K25" s="130" t="inlineStr">
        <is>
          <t>MD</t>
        </is>
      </c>
      <c r="L25" s="130" t="n">
        <v>1</v>
      </c>
      <c r="M25" s="130" t="n">
        <v>2</v>
      </c>
      <c r="N25" s="130">
        <f>L25+M25</f>
        <v/>
      </c>
    </row>
    <row r="26" ht="19.95" customHeight="1" s="227">
      <c r="A26" s="128" t="n">
        <v>23</v>
      </c>
      <c r="B26" s="128" t="inlineStr">
        <is>
          <t>BM-023</t>
        </is>
      </c>
      <c r="C26" s="128" t="n">
        <v>41</v>
      </c>
      <c r="D26" s="129" t="inlineStr">
        <is>
          <t>H.M.E.O. Constituyentes</t>
        </is>
      </c>
      <c r="E26" s="128" t="inlineStr">
        <is>
          <t>CDMX</t>
        </is>
      </c>
      <c r="F26" s="129" t="inlineStr">
        <is>
          <t>Microscopio especular, marca TOMEY, modelo EM-4000</t>
        </is>
      </c>
      <c r="G26" s="129" t="inlineStr">
        <is>
          <t>TOMEY</t>
        </is>
      </c>
      <c r="H26" s="129" t="inlineStr">
        <is>
          <t>EM-4000</t>
        </is>
      </c>
      <c r="I26" s="128" t="inlineStr">
        <is>
          <t>354304</t>
        </is>
      </c>
      <c r="J26" s="128" t="inlineStr">
        <is>
          <t>OFTALMO</t>
        </is>
      </c>
      <c r="K26" s="128" t="inlineStr">
        <is>
          <t xml:space="preserve">ALDAI </t>
        </is>
      </c>
      <c r="L26" s="128" t="n">
        <v>1</v>
      </c>
      <c r="M26" s="128" t="n">
        <v>2</v>
      </c>
      <c r="N26" s="128">
        <f>L26+M26</f>
        <v/>
      </c>
    </row>
    <row r="27" ht="19.95" customHeight="1" s="227">
      <c r="A27" s="130" t="n">
        <v>24</v>
      </c>
      <c r="B27" s="130" t="inlineStr">
        <is>
          <t>BM-024</t>
        </is>
      </c>
      <c r="C27" s="130" t="n">
        <v>42</v>
      </c>
      <c r="D27" s="131" t="inlineStr">
        <is>
          <t>H.M.E.O. Constituyentes</t>
        </is>
      </c>
      <c r="E27" s="130" t="inlineStr">
        <is>
          <t>CDMX</t>
        </is>
      </c>
      <c r="F27" s="131" t="inlineStr">
        <is>
          <t>Microscopio especular, marca TOMEY, modelo EM-4001</t>
        </is>
      </c>
      <c r="G27" s="131" t="inlineStr">
        <is>
          <t>TOMEY</t>
        </is>
      </c>
      <c r="H27" s="131" t="inlineStr">
        <is>
          <t>EM-4001</t>
        </is>
      </c>
      <c r="I27" s="130" t="inlineStr">
        <is>
          <t>349103</t>
        </is>
      </c>
      <c r="J27" s="130" t="inlineStr">
        <is>
          <t>OFTALMO</t>
        </is>
      </c>
      <c r="K27" s="130" t="inlineStr">
        <is>
          <t xml:space="preserve">ALDAI </t>
        </is>
      </c>
      <c r="L27" s="130" t="n">
        <v>1</v>
      </c>
      <c r="M27" s="130" t="n">
        <v>2</v>
      </c>
      <c r="N27" s="130">
        <f>L27+M27</f>
        <v/>
      </c>
    </row>
    <row r="28" ht="19.95" customHeight="1" s="227">
      <c r="A28" s="128" t="n">
        <v>25</v>
      </c>
      <c r="B28" s="128" t="inlineStr">
        <is>
          <t>BM-025</t>
        </is>
      </c>
      <c r="C28" s="128" t="n">
        <v>43</v>
      </c>
      <c r="D28" s="129" t="inlineStr">
        <is>
          <t>H.M.E.O. Constituyentes</t>
        </is>
      </c>
      <c r="E28" s="128" t="inlineStr">
        <is>
          <t>CDMX</t>
        </is>
      </c>
      <c r="F28" s="129" t="inlineStr">
        <is>
          <t>Ultrasonido modo A-B, marca TOMEY, modelo UD-800</t>
        </is>
      </c>
      <c r="G28" s="129" t="inlineStr">
        <is>
          <t>TOMEY</t>
        </is>
      </c>
      <c r="H28" s="129" t="inlineStr">
        <is>
          <t>UD-800</t>
        </is>
      </c>
      <c r="I28" s="128" t="inlineStr">
        <is>
          <t>366702</t>
        </is>
      </c>
      <c r="J28" s="128" t="inlineStr">
        <is>
          <t>OFTALMO</t>
        </is>
      </c>
      <c r="K28" s="128" t="inlineStr">
        <is>
          <t xml:space="preserve">ALDAI </t>
        </is>
      </c>
      <c r="L28" s="128" t="n">
        <v>1</v>
      </c>
      <c r="M28" s="128" t="n">
        <v>2</v>
      </c>
      <c r="N28" s="128">
        <f>L28+M28</f>
        <v/>
      </c>
    </row>
    <row r="29" ht="19.95" customHeight="1" s="227">
      <c r="A29" s="130" t="n">
        <v>26</v>
      </c>
      <c r="B29" s="130" t="inlineStr">
        <is>
          <t>BM-026</t>
        </is>
      </c>
      <c r="C29" s="130" t="n">
        <v>44</v>
      </c>
      <c r="D29" s="131" t="inlineStr">
        <is>
          <t>H.M.E.O. Constituyentes</t>
        </is>
      </c>
      <c r="E29" s="130" t="inlineStr">
        <is>
          <t>CDMX</t>
        </is>
      </c>
      <c r="F29" s="131" t="inlineStr">
        <is>
          <t>Ultrasonido modo A-B, marca TOMEY, modelo UD-801</t>
        </is>
      </c>
      <c r="G29" s="131" t="inlineStr">
        <is>
          <t>TOMEY</t>
        </is>
      </c>
      <c r="H29" s="131" t="inlineStr">
        <is>
          <t>UD-801</t>
        </is>
      </c>
      <c r="I29" s="130" t="inlineStr">
        <is>
          <t>372404</t>
        </is>
      </c>
      <c r="J29" s="130" t="inlineStr">
        <is>
          <t>OFTALMO</t>
        </is>
      </c>
      <c r="K29" s="130" t="inlineStr">
        <is>
          <t xml:space="preserve">ALDAI </t>
        </is>
      </c>
      <c r="L29" s="130" t="n">
        <v>1</v>
      </c>
      <c r="M29" s="130" t="n">
        <v>2</v>
      </c>
      <c r="N29" s="130">
        <f>L29+M29</f>
        <v/>
      </c>
    </row>
    <row r="30" ht="19.95" customHeight="1" s="227">
      <c r="A30" s="128" t="n">
        <v>27</v>
      </c>
      <c r="B30" s="128" t="inlineStr">
        <is>
          <t>BM-027</t>
        </is>
      </c>
      <c r="C30" s="128" t="n">
        <v>45</v>
      </c>
      <c r="D30" s="129" t="inlineStr">
        <is>
          <t>H.M.E.O. Constituyentes</t>
        </is>
      </c>
      <c r="E30" s="128" t="inlineStr">
        <is>
          <t>CDMX</t>
        </is>
      </c>
      <c r="F30" s="129" t="inlineStr">
        <is>
          <t>Autorrefractómetro, marca SUOER, modelo Ocular Screening SW-800</t>
        </is>
      </c>
      <c r="G30" s="129" t="inlineStr">
        <is>
          <t>SUOER</t>
        </is>
      </c>
      <c r="H30" s="129" t="inlineStr">
        <is>
          <t>Ocular Screening SW-800</t>
        </is>
      </c>
      <c r="I30" s="128" t="inlineStr">
        <is>
          <t>BC0013GY1C</t>
        </is>
      </c>
      <c r="J30" s="128" t="inlineStr">
        <is>
          <t>OFTALMO</t>
        </is>
      </c>
      <c r="K30" s="128" t="inlineStr">
        <is>
          <t>MD</t>
        </is>
      </c>
      <c r="L30" s="128" t="n">
        <v>1</v>
      </c>
      <c r="M30" s="128" t="n">
        <v>2</v>
      </c>
      <c r="N30" s="128">
        <f>L30+M30</f>
        <v/>
      </c>
    </row>
    <row r="31" ht="19.95" customHeight="1" s="227">
      <c r="A31" s="130" t="n">
        <v>28</v>
      </c>
      <c r="B31" s="130" t="inlineStr">
        <is>
          <t>BM-028</t>
        </is>
      </c>
      <c r="C31" s="130" t="n">
        <v>46</v>
      </c>
      <c r="D31" s="131" t="inlineStr">
        <is>
          <t>H.M.E.O. Constituyentes</t>
        </is>
      </c>
      <c r="E31" s="130" t="inlineStr">
        <is>
          <t>CDMX</t>
        </is>
      </c>
      <c r="F31" s="131" t="inlineStr">
        <is>
          <t>Autorrefractómetro, marca SUOER, modelo Ocular Screening SW-800</t>
        </is>
      </c>
      <c r="G31" s="131" t="inlineStr">
        <is>
          <t>SUOER</t>
        </is>
      </c>
      <c r="H31" s="131" t="inlineStr">
        <is>
          <t>Ocular Screening SW-800</t>
        </is>
      </c>
      <c r="I31" s="130" t="inlineStr">
        <is>
          <t>BC0007GY1C</t>
        </is>
      </c>
      <c r="J31" s="130" t="inlineStr">
        <is>
          <t>OFTALMO</t>
        </is>
      </c>
      <c r="K31" s="130" t="inlineStr">
        <is>
          <t>MD</t>
        </is>
      </c>
      <c r="L31" s="130" t="n">
        <v>1</v>
      </c>
      <c r="M31" s="130" t="n">
        <v>2</v>
      </c>
      <c r="N31" s="130">
        <f>L31+M31</f>
        <v/>
      </c>
    </row>
    <row r="32" ht="19.95" customHeight="1" s="227">
      <c r="A32" s="128" t="n">
        <v>29</v>
      </c>
      <c r="B32" s="128" t="inlineStr">
        <is>
          <t>BM-029</t>
        </is>
      </c>
      <c r="C32" s="128" t="n">
        <v>47</v>
      </c>
      <c r="D32" s="129" t="inlineStr">
        <is>
          <t>H.M.E.O. Constituyentes</t>
        </is>
      </c>
      <c r="E32" s="128" t="inlineStr">
        <is>
          <t>CDMX</t>
        </is>
      </c>
      <c r="F32" s="129" t="inlineStr">
        <is>
          <t>Autorrefractómetro, marca SUOER, modelo Ocular Screening SW-800</t>
        </is>
      </c>
      <c r="G32" s="129" t="inlineStr">
        <is>
          <t>SUOER</t>
        </is>
      </c>
      <c r="H32" s="129" t="inlineStr">
        <is>
          <t>Ocular Screening SW-800</t>
        </is>
      </c>
      <c r="I32" s="128" t="inlineStr">
        <is>
          <t>BB0042GY1C</t>
        </is>
      </c>
      <c r="J32" s="128" t="inlineStr">
        <is>
          <t>OFTALMO</t>
        </is>
      </c>
      <c r="K32" s="128" t="inlineStr">
        <is>
          <t>MD</t>
        </is>
      </c>
      <c r="L32" s="128" t="n">
        <v>1</v>
      </c>
      <c r="M32" s="128" t="n">
        <v>2</v>
      </c>
      <c r="N32" s="128">
        <f>L32+M32</f>
        <v/>
      </c>
    </row>
    <row r="33" ht="19.95" customHeight="1" s="227">
      <c r="A33" s="130" t="n">
        <v>30</v>
      </c>
      <c r="B33" s="130" t="inlineStr">
        <is>
          <t>BM-030</t>
        </is>
      </c>
      <c r="C33" s="130" t="n">
        <v>48</v>
      </c>
      <c r="D33" s="131" t="inlineStr">
        <is>
          <t>H.M.E.O. Constituyentes</t>
        </is>
      </c>
      <c r="E33" s="130" t="inlineStr">
        <is>
          <t>CDMX</t>
        </is>
      </c>
      <c r="F33" s="131" t="inlineStr">
        <is>
          <t>Autorrefractómetro, marca SUOER, modelo Ocular Screening SW-800</t>
        </is>
      </c>
      <c r="G33" s="131" t="inlineStr">
        <is>
          <t>SUOER</t>
        </is>
      </c>
      <c r="H33" s="131" t="inlineStr">
        <is>
          <t>Ocular Screening SW-800</t>
        </is>
      </c>
      <c r="I33" s="130" t="inlineStr">
        <is>
          <t>BB0043GY1C</t>
        </is>
      </c>
      <c r="J33" s="130" t="inlineStr">
        <is>
          <t>OFTALMO</t>
        </is>
      </c>
      <c r="K33" s="130" t="inlineStr">
        <is>
          <t>MD</t>
        </is>
      </c>
      <c r="L33" s="130" t="n">
        <v>1</v>
      </c>
      <c r="M33" s="130" t="n">
        <v>2</v>
      </c>
      <c r="N33" s="130">
        <f>L33+M33</f>
        <v/>
      </c>
    </row>
    <row r="34" ht="19.95" customHeight="1" s="227">
      <c r="A34" s="128" t="n">
        <v>31</v>
      </c>
      <c r="B34" s="128" t="inlineStr">
        <is>
          <t>BM-031</t>
        </is>
      </c>
      <c r="C34" s="128" t="n">
        <v>49</v>
      </c>
      <c r="D34" s="129" t="inlineStr">
        <is>
          <t>H.M.E.O. Constituyentes</t>
        </is>
      </c>
      <c r="E34" s="128" t="inlineStr">
        <is>
          <t>CDMX</t>
        </is>
      </c>
      <c r="F34" s="129" t="inlineStr">
        <is>
          <t>Autoqueratorrefractor, marca Nidek, modelo ARK-F</t>
        </is>
      </c>
      <c r="G34" s="129" t="inlineStr">
        <is>
          <t>Nidek</t>
        </is>
      </c>
      <c r="H34" s="129" t="inlineStr">
        <is>
          <t>ARK-F</t>
        </is>
      </c>
      <c r="I34" s="128" t="inlineStr">
        <is>
          <t>270021</t>
        </is>
      </c>
      <c r="J34" s="128" t="inlineStr">
        <is>
          <t>OFTALMO</t>
        </is>
      </c>
      <c r="K34" s="128" t="inlineStr">
        <is>
          <t>S4</t>
        </is>
      </c>
      <c r="L34" s="128" t="n">
        <v>1</v>
      </c>
      <c r="M34" s="128" t="n">
        <v>2</v>
      </c>
      <c r="N34" s="128">
        <f>L34+M34</f>
        <v/>
      </c>
    </row>
    <row r="35" ht="19.95" customHeight="1" s="227">
      <c r="A35" s="130" t="n">
        <v>32</v>
      </c>
      <c r="B35" s="130" t="inlineStr">
        <is>
          <t>BM-032</t>
        </is>
      </c>
      <c r="C35" s="130" t="n">
        <v>50</v>
      </c>
      <c r="D35" s="131" t="inlineStr">
        <is>
          <t>H.M.E.O. Constituyentes</t>
        </is>
      </c>
      <c r="E35" s="130" t="inlineStr">
        <is>
          <t>CDMX</t>
        </is>
      </c>
      <c r="F35" s="131" t="inlineStr">
        <is>
          <t>Autoqueratorrefractor, marca Nidek, modelo ARK-F</t>
        </is>
      </c>
      <c r="G35" s="131" t="inlineStr">
        <is>
          <t>Nidek</t>
        </is>
      </c>
      <c r="H35" s="131" t="inlineStr">
        <is>
          <t>ARK-F</t>
        </is>
      </c>
      <c r="I35" s="130" t="inlineStr">
        <is>
          <t>270029</t>
        </is>
      </c>
      <c r="J35" s="130" t="inlineStr">
        <is>
          <t>OFTALMO</t>
        </is>
      </c>
      <c r="K35" s="130" t="inlineStr">
        <is>
          <t>S4</t>
        </is>
      </c>
      <c r="L35" s="130" t="n">
        <v>1</v>
      </c>
      <c r="M35" s="130" t="n">
        <v>2</v>
      </c>
      <c r="N35" s="130">
        <f>L35+M35</f>
        <v/>
      </c>
    </row>
    <row r="36" ht="19.95" customHeight="1" s="227">
      <c r="A36" s="128" t="n">
        <v>33</v>
      </c>
      <c r="B36" s="128" t="inlineStr">
        <is>
          <t>BM-033</t>
        </is>
      </c>
      <c r="C36" s="128" t="n">
        <v>51</v>
      </c>
      <c r="D36" s="129" t="inlineStr">
        <is>
          <t>H.M.E.O. Constituyentes</t>
        </is>
      </c>
      <c r="E36" s="128" t="inlineStr">
        <is>
          <t>CDMX</t>
        </is>
      </c>
      <c r="F36" s="129" t="inlineStr">
        <is>
          <t>Autoqueratorrefractor, marca Nidek, modelo ARK-F</t>
        </is>
      </c>
      <c r="G36" s="129" t="inlineStr">
        <is>
          <t>Nidek</t>
        </is>
      </c>
      <c r="H36" s="129" t="inlineStr">
        <is>
          <t>ARK-F</t>
        </is>
      </c>
      <c r="I36" s="128" t="inlineStr">
        <is>
          <t>270031</t>
        </is>
      </c>
      <c r="J36" s="128" t="inlineStr">
        <is>
          <t>OFTALMO</t>
        </is>
      </c>
      <c r="K36" s="128" t="inlineStr">
        <is>
          <t>S4</t>
        </is>
      </c>
      <c r="L36" s="128" t="n">
        <v>1</v>
      </c>
      <c r="M36" s="128" t="n">
        <v>2</v>
      </c>
      <c r="N36" s="128">
        <f>L36+M36</f>
        <v/>
      </c>
    </row>
    <row r="37" ht="19.95" customHeight="1" s="227">
      <c r="A37" s="130" t="n">
        <v>34</v>
      </c>
      <c r="B37" s="130" t="inlineStr">
        <is>
          <t>BM-034</t>
        </is>
      </c>
      <c r="C37" s="130" t="n">
        <v>52</v>
      </c>
      <c r="D37" s="131" t="inlineStr">
        <is>
          <t>H.M.E.O. Constituyentes</t>
        </is>
      </c>
      <c r="E37" s="130" t="inlineStr">
        <is>
          <t>CDMX</t>
        </is>
      </c>
      <c r="F37" s="131" t="inlineStr">
        <is>
          <t>Autoqueratorrefractor, marca Nidek, modelo ARK-F</t>
        </is>
      </c>
      <c r="G37" s="131" t="inlineStr">
        <is>
          <t>Nidek</t>
        </is>
      </c>
      <c r="H37" s="131" t="inlineStr">
        <is>
          <t>ARK-F</t>
        </is>
      </c>
      <c r="I37" s="130" t="inlineStr">
        <is>
          <t>270032</t>
        </is>
      </c>
      <c r="J37" s="130" t="inlineStr">
        <is>
          <t>OFTALMO</t>
        </is>
      </c>
      <c r="K37" s="130" t="inlineStr">
        <is>
          <t>S4</t>
        </is>
      </c>
      <c r="L37" s="130" t="n">
        <v>1</v>
      </c>
      <c r="M37" s="130" t="n">
        <v>2</v>
      </c>
      <c r="N37" s="130">
        <f>L37+M37</f>
        <v/>
      </c>
    </row>
    <row r="38" ht="19.95" customHeight="1" s="227">
      <c r="A38" s="128" t="n">
        <v>35</v>
      </c>
      <c r="B38" s="128" t="inlineStr">
        <is>
          <t>BM-035</t>
        </is>
      </c>
      <c r="C38" s="128" t="n">
        <v>53</v>
      </c>
      <c r="D38" s="129" t="inlineStr">
        <is>
          <t>H.M.E.O. Constituyentes</t>
        </is>
      </c>
      <c r="E38" s="128" t="inlineStr">
        <is>
          <t>CDMX</t>
        </is>
      </c>
      <c r="F38" s="129" t="inlineStr">
        <is>
          <t>Autoqueratorrefractor, marca Nidek, modelo ARK-F</t>
        </is>
      </c>
      <c r="G38" s="129" t="inlineStr">
        <is>
          <t>Nidek</t>
        </is>
      </c>
      <c r="H38" s="129" t="inlineStr">
        <is>
          <t>ARK-F</t>
        </is>
      </c>
      <c r="I38" s="128" t="inlineStr">
        <is>
          <t>270023</t>
        </is>
      </c>
      <c r="J38" s="128" t="inlineStr">
        <is>
          <t>OFTALMO</t>
        </is>
      </c>
      <c r="K38" s="128" t="inlineStr">
        <is>
          <t>S4</t>
        </is>
      </c>
      <c r="L38" s="128" t="n">
        <v>1</v>
      </c>
      <c r="M38" s="128" t="n">
        <v>2</v>
      </c>
      <c r="N38" s="128">
        <f>L38+M38</f>
        <v/>
      </c>
    </row>
    <row r="39" ht="19.95" customHeight="1" s="227">
      <c r="A39" s="130" t="n">
        <v>36</v>
      </c>
      <c r="B39" s="130" t="inlineStr">
        <is>
          <t>BM-036</t>
        </is>
      </c>
      <c r="C39" s="130" t="n">
        <v>54</v>
      </c>
      <c r="D39" s="131" t="inlineStr">
        <is>
          <t>H.M.E.O. Constituyentes</t>
        </is>
      </c>
      <c r="E39" s="130" t="inlineStr">
        <is>
          <t>CDMX</t>
        </is>
      </c>
      <c r="F39" s="131" t="inlineStr">
        <is>
          <t>Autoqueratorrefractor, marca Nidek, modelo ARK-F</t>
        </is>
      </c>
      <c r="G39" s="131" t="inlineStr">
        <is>
          <t>Nidek</t>
        </is>
      </c>
      <c r="H39" s="131" t="inlineStr">
        <is>
          <t>ARK-F</t>
        </is>
      </c>
      <c r="I39" s="130" t="inlineStr">
        <is>
          <t>270034</t>
        </is>
      </c>
      <c r="J39" s="130" t="inlineStr">
        <is>
          <t>OFTALMO</t>
        </is>
      </c>
      <c r="K39" s="130" t="inlineStr">
        <is>
          <t>S4</t>
        </is>
      </c>
      <c r="L39" s="130" t="n">
        <v>1</v>
      </c>
      <c r="M39" s="130" t="n">
        <v>2</v>
      </c>
      <c r="N39" s="130">
        <f>L39+M39</f>
        <v/>
      </c>
    </row>
    <row r="40" ht="19.95" customHeight="1" s="227">
      <c r="A40" s="128" t="n">
        <v>37</v>
      </c>
      <c r="B40" s="128" t="inlineStr">
        <is>
          <t>BM-037</t>
        </is>
      </c>
      <c r="C40" s="128" t="n">
        <v>55</v>
      </c>
      <c r="D40" s="129" t="inlineStr">
        <is>
          <t>H.M.E.O. Constituyentes</t>
        </is>
      </c>
      <c r="E40" s="128" t="inlineStr">
        <is>
          <t>CDMX</t>
        </is>
      </c>
      <c r="F40" s="129" t="inlineStr">
        <is>
          <t>Autoqueratorrefractor, marca Nidek, modelo ARK-F</t>
        </is>
      </c>
      <c r="G40" s="129" t="inlineStr">
        <is>
          <t>Nidek</t>
        </is>
      </c>
      <c r="H40" s="129" t="inlineStr">
        <is>
          <t>ARK-F</t>
        </is>
      </c>
      <c r="I40" s="128" t="inlineStr">
        <is>
          <t>270035</t>
        </is>
      </c>
      <c r="J40" s="128" t="inlineStr">
        <is>
          <t>OFTALMO</t>
        </is>
      </c>
      <c r="K40" s="128" t="inlineStr">
        <is>
          <t>S4</t>
        </is>
      </c>
      <c r="L40" s="128" t="n">
        <v>1</v>
      </c>
      <c r="M40" s="128" t="n">
        <v>2</v>
      </c>
      <c r="N40" s="128">
        <f>L40+M40</f>
        <v/>
      </c>
    </row>
    <row r="41" ht="19.95" customHeight="1" s="227">
      <c r="A41" s="130" t="n">
        <v>38</v>
      </c>
      <c r="B41" s="130" t="inlineStr">
        <is>
          <t>BM-038</t>
        </is>
      </c>
      <c r="C41" s="130" t="n">
        <v>56</v>
      </c>
      <c r="D41" s="131" t="inlineStr">
        <is>
          <t>H.M.E.O. Constituyentes</t>
        </is>
      </c>
      <c r="E41" s="130" t="inlineStr">
        <is>
          <t>CDMX</t>
        </is>
      </c>
      <c r="F41" s="131" t="inlineStr">
        <is>
          <t>Autoqueratorrefractor, marca Nidek, modelo ARK-F</t>
        </is>
      </c>
      <c r="G41" s="131" t="inlineStr">
        <is>
          <t>Nidek</t>
        </is>
      </c>
      <c r="H41" s="131" t="inlineStr">
        <is>
          <t>ARK-F</t>
        </is>
      </c>
      <c r="I41" s="130" t="inlineStr">
        <is>
          <t>270036</t>
        </is>
      </c>
      <c r="J41" s="130" t="inlineStr">
        <is>
          <t>OFTALMO</t>
        </is>
      </c>
      <c r="K41" s="130" t="inlineStr">
        <is>
          <t>S4</t>
        </is>
      </c>
      <c r="L41" s="130" t="n">
        <v>1</v>
      </c>
      <c r="M41" s="130" t="n">
        <v>2</v>
      </c>
      <c r="N41" s="130">
        <f>L41+M41</f>
        <v/>
      </c>
    </row>
    <row r="42" ht="19.95" customHeight="1" s="227">
      <c r="A42" s="128" t="n">
        <v>39</v>
      </c>
      <c r="B42" s="128" t="inlineStr">
        <is>
          <t>BM-039</t>
        </is>
      </c>
      <c r="C42" s="128" t="n">
        <v>57</v>
      </c>
      <c r="D42" s="129" t="inlineStr">
        <is>
          <t>H.M.E.O. Constituyentes</t>
        </is>
      </c>
      <c r="E42" s="128" t="inlineStr">
        <is>
          <t>CDMX</t>
        </is>
      </c>
      <c r="F42" s="129" t="inlineStr">
        <is>
          <t>Autoqueratorrefractor, marca Nidek, modelo ARK-F</t>
        </is>
      </c>
      <c r="G42" s="129" t="inlineStr">
        <is>
          <t>Nidek</t>
        </is>
      </c>
      <c r="H42" s="129" t="inlineStr">
        <is>
          <t>ARK-F</t>
        </is>
      </c>
      <c r="I42" s="128" t="inlineStr">
        <is>
          <t>270037</t>
        </is>
      </c>
      <c r="J42" s="128" t="inlineStr">
        <is>
          <t>OFTALMO</t>
        </is>
      </c>
      <c r="K42" s="128" t="inlineStr">
        <is>
          <t>S4</t>
        </is>
      </c>
      <c r="L42" s="128" t="n">
        <v>1</v>
      </c>
      <c r="M42" s="128" t="n">
        <v>2</v>
      </c>
      <c r="N42" s="128">
        <f>L42+M42</f>
        <v/>
      </c>
    </row>
    <row r="43" ht="19.95" customHeight="1" s="227">
      <c r="A43" s="130" t="n">
        <v>40</v>
      </c>
      <c r="B43" s="130" t="inlineStr">
        <is>
          <t>BM-040</t>
        </is>
      </c>
      <c r="C43" s="130" t="n">
        <v>58</v>
      </c>
      <c r="D43" s="131" t="inlineStr">
        <is>
          <t>H.M.E.O. Constituyentes</t>
        </is>
      </c>
      <c r="E43" s="130" t="inlineStr">
        <is>
          <t>CDMX</t>
        </is>
      </c>
      <c r="F43" s="131" t="inlineStr">
        <is>
          <t>Autoqueratorrefractor, marca Nidek, modelo ARK-F</t>
        </is>
      </c>
      <c r="G43" s="131" t="inlineStr">
        <is>
          <t>Nidek</t>
        </is>
      </c>
      <c r="H43" s="131" t="inlineStr">
        <is>
          <t>ARK-F</t>
        </is>
      </c>
      <c r="I43" s="130" t="inlineStr">
        <is>
          <t>270038</t>
        </is>
      </c>
      <c r="J43" s="130" t="inlineStr">
        <is>
          <t>OFTALMO</t>
        </is>
      </c>
      <c r="K43" s="130" t="inlineStr">
        <is>
          <t>S4</t>
        </is>
      </c>
      <c r="L43" s="130" t="n">
        <v>1</v>
      </c>
      <c r="M43" s="130" t="n">
        <v>2</v>
      </c>
      <c r="N43" s="130">
        <f>L43+M43</f>
        <v/>
      </c>
    </row>
    <row r="44" ht="19.95" customHeight="1" s="227">
      <c r="A44" s="128" t="n">
        <v>41</v>
      </c>
      <c r="B44" s="128" t="inlineStr">
        <is>
          <t>BM-041</t>
        </is>
      </c>
      <c r="C44" s="128" t="n">
        <v>59</v>
      </c>
      <c r="D44" s="129" t="inlineStr">
        <is>
          <t>H.M.E.O. Constituyentes</t>
        </is>
      </c>
      <c r="E44" s="128" t="inlineStr">
        <is>
          <t>CDMX</t>
        </is>
      </c>
      <c r="F44" s="129" t="inlineStr">
        <is>
          <t>Autoqueratorrefractor, marca Nidek, modelo ARK-F</t>
        </is>
      </c>
      <c r="G44" s="129" t="inlineStr">
        <is>
          <t>Nidek</t>
        </is>
      </c>
      <c r="H44" s="129" t="inlineStr">
        <is>
          <t>ARK-F</t>
        </is>
      </c>
      <c r="I44" s="128" t="inlineStr">
        <is>
          <t>270033</t>
        </is>
      </c>
      <c r="J44" s="128" t="inlineStr">
        <is>
          <t>OFTALMO</t>
        </is>
      </c>
      <c r="K44" s="128" t="inlineStr">
        <is>
          <t>S4</t>
        </is>
      </c>
      <c r="L44" s="128" t="n">
        <v>1</v>
      </c>
      <c r="M44" s="128" t="n">
        <v>2</v>
      </c>
      <c r="N44" s="128">
        <f>L44+M44</f>
        <v/>
      </c>
    </row>
    <row r="45" ht="19.95" customHeight="1" s="227">
      <c r="A45" s="130" t="n">
        <v>42</v>
      </c>
      <c r="B45" s="130" t="inlineStr">
        <is>
          <t>BM-042</t>
        </is>
      </c>
      <c r="C45" s="130" t="n">
        <v>60</v>
      </c>
      <c r="D45" s="131" t="inlineStr">
        <is>
          <t>H.M.E.O. Constituyentes</t>
        </is>
      </c>
      <c r="E45" s="130" t="inlineStr">
        <is>
          <t>CDMX</t>
        </is>
      </c>
      <c r="F45" s="131" t="inlineStr">
        <is>
          <t>Autoqueratorrefractor, marca Nidek, modelo ARK-F</t>
        </is>
      </c>
      <c r="G45" s="131" t="inlineStr">
        <is>
          <t>Nidek</t>
        </is>
      </c>
      <c r="H45" s="131" t="inlineStr">
        <is>
          <t>ARK-F</t>
        </is>
      </c>
      <c r="I45" s="130" t="inlineStr">
        <is>
          <t>270025</t>
        </is>
      </c>
      <c r="J45" s="130" t="inlineStr">
        <is>
          <t>OFTALMO</t>
        </is>
      </c>
      <c r="K45" s="130" t="inlineStr">
        <is>
          <t>S4</t>
        </is>
      </c>
      <c r="L45" s="130" t="n">
        <v>1</v>
      </c>
      <c r="M45" s="130" t="n">
        <v>2</v>
      </c>
      <c r="N45" s="130">
        <f>L45+M45</f>
        <v/>
      </c>
    </row>
    <row r="46" ht="19.95" customHeight="1" s="227">
      <c r="A46" s="128" t="n">
        <v>43</v>
      </c>
      <c r="B46" s="128" t="inlineStr">
        <is>
          <t>BM-043</t>
        </is>
      </c>
      <c r="C46" s="128" t="n">
        <v>61</v>
      </c>
      <c r="D46" s="129" t="inlineStr">
        <is>
          <t>H.M.E.O. Constituyentes</t>
        </is>
      </c>
      <c r="E46" s="128" t="inlineStr">
        <is>
          <t>CDMX</t>
        </is>
      </c>
      <c r="F46" s="129" t="inlineStr">
        <is>
          <t>Sistema de diagnóstico oftálmico avanzado, marca Nidek, modelo TONOREF III</t>
        </is>
      </c>
      <c r="G46" s="129" t="inlineStr">
        <is>
          <t>Nidek</t>
        </is>
      </c>
      <c r="H46" s="129" t="inlineStr">
        <is>
          <t>TONOREF III</t>
        </is>
      </c>
      <c r="I46" s="128" t="inlineStr">
        <is>
          <t>170692</t>
        </is>
      </c>
      <c r="J46" s="128" t="inlineStr">
        <is>
          <t>OFTALMO</t>
        </is>
      </c>
      <c r="K46" s="128" t="inlineStr">
        <is>
          <t>S4</t>
        </is>
      </c>
      <c r="L46" s="128" t="n">
        <v>1</v>
      </c>
      <c r="M46" s="128" t="n">
        <v>2</v>
      </c>
      <c r="N46" s="128">
        <f>L46+M46</f>
        <v/>
      </c>
    </row>
    <row r="47" ht="19.95" customHeight="1" s="227">
      <c r="A47" s="130" t="n">
        <v>44</v>
      </c>
      <c r="B47" s="130" t="inlineStr">
        <is>
          <t>BM-044</t>
        </is>
      </c>
      <c r="C47" s="130" t="n">
        <v>62</v>
      </c>
      <c r="D47" s="131" t="inlineStr">
        <is>
          <t>H.M.E.O. Constituyentes</t>
        </is>
      </c>
      <c r="E47" s="130" t="inlineStr">
        <is>
          <t>CDMX</t>
        </is>
      </c>
      <c r="F47" s="131" t="inlineStr">
        <is>
          <t>Sistema de diagnóstico oftálmico avanzado, marca Nidek, modelo TONOREF III</t>
        </is>
      </c>
      <c r="G47" s="131" t="inlineStr">
        <is>
          <t>Nidek</t>
        </is>
      </c>
      <c r="H47" s="131" t="inlineStr">
        <is>
          <t>TONOREF III</t>
        </is>
      </c>
      <c r="I47" s="130" t="inlineStr">
        <is>
          <t>170696</t>
        </is>
      </c>
      <c r="J47" s="130" t="inlineStr">
        <is>
          <t>OFTALMO</t>
        </is>
      </c>
      <c r="K47" s="130" t="inlineStr">
        <is>
          <t>S4</t>
        </is>
      </c>
      <c r="L47" s="130" t="n">
        <v>1</v>
      </c>
      <c r="M47" s="130" t="n">
        <v>2</v>
      </c>
      <c r="N47" s="130">
        <f>L47+M47</f>
        <v/>
      </c>
    </row>
    <row r="48" ht="19.95" customHeight="1" s="227">
      <c r="A48" s="128" t="n">
        <v>45</v>
      </c>
      <c r="B48" s="128" t="inlineStr">
        <is>
          <t>BM-045</t>
        </is>
      </c>
      <c r="C48" s="128" t="n">
        <v>63</v>
      </c>
      <c r="D48" s="129" t="inlineStr">
        <is>
          <t>H.M.E.O. Constituyentes</t>
        </is>
      </c>
      <c r="E48" s="128" t="inlineStr">
        <is>
          <t>CDMX</t>
        </is>
      </c>
      <c r="F48" s="129" t="inlineStr">
        <is>
          <t>Sistema de diagnóstico oftálmico avanzado, marca Nidek, modelo TONOREF III</t>
        </is>
      </c>
      <c r="G48" s="129" t="inlineStr">
        <is>
          <t>Nidek</t>
        </is>
      </c>
      <c r="H48" s="129" t="inlineStr">
        <is>
          <t>TONOREF III</t>
        </is>
      </c>
      <c r="I48" s="128" t="inlineStr">
        <is>
          <t>170711</t>
        </is>
      </c>
      <c r="J48" s="128" t="inlineStr">
        <is>
          <t>OFTALMO</t>
        </is>
      </c>
      <c r="K48" s="128" t="inlineStr">
        <is>
          <t>S4</t>
        </is>
      </c>
      <c r="L48" s="128" t="n">
        <v>1</v>
      </c>
      <c r="M48" s="128" t="n">
        <v>2</v>
      </c>
      <c r="N48" s="128">
        <f>L48+M48</f>
        <v/>
      </c>
    </row>
    <row r="49" ht="19.95" customHeight="1" s="227">
      <c r="A49" s="130" t="n">
        <v>46</v>
      </c>
      <c r="B49" s="130" t="inlineStr">
        <is>
          <t>BM-046</t>
        </is>
      </c>
      <c r="C49" s="130" t="n">
        <v>64</v>
      </c>
      <c r="D49" s="131" t="inlineStr">
        <is>
          <t>H.M.E.O. Constituyentes</t>
        </is>
      </c>
      <c r="E49" s="130" t="inlineStr">
        <is>
          <t>CDMX</t>
        </is>
      </c>
      <c r="F49" s="131" t="inlineStr">
        <is>
          <t>Sistema de diagnóstico oftálmico avanzado, marca Nidek, modelo TONOREF III</t>
        </is>
      </c>
      <c r="G49" s="131" t="inlineStr">
        <is>
          <t>Nidek</t>
        </is>
      </c>
      <c r="H49" s="131" t="inlineStr">
        <is>
          <t>TONOREF III</t>
        </is>
      </c>
      <c r="I49" s="130" t="inlineStr">
        <is>
          <t>170712</t>
        </is>
      </c>
      <c r="J49" s="130" t="inlineStr">
        <is>
          <t>OFTALMO</t>
        </is>
      </c>
      <c r="K49" s="130" t="inlineStr">
        <is>
          <t>S4</t>
        </is>
      </c>
      <c r="L49" s="130" t="n">
        <v>1</v>
      </c>
      <c r="M49" s="130" t="n">
        <v>2</v>
      </c>
      <c r="N49" s="130">
        <f>L49+M49</f>
        <v/>
      </c>
    </row>
    <row r="50" ht="19.95" customHeight="1" s="227">
      <c r="A50" s="128" t="n">
        <v>47</v>
      </c>
      <c r="B50" s="128" t="inlineStr">
        <is>
          <t>BM-047</t>
        </is>
      </c>
      <c r="C50" s="128" t="n">
        <v>65</v>
      </c>
      <c r="D50" s="129" t="inlineStr">
        <is>
          <t>H.M.E.O. Constituyentes</t>
        </is>
      </c>
      <c r="E50" s="128" t="inlineStr">
        <is>
          <t>CDMX</t>
        </is>
      </c>
      <c r="F50" s="129" t="inlineStr">
        <is>
          <t>Sistema de diagnóstico oftálmico avanzado, marca Nidek, modelo TONOREF III</t>
        </is>
      </c>
      <c r="G50" s="129" t="inlineStr">
        <is>
          <t>Nidek</t>
        </is>
      </c>
      <c r="H50" s="129" t="inlineStr">
        <is>
          <t>TONOREF III</t>
        </is>
      </c>
      <c r="I50" s="128" t="inlineStr">
        <is>
          <t>170715</t>
        </is>
      </c>
      <c r="J50" s="128" t="inlineStr">
        <is>
          <t>OFTALMO</t>
        </is>
      </c>
      <c r="K50" s="128" t="inlineStr">
        <is>
          <t>S4</t>
        </is>
      </c>
      <c r="L50" s="128" t="n">
        <v>1</v>
      </c>
      <c r="M50" s="128" t="n">
        <v>2</v>
      </c>
      <c r="N50" s="128">
        <f>L50+M50</f>
        <v/>
      </c>
    </row>
    <row r="51" ht="19.95" customHeight="1" s="227">
      <c r="A51" s="130" t="n">
        <v>48</v>
      </c>
      <c r="B51" s="130" t="inlineStr">
        <is>
          <t>BM-048</t>
        </is>
      </c>
      <c r="C51" s="130" t="n">
        <v>68</v>
      </c>
      <c r="D51" s="131" t="inlineStr">
        <is>
          <t>H.M.E.O. Constituyentes</t>
        </is>
      </c>
      <c r="E51" s="130" t="inlineStr">
        <is>
          <t>CDMX</t>
        </is>
      </c>
      <c r="F51" s="131" t="inlineStr">
        <is>
          <t>Sistema de diagnóstico oftálmico avanzado, marca Nidek, modelo OPD-Scan III</t>
        </is>
      </c>
      <c r="G51" s="131" t="inlineStr">
        <is>
          <t>Nidek</t>
        </is>
      </c>
      <c r="H51" s="131" t="inlineStr">
        <is>
          <t>OPD-Scan III</t>
        </is>
      </c>
      <c r="I51" s="130" t="inlineStr">
        <is>
          <t>470112</t>
        </is>
      </c>
      <c r="J51" s="130" t="inlineStr">
        <is>
          <t>OFTALMO</t>
        </is>
      </c>
      <c r="K51" s="130" t="inlineStr">
        <is>
          <t>S4</t>
        </is>
      </c>
      <c r="L51" s="130" t="n">
        <v>1</v>
      </c>
      <c r="M51" s="130" t="n">
        <v>2</v>
      </c>
      <c r="N51" s="130">
        <f>L51+M51</f>
        <v/>
      </c>
    </row>
    <row r="52" ht="19.95" customHeight="1" s="227">
      <c r="A52" s="128" t="n">
        <v>49</v>
      </c>
      <c r="B52" s="128" t="inlineStr">
        <is>
          <t>BM-049</t>
        </is>
      </c>
      <c r="C52" s="128" t="n">
        <v>69</v>
      </c>
      <c r="D52" s="129" t="inlineStr">
        <is>
          <t>H.M.E.O. Constituyentes</t>
        </is>
      </c>
      <c r="E52" s="128" t="inlineStr">
        <is>
          <t>CDMX</t>
        </is>
      </c>
      <c r="F52" s="129" t="inlineStr">
        <is>
          <t>Sistema de diagnóstico oftálmico avanzado, marca Nidek, modelo OPD-Scan III</t>
        </is>
      </c>
      <c r="G52" s="129" t="inlineStr">
        <is>
          <t>Nidek</t>
        </is>
      </c>
      <c r="H52" s="129" t="inlineStr">
        <is>
          <t>OPD-Scan III</t>
        </is>
      </c>
      <c r="I52" s="128" t="inlineStr">
        <is>
          <t>470113</t>
        </is>
      </c>
      <c r="J52" s="128" t="inlineStr">
        <is>
          <t>OFTALMO</t>
        </is>
      </c>
      <c r="K52" s="128" t="inlineStr">
        <is>
          <t>S4</t>
        </is>
      </c>
      <c r="L52" s="128" t="n">
        <v>1</v>
      </c>
      <c r="M52" s="128" t="n">
        <v>2</v>
      </c>
      <c r="N52" s="128">
        <f>L52+M52</f>
        <v/>
      </c>
    </row>
    <row r="53" ht="19.95" customHeight="1" s="227">
      <c r="A53" s="130" t="n">
        <v>50</v>
      </c>
      <c r="B53" s="130" t="inlineStr">
        <is>
          <t>BM-050</t>
        </is>
      </c>
      <c r="C53" s="130" t="n">
        <v>70</v>
      </c>
      <c r="D53" s="131" t="inlineStr">
        <is>
          <t>H.M.E.O. Constituyentes</t>
        </is>
      </c>
      <c r="E53" s="130" t="inlineStr">
        <is>
          <t>CDMX</t>
        </is>
      </c>
      <c r="F53" s="131" t="inlineStr">
        <is>
          <t>Plataforma láser oftálmica combinada YAG/SLT, marca Quantel Medical, modelo Optimis Fusion</t>
        </is>
      </c>
      <c r="G53" s="131" t="inlineStr">
        <is>
          <t>Quantel Medical</t>
        </is>
      </c>
      <c r="H53" s="131" t="inlineStr">
        <is>
          <t>Optimis Fusion</t>
        </is>
      </c>
      <c r="I53" s="130" t="inlineStr">
        <is>
          <t>62-10-135</t>
        </is>
      </c>
      <c r="J53" s="130" t="inlineStr">
        <is>
          <t>OFTALMO</t>
        </is>
      </c>
      <c r="K53" s="130" t="inlineStr">
        <is>
          <t>ARFAMEX</t>
        </is>
      </c>
      <c r="L53" s="130" t="n">
        <v>1</v>
      </c>
      <c r="M53" s="130" t="n">
        <v>2</v>
      </c>
      <c r="N53" s="130">
        <f>L53+M53</f>
        <v/>
      </c>
    </row>
    <row r="54" ht="19.95" customHeight="1" s="227">
      <c r="A54" s="128" t="n">
        <v>51</v>
      </c>
      <c r="B54" s="128" t="inlineStr">
        <is>
          <t>BM-051</t>
        </is>
      </c>
      <c r="C54" s="128" t="n">
        <v>71</v>
      </c>
      <c r="D54" s="129" t="inlineStr">
        <is>
          <t>H.M.E.O. Constituyentes</t>
        </is>
      </c>
      <c r="E54" s="128" t="inlineStr">
        <is>
          <t>CDMX</t>
        </is>
      </c>
      <c r="F54" s="129" t="inlineStr">
        <is>
          <t>Láser excimer, marca Alcon, modelo Wavelight</t>
        </is>
      </c>
      <c r="G54" s="129" t="inlineStr">
        <is>
          <t>Alcon</t>
        </is>
      </c>
      <c r="H54" s="129" t="inlineStr">
        <is>
          <t>Wavelight</t>
        </is>
      </c>
      <c r="I54" s="128" t="inlineStr">
        <is>
          <t>1016-4-3384</t>
        </is>
      </c>
      <c r="J54" s="128" t="inlineStr">
        <is>
          <t>OFTALMO</t>
        </is>
      </c>
      <c r="K54" s="128" t="inlineStr">
        <is>
          <t>ALCON</t>
        </is>
      </c>
      <c r="L54" s="128" t="n">
        <v>1</v>
      </c>
      <c r="M54" s="128" t="n">
        <v>2</v>
      </c>
      <c r="N54" s="128">
        <f>L54+M54</f>
        <v/>
      </c>
    </row>
    <row r="55" ht="19.95" customHeight="1" s="227">
      <c r="A55" s="130" t="n">
        <v>52</v>
      </c>
      <c r="B55" s="130" t="inlineStr">
        <is>
          <t>BM-052</t>
        </is>
      </c>
      <c r="C55" s="130" t="n">
        <v>72</v>
      </c>
      <c r="D55" s="131" t="inlineStr">
        <is>
          <t>H.M.E.O. Constituyentes</t>
        </is>
      </c>
      <c r="E55" s="130" t="inlineStr">
        <is>
          <t>CDMX</t>
        </is>
      </c>
      <c r="F55" s="131" t="inlineStr">
        <is>
          <t>Láser oftálmico, marca Quantel Medical, modelo Easyret</t>
        </is>
      </c>
      <c r="G55" s="131" t="inlineStr">
        <is>
          <t>Quantel Medical</t>
        </is>
      </c>
      <c r="H55" s="131" t="inlineStr">
        <is>
          <t>Easyret</t>
        </is>
      </c>
      <c r="I55" s="130" t="inlineStr">
        <is>
          <t>2209031</t>
        </is>
      </c>
      <c r="J55" s="130" t="inlineStr">
        <is>
          <t>OFTALMO</t>
        </is>
      </c>
      <c r="K55" s="130" t="inlineStr">
        <is>
          <t>ARFAMEX</t>
        </is>
      </c>
      <c r="L55" s="130" t="n">
        <v>1</v>
      </c>
      <c r="M55" s="130" t="n">
        <v>2</v>
      </c>
      <c r="N55" s="130">
        <f>L55+M55</f>
        <v/>
      </c>
    </row>
    <row r="56" ht="19.95" customHeight="1" s="227">
      <c r="A56" s="128" t="n">
        <v>53</v>
      </c>
      <c r="B56" s="128" t="inlineStr">
        <is>
          <t>BM-053</t>
        </is>
      </c>
      <c r="C56" s="128" t="n">
        <v>73</v>
      </c>
      <c r="D56" s="129" t="inlineStr">
        <is>
          <t>H.M.E.O. Constituyentes</t>
        </is>
      </c>
      <c r="E56" s="128" t="inlineStr">
        <is>
          <t>CDMX</t>
        </is>
      </c>
      <c r="F56" s="129" t="inlineStr">
        <is>
          <t>Láser oftálmico, marca Quantel Medical, modelo Easyret</t>
        </is>
      </c>
      <c r="G56" s="129" t="inlineStr">
        <is>
          <t>Quantel Medical</t>
        </is>
      </c>
      <c r="H56" s="129" t="inlineStr">
        <is>
          <t>Easyret</t>
        </is>
      </c>
      <c r="I56" s="128" t="inlineStr">
        <is>
          <t>2209032</t>
        </is>
      </c>
      <c r="J56" s="128" t="inlineStr">
        <is>
          <t>OFTALMO</t>
        </is>
      </c>
      <c r="K56" s="128" t="inlineStr">
        <is>
          <t>ARFAMEX</t>
        </is>
      </c>
      <c r="L56" s="128" t="n">
        <v>1</v>
      </c>
      <c r="M56" s="128" t="n">
        <v>2</v>
      </c>
      <c r="N56" s="128">
        <f>L56+M56</f>
        <v/>
      </c>
    </row>
    <row r="57" ht="19.95" customHeight="1" s="227">
      <c r="A57" s="130" t="n">
        <v>54</v>
      </c>
      <c r="B57" s="130" t="inlineStr">
        <is>
          <t>BM-054</t>
        </is>
      </c>
      <c r="C57" s="130" t="n">
        <v>74</v>
      </c>
      <c r="D57" s="131" t="inlineStr">
        <is>
          <t>H.M.E.O. Constituyentes</t>
        </is>
      </c>
      <c r="E57" s="130" t="inlineStr">
        <is>
          <t>CDMX</t>
        </is>
      </c>
      <c r="F57" s="131" t="inlineStr">
        <is>
          <t>Equipo para crosslinking ocular, marca KXL, modelo Avedro</t>
        </is>
      </c>
      <c r="G57" s="131" t="inlineStr">
        <is>
          <t>KXL</t>
        </is>
      </c>
      <c r="H57" s="131" t="inlineStr">
        <is>
          <t>Avedro</t>
        </is>
      </c>
      <c r="I57" s="130" t="inlineStr">
        <is>
          <t>KXL221005</t>
        </is>
      </c>
      <c r="J57" s="130" t="inlineStr">
        <is>
          <t>OFTALMO</t>
        </is>
      </c>
      <c r="K57" s="130" t="inlineStr">
        <is>
          <t>ARFAMEX</t>
        </is>
      </c>
      <c r="L57" s="130" t="n">
        <v>1</v>
      </c>
      <c r="M57" s="130" t="n">
        <v>2</v>
      </c>
      <c r="N57" s="130">
        <f>L57+M57</f>
        <v/>
      </c>
    </row>
    <row r="58" ht="19.95" customHeight="1" s="227">
      <c r="A58" s="128" t="n">
        <v>55</v>
      </c>
      <c r="B58" s="128" t="inlineStr">
        <is>
          <t>BM-055</t>
        </is>
      </c>
      <c r="C58" s="128" t="n">
        <v>75</v>
      </c>
      <c r="D58" s="129" t="inlineStr">
        <is>
          <t>H.M.E.O. Constituyentes</t>
        </is>
      </c>
      <c r="E58" s="128" t="inlineStr">
        <is>
          <t>CDMX</t>
        </is>
      </c>
      <c r="F58" s="129" t="inlineStr">
        <is>
          <t>OCT con retinógrafo integrado, marca Nidek, modelo Retina Scan DUO-2 (RS-300)</t>
        </is>
      </c>
      <c r="G58" s="129" t="inlineStr">
        <is>
          <t>Nidek</t>
        </is>
      </c>
      <c r="H58" s="129" t="inlineStr">
        <is>
          <t>Retina Scan DUO-2 (RS-300)</t>
        </is>
      </c>
      <c r="I58" s="128" t="inlineStr">
        <is>
          <t>742223</t>
        </is>
      </c>
      <c r="J58" s="128" t="inlineStr">
        <is>
          <t>OFTALMO</t>
        </is>
      </c>
      <c r="K58" s="128" t="inlineStr">
        <is>
          <t>S4</t>
        </is>
      </c>
      <c r="L58" s="128" t="n">
        <v>2</v>
      </c>
      <c r="M58" s="128" t="n">
        <v>4</v>
      </c>
      <c r="N58" s="128">
        <f>L58+M58</f>
        <v/>
      </c>
    </row>
    <row r="59" ht="19.95" customHeight="1" s="227">
      <c r="A59" s="130" t="n">
        <v>56</v>
      </c>
      <c r="B59" s="130" t="inlineStr">
        <is>
          <t>BM-056</t>
        </is>
      </c>
      <c r="C59" s="130" t="n">
        <v>76</v>
      </c>
      <c r="D59" s="131" t="inlineStr">
        <is>
          <t>H.M.E.O. Constituyentes</t>
        </is>
      </c>
      <c r="E59" s="130" t="inlineStr">
        <is>
          <t>CDMX</t>
        </is>
      </c>
      <c r="F59" s="131" t="inlineStr">
        <is>
          <t>OCT con retinógrafo integrado, marca Nidek, modelo Retina Scan DUO-2 (RS-300)</t>
        </is>
      </c>
      <c r="G59" s="131" t="inlineStr">
        <is>
          <t>Nidek</t>
        </is>
      </c>
      <c r="H59" s="131" t="inlineStr">
        <is>
          <t>Retina Scan DUO-2 (RS-300)</t>
        </is>
      </c>
      <c r="I59" s="130" t="inlineStr">
        <is>
          <t>741879</t>
        </is>
      </c>
      <c r="J59" s="130" t="inlineStr">
        <is>
          <t>OFTALMO</t>
        </is>
      </c>
      <c r="K59" s="130" t="inlineStr">
        <is>
          <t>S4</t>
        </is>
      </c>
      <c r="L59" s="130" t="n">
        <v>1</v>
      </c>
      <c r="M59" s="130" t="n">
        <v>2</v>
      </c>
      <c r="N59" s="130">
        <f>L59+M59</f>
        <v/>
      </c>
    </row>
    <row r="60" ht="19.95" customHeight="1" s="227">
      <c r="A60" s="128" t="n">
        <v>57</v>
      </c>
      <c r="B60" s="128" t="inlineStr">
        <is>
          <t>BM-057</t>
        </is>
      </c>
      <c r="C60" s="128" t="n">
        <v>77</v>
      </c>
      <c r="D60" s="129" t="inlineStr">
        <is>
          <t>H.M.E.O. Constituyentes</t>
        </is>
      </c>
      <c r="E60" s="128" t="inlineStr">
        <is>
          <t>CDMX</t>
        </is>
      </c>
      <c r="F60" s="129" t="inlineStr">
        <is>
          <t>OCT con retinógrafo integrado, marca Nidek, modelo Retina Scan DUO-2 (RS-300)</t>
        </is>
      </c>
      <c r="G60" s="129" t="inlineStr">
        <is>
          <t>Nidek</t>
        </is>
      </c>
      <c r="H60" s="129" t="inlineStr">
        <is>
          <t>Retina Scan DUO-2 (RS-300)</t>
        </is>
      </c>
      <c r="I60" s="128" t="inlineStr">
        <is>
          <t>742356</t>
        </is>
      </c>
      <c r="J60" s="128" t="inlineStr">
        <is>
          <t>OFTALMO</t>
        </is>
      </c>
      <c r="K60" s="128" t="inlineStr">
        <is>
          <t>S4</t>
        </is>
      </c>
      <c r="L60" s="128" t="n">
        <v>1</v>
      </c>
      <c r="M60" s="128" t="n">
        <v>2</v>
      </c>
      <c r="N60" s="128">
        <f>L60+M60</f>
        <v/>
      </c>
    </row>
    <row r="61" ht="19.95" customHeight="1" s="227">
      <c r="A61" s="130" t="n">
        <v>58</v>
      </c>
      <c r="B61" s="130" t="inlineStr">
        <is>
          <t>BM-058</t>
        </is>
      </c>
      <c r="C61" s="130" t="n">
        <v>78</v>
      </c>
      <c r="D61" s="131" t="inlineStr">
        <is>
          <t>H.M.E.O. Constituyentes</t>
        </is>
      </c>
      <c r="E61" s="130" t="inlineStr">
        <is>
          <t>CDMX</t>
        </is>
      </c>
      <c r="F61" s="131" t="inlineStr">
        <is>
          <t>OCT con retinógrafo integrado, marca Nidek, modelo Retina Scan DUO-2 (RS-300)</t>
        </is>
      </c>
      <c r="G61" s="131" t="inlineStr">
        <is>
          <t>Nidek</t>
        </is>
      </c>
      <c r="H61" s="131" t="inlineStr">
        <is>
          <t>Retina Scan DUO-2 (RS-300)</t>
        </is>
      </c>
      <c r="I61" s="130" t="inlineStr">
        <is>
          <t>741940</t>
        </is>
      </c>
      <c r="J61" s="130" t="inlineStr">
        <is>
          <t>OFTALMO</t>
        </is>
      </c>
      <c r="K61" s="130" t="inlineStr">
        <is>
          <t>S4</t>
        </is>
      </c>
      <c r="L61" s="130" t="n">
        <v>2</v>
      </c>
      <c r="M61" s="130" t="n">
        <v>4</v>
      </c>
      <c r="N61" s="130">
        <f>L61+M61</f>
        <v/>
      </c>
    </row>
    <row r="62" ht="19.95" customHeight="1" s="227">
      <c r="A62" s="128" t="n">
        <v>59</v>
      </c>
      <c r="B62" s="128" t="inlineStr">
        <is>
          <t>BM-059</t>
        </is>
      </c>
      <c r="C62" s="128" t="n">
        <v>79</v>
      </c>
      <c r="D62" s="129" t="inlineStr">
        <is>
          <t>H.M.E.O. Constituyentes</t>
        </is>
      </c>
      <c r="E62" s="128" t="inlineStr">
        <is>
          <t>CDMX</t>
        </is>
      </c>
      <c r="F62" s="129" t="inlineStr">
        <is>
          <t>Sistema de diagnóstico oftálmico avanzado, marca Heidelberg Engineering, modelo Spectralis</t>
        </is>
      </c>
      <c r="G62" s="129" t="inlineStr">
        <is>
          <t>Heidelberg Engineering</t>
        </is>
      </c>
      <c r="H62" s="129" t="inlineStr">
        <is>
          <t>Spectralis</t>
        </is>
      </c>
      <c r="I62" s="128" t="inlineStr">
        <is>
          <t>SPEC-CAM-21931-53610</t>
        </is>
      </c>
      <c r="J62" s="128" t="inlineStr">
        <is>
          <t>OFTALMO</t>
        </is>
      </c>
      <c r="K62" s="128" t="inlineStr">
        <is>
          <t>ARFAMEX</t>
        </is>
      </c>
      <c r="L62" s="128" t="n">
        <v>2</v>
      </c>
      <c r="M62" s="128" t="n">
        <v>4</v>
      </c>
      <c r="N62" s="128">
        <f>L62+M62</f>
        <v/>
      </c>
    </row>
    <row r="63" ht="19.95" customHeight="1" s="227">
      <c r="A63" s="130" t="n">
        <v>60</v>
      </c>
      <c r="B63" s="130" t="inlineStr">
        <is>
          <t>BM-060</t>
        </is>
      </c>
      <c r="C63" s="130" t="n">
        <v>80</v>
      </c>
      <c r="D63" s="131" t="inlineStr">
        <is>
          <t>H.M.E.O. Constituyentes</t>
        </is>
      </c>
      <c r="E63" s="130" t="inlineStr">
        <is>
          <t>CDMX</t>
        </is>
      </c>
      <c r="F63" s="131" t="inlineStr">
        <is>
          <t>Sistema de diagnóstico oftálmico avanzado, marca Heidelberg Engineering, modelo Spectralis</t>
        </is>
      </c>
      <c r="G63" s="131" t="inlineStr">
        <is>
          <t>Heidelberg Engineering</t>
        </is>
      </c>
      <c r="H63" s="131" t="inlineStr">
        <is>
          <t>Spectralis</t>
        </is>
      </c>
      <c r="I63" s="130" t="inlineStr">
        <is>
          <t>SPEC-CAM-21920-53610</t>
        </is>
      </c>
      <c r="J63" s="130" t="inlineStr">
        <is>
          <t>OFTALMO</t>
        </is>
      </c>
      <c r="K63" s="130" t="inlineStr">
        <is>
          <t>ARFAMEX</t>
        </is>
      </c>
      <c r="L63" s="130" t="n">
        <v>2</v>
      </c>
      <c r="M63" s="130" t="n">
        <v>4</v>
      </c>
      <c r="N63" s="130">
        <f>L63+M63</f>
        <v/>
      </c>
    </row>
    <row r="64" ht="19.95" customHeight="1" s="227">
      <c r="A64" s="128" t="n">
        <v>61</v>
      </c>
      <c r="B64" s="128" t="inlineStr">
        <is>
          <t>BM-061</t>
        </is>
      </c>
      <c r="C64" s="128" t="n">
        <v>81</v>
      </c>
      <c r="D64" s="129" t="inlineStr">
        <is>
          <t>H.M.E.O. Constituyentes</t>
        </is>
      </c>
      <c r="E64" s="128" t="inlineStr">
        <is>
          <t>CDMX</t>
        </is>
      </c>
      <c r="F64" s="129" t="inlineStr">
        <is>
          <t>Sistema de diagnóstico oftálmico avanzado, marca Heidelberg Engineering, modelo Spectralis</t>
        </is>
      </c>
      <c r="G64" s="129" t="inlineStr">
        <is>
          <t>Heidelberg Engineering</t>
        </is>
      </c>
      <c r="H64" s="129" t="inlineStr">
        <is>
          <t>Spectralis</t>
        </is>
      </c>
      <c r="I64" s="128" t="inlineStr">
        <is>
          <t>SPEC-CAM-21928-53610</t>
        </is>
      </c>
      <c r="J64" s="128" t="inlineStr">
        <is>
          <t>OFTALMO</t>
        </is>
      </c>
      <c r="K64" s="128" t="inlineStr">
        <is>
          <t>ARFAMEX</t>
        </is>
      </c>
      <c r="L64" s="128" t="n">
        <v>2</v>
      </c>
      <c r="M64" s="128" t="n">
        <v>4</v>
      </c>
      <c r="N64" s="128">
        <f>L64+M64</f>
        <v/>
      </c>
    </row>
    <row r="65" ht="19.95" customHeight="1" s="227">
      <c r="A65" s="130" t="n">
        <v>62</v>
      </c>
      <c r="B65" s="130" t="inlineStr">
        <is>
          <t>BM-062</t>
        </is>
      </c>
      <c r="C65" s="130" t="n">
        <v>82</v>
      </c>
      <c r="D65" s="131" t="inlineStr">
        <is>
          <t>H.M.E.O. Constituyentes</t>
        </is>
      </c>
      <c r="E65" s="130" t="inlineStr">
        <is>
          <t>CDMX</t>
        </is>
      </c>
      <c r="F65" s="131" t="inlineStr">
        <is>
          <t>Retinógrafo de campo ultra amplio, marca Optos, modelo California</t>
        </is>
      </c>
      <c r="G65" s="131" t="inlineStr">
        <is>
          <t>Optos</t>
        </is>
      </c>
      <c r="H65" s="131" t="inlineStr">
        <is>
          <t>California</t>
        </is>
      </c>
      <c r="I65" s="130" t="inlineStr">
        <is>
          <t>41652</t>
        </is>
      </c>
      <c r="J65" s="130" t="inlineStr">
        <is>
          <t>OFTALMO</t>
        </is>
      </c>
      <c r="K65" s="130" t="inlineStr">
        <is>
          <t>DEWIMED</t>
        </is>
      </c>
      <c r="L65" s="130" t="n">
        <v>1</v>
      </c>
      <c r="M65" s="130" t="n">
        <v>2</v>
      </c>
      <c r="N65" s="130">
        <f>L65+M65</f>
        <v/>
      </c>
    </row>
    <row r="66" ht="19.95" customHeight="1" s="227">
      <c r="A66" s="128" t="n">
        <v>63</v>
      </c>
      <c r="B66" s="128" t="inlineStr">
        <is>
          <t>BM-063</t>
        </is>
      </c>
      <c r="C66" s="128" t="n">
        <v>83</v>
      </c>
      <c r="D66" s="129" t="inlineStr">
        <is>
          <t>H.M.E.O. Constituyentes</t>
        </is>
      </c>
      <c r="E66" s="128" t="inlineStr">
        <is>
          <t>CDMX</t>
        </is>
      </c>
      <c r="F66" s="129" t="inlineStr">
        <is>
          <t>Retinógrafo de campo ultra amplio, marca Optos, modelo California</t>
        </is>
      </c>
      <c r="G66" s="129" t="inlineStr">
        <is>
          <t>Optos</t>
        </is>
      </c>
      <c r="H66" s="129" t="inlineStr">
        <is>
          <t>California</t>
        </is>
      </c>
      <c r="I66" s="128" t="inlineStr">
        <is>
          <t>41656</t>
        </is>
      </c>
      <c r="J66" s="128" t="inlineStr">
        <is>
          <t>OFTALMO</t>
        </is>
      </c>
      <c r="K66" s="128" t="inlineStr">
        <is>
          <t>DEWIMED</t>
        </is>
      </c>
      <c r="L66" s="128" t="n">
        <v>1</v>
      </c>
      <c r="M66" s="128" t="n">
        <v>2</v>
      </c>
      <c r="N66" s="128">
        <f>L66+M66</f>
        <v/>
      </c>
    </row>
    <row r="67" ht="19.95" customHeight="1" s="227">
      <c r="A67" s="130" t="n">
        <v>64</v>
      </c>
      <c r="B67" s="130" t="inlineStr">
        <is>
          <t>BM-064</t>
        </is>
      </c>
      <c r="C67" s="130" t="n">
        <v>87</v>
      </c>
      <c r="D67" s="131" t="inlineStr">
        <is>
          <t>H.M.R. Santa Lucía</t>
        </is>
      </c>
      <c r="E67" s="130" t="inlineStr">
        <is>
          <t>EDO DE MEX</t>
        </is>
      </c>
      <c r="F67" s="131" t="inlineStr">
        <is>
          <t>Autoqueratorrefractor, marca Nidek, modelo ARK-F</t>
        </is>
      </c>
      <c r="G67" s="131" t="inlineStr">
        <is>
          <t>Nidek</t>
        </is>
      </c>
      <c r="H67" s="131" t="inlineStr">
        <is>
          <t>ARK-F</t>
        </is>
      </c>
      <c r="I67" s="130" t="inlineStr">
        <is>
          <t>270010</t>
        </is>
      </c>
      <c r="J67" s="130" t="inlineStr">
        <is>
          <t>OFTALMO</t>
        </is>
      </c>
      <c r="K67" s="130" t="inlineStr">
        <is>
          <t>S4</t>
        </is>
      </c>
      <c r="L67" s="130" t="n">
        <v>1</v>
      </c>
      <c r="M67" s="130" t="n">
        <v>2</v>
      </c>
      <c r="N67" s="130">
        <f>L67+M67</f>
        <v/>
      </c>
    </row>
    <row r="68" ht="19.95" customHeight="1" s="227">
      <c r="A68" s="128" t="n">
        <v>65</v>
      </c>
      <c r="B68" s="128" t="inlineStr">
        <is>
          <t>BM-065</t>
        </is>
      </c>
      <c r="C68" s="128" t="n">
        <v>88</v>
      </c>
      <c r="D68" s="129" t="inlineStr">
        <is>
          <t>H.M.R. Santa Lucía</t>
        </is>
      </c>
      <c r="E68" s="128" t="inlineStr">
        <is>
          <t>EDO DE MEX</t>
        </is>
      </c>
      <c r="F68" s="129" t="inlineStr">
        <is>
          <t>Tomógrafo-topógrafo corneal, marca CSO, modelo Sirius</t>
        </is>
      </c>
      <c r="G68" s="129" t="inlineStr">
        <is>
          <t>CSO</t>
        </is>
      </c>
      <c r="H68" s="129" t="inlineStr">
        <is>
          <t>Sirius</t>
        </is>
      </c>
      <c r="I68" s="128" t="inlineStr">
        <is>
          <t>21091186</t>
        </is>
      </c>
      <c r="J68" s="128" t="inlineStr">
        <is>
          <t>OFTALMO</t>
        </is>
      </c>
      <c r="K68" s="128" t="inlineStr">
        <is>
          <t>S4</t>
        </is>
      </c>
      <c r="L68" s="128" t="n">
        <v>1</v>
      </c>
      <c r="M68" s="128" t="n">
        <v>2</v>
      </c>
      <c r="N68" s="128">
        <f>L68+M68</f>
        <v/>
      </c>
    </row>
    <row r="69" ht="19.95" customHeight="1" s="227">
      <c r="A69" s="130" t="n">
        <v>66</v>
      </c>
      <c r="B69" s="130" t="inlineStr">
        <is>
          <t>BM-066</t>
        </is>
      </c>
      <c r="C69" s="130" t="n">
        <v>94</v>
      </c>
      <c r="D69" s="131" t="inlineStr">
        <is>
          <t>H.M.R. Santa Lucía</t>
        </is>
      </c>
      <c r="E69" s="130" t="inlineStr">
        <is>
          <t>EDO DE MEX</t>
        </is>
      </c>
      <c r="F69" s="131" t="inlineStr">
        <is>
          <t>Fotocoagulador láser, marca Topcon, modelo Pascal Synthesis</t>
        </is>
      </c>
      <c r="G69" s="131" t="inlineStr">
        <is>
          <t>Topcon</t>
        </is>
      </c>
      <c r="H69" s="131" t="inlineStr">
        <is>
          <t>Pascal Synthesis</t>
        </is>
      </c>
      <c r="I69" s="130" t="inlineStr">
        <is>
          <t>79140219</t>
        </is>
      </c>
      <c r="J69" s="130" t="inlineStr">
        <is>
          <t>OFTALMO</t>
        </is>
      </c>
      <c r="K69" s="130" t="inlineStr">
        <is>
          <t>TOPCON</t>
        </is>
      </c>
      <c r="L69" s="130" t="n">
        <v>1</v>
      </c>
      <c r="M69" s="130" t="n">
        <v>2</v>
      </c>
      <c r="N69" s="130">
        <f>L69+M69</f>
        <v/>
      </c>
    </row>
    <row r="70" ht="19.95" customHeight="1" s="227">
      <c r="A70" s="132" t="n">
        <v>67</v>
      </c>
      <c r="B70" s="132" t="inlineStr">
        <is>
          <t>BM-102</t>
        </is>
      </c>
      <c r="C70" s="132" t="n">
        <v>99</v>
      </c>
      <c r="D70" s="133" t="inlineStr">
        <is>
          <t>H.M.Z. Cinco de Mayo</t>
        </is>
      </c>
      <c r="E70" s="132" t="inlineStr">
        <is>
          <t>DURANGO</t>
        </is>
      </c>
      <c r="F70" s="133" t="inlineStr">
        <is>
          <t>Rayos X fijo, marca Del Medical, modelo EV 800</t>
        </is>
      </c>
      <c r="G70" s="133" t="inlineStr">
        <is>
          <t>Del Medical</t>
        </is>
      </c>
      <c r="H70" s="133" t="inlineStr">
        <is>
          <t>EV 800</t>
        </is>
      </c>
      <c r="I70" s="132" t="inlineStr">
        <is>
          <t>02776-1019-W</t>
        </is>
      </c>
      <c r="J70" s="132" t="inlineStr">
        <is>
          <t>IMAGEN</t>
        </is>
      </c>
      <c r="K70" s="132" t="n"/>
      <c r="L70" s="132" t="n">
        <v>1</v>
      </c>
      <c r="M70" s="132" t="n">
        <v>2</v>
      </c>
      <c r="N70" s="132">
        <f>L70+M70</f>
        <v/>
      </c>
    </row>
    <row r="71" ht="19.95" customHeight="1" s="227">
      <c r="A71" s="132" t="n">
        <v>68</v>
      </c>
      <c r="B71" s="132" t="inlineStr">
        <is>
          <t>BM-103</t>
        </is>
      </c>
      <c r="C71" s="132" t="n">
        <v>107</v>
      </c>
      <c r="D71" s="133" t="inlineStr">
        <is>
          <t>H.C.M. Lomas de Sotelo</t>
        </is>
      </c>
      <c r="E71" s="132" t="inlineStr">
        <is>
          <t>CDMX</t>
        </is>
      </c>
      <c r="F71" s="133" t="inlineStr">
        <is>
          <t>Rayos X móvil, marca Fujifilm, modelo DR-XD 1000</t>
        </is>
      </c>
      <c r="G71" s="133" t="inlineStr">
        <is>
          <t>Fujifilm</t>
        </is>
      </c>
      <c r="H71" s="133" t="inlineStr">
        <is>
          <t>DR-XD 1000</t>
        </is>
      </c>
      <c r="I71" s="132" t="inlineStr">
        <is>
          <t>77250288</t>
        </is>
      </c>
      <c r="J71" s="132" t="inlineStr">
        <is>
          <t>IMAGEN</t>
        </is>
      </c>
      <c r="K71" s="132" t="n"/>
      <c r="L71" s="132" t="n">
        <v>1</v>
      </c>
      <c r="M71" s="132" t="n">
        <v>2</v>
      </c>
      <c r="N71" s="132">
        <f>L71+M71</f>
        <v/>
      </c>
    </row>
    <row r="72" ht="19.95" customHeight="1" s="227">
      <c r="A72" s="132" t="n">
        <v>69</v>
      </c>
      <c r="B72" s="132" t="inlineStr">
        <is>
          <t>BM-104</t>
        </is>
      </c>
      <c r="C72" s="132" t="n">
        <v>111</v>
      </c>
      <c r="D72" s="133" t="inlineStr">
        <is>
          <t>H.M.E.M. Y N. Lomas de Sotelo</t>
        </is>
      </c>
      <c r="E72" s="132" t="inlineStr">
        <is>
          <t>CDMX</t>
        </is>
      </c>
      <c r="F72" s="133" t="inlineStr">
        <is>
          <t>Rayos X móvil, marca Fujifilm, modelo FDR Go</t>
        </is>
      </c>
      <c r="G72" s="133" t="inlineStr">
        <is>
          <t>Fujifilm</t>
        </is>
      </c>
      <c r="H72" s="133" t="inlineStr">
        <is>
          <t>FDR Go</t>
        </is>
      </c>
      <c r="I72" s="132" t="inlineStr">
        <is>
          <t>566-19888-11</t>
        </is>
      </c>
      <c r="J72" s="132" t="inlineStr">
        <is>
          <t>IMAGEN</t>
        </is>
      </c>
      <c r="K72" s="132" t="n"/>
      <c r="L72" s="132" t="n">
        <v>1</v>
      </c>
      <c r="M72" s="132" t="n">
        <v>2</v>
      </c>
      <c r="N72" s="132">
        <f>L72+M72</f>
        <v/>
      </c>
    </row>
    <row r="73" ht="19.95" customHeight="1" s="227">
      <c r="A73" s="130" t="n">
        <v>70</v>
      </c>
      <c r="B73" s="130" t="inlineStr">
        <is>
          <t>BM-067</t>
        </is>
      </c>
      <c r="C73" s="130" t="n">
        <v>112</v>
      </c>
      <c r="D73" s="131" t="inlineStr">
        <is>
          <t>H.M.E.M. Y N. Lomas de Sotelo</t>
        </is>
      </c>
      <c r="E73" s="130" t="inlineStr">
        <is>
          <t>CDMX</t>
        </is>
      </c>
      <c r="F73" s="131" t="inlineStr">
        <is>
          <t>Sistema digital de imagen de campo amplio, marca Clarity Medical Systems, modelo RetCam 3</t>
        </is>
      </c>
      <c r="G73" s="131" t="inlineStr">
        <is>
          <t>Clarity Medical Systems</t>
        </is>
      </c>
      <c r="H73" s="131" t="inlineStr">
        <is>
          <t>RetCam 3</t>
        </is>
      </c>
      <c r="I73" s="130" t="inlineStr">
        <is>
          <t>RC7406</t>
        </is>
      </c>
      <c r="J73" s="130" t="inlineStr">
        <is>
          <t>OFTALMO</t>
        </is>
      </c>
      <c r="K73" s="130" t="n"/>
      <c r="L73" s="130" t="n">
        <v>1</v>
      </c>
      <c r="M73" s="130" t="n">
        <v>2</v>
      </c>
      <c r="N73" s="130">
        <f>L73+M73</f>
        <v/>
      </c>
    </row>
    <row r="74" ht="19.95" customHeight="1" s="227">
      <c r="A74" s="132" t="n">
        <v>71</v>
      </c>
      <c r="B74" s="132" t="inlineStr">
        <is>
          <t>BM-105</t>
        </is>
      </c>
      <c r="C74" s="132" t="n">
        <v>134</v>
      </c>
      <c r="D74" s="133" t="inlineStr">
        <is>
          <t>H.M.R. Tuxpan</t>
        </is>
      </c>
      <c r="E74" s="132" t="inlineStr">
        <is>
          <t>VERACRUZ</t>
        </is>
      </c>
      <c r="F74" s="133" t="inlineStr">
        <is>
          <t>Rayos X móvil, marca Fujifilm, modelo FDR Go</t>
        </is>
      </c>
      <c r="G74" s="133" t="inlineStr">
        <is>
          <t>Fujifilm</t>
        </is>
      </c>
      <c r="H74" s="133" t="inlineStr">
        <is>
          <t>FDR Go</t>
        </is>
      </c>
      <c r="I74" s="132" t="inlineStr">
        <is>
          <t>41DBBA14A019</t>
        </is>
      </c>
      <c r="J74" s="132" t="inlineStr">
        <is>
          <t>IMAGEN</t>
        </is>
      </c>
      <c r="K74" s="132" t="n"/>
      <c r="L74" s="132" t="n">
        <v>1</v>
      </c>
      <c r="M74" s="132" t="n">
        <v>2</v>
      </c>
      <c r="N74" s="132">
        <f>L74+M74</f>
        <v/>
      </c>
    </row>
    <row r="75" ht="19.95" customHeight="1" s="227">
      <c r="A75" s="132" t="n">
        <v>72</v>
      </c>
      <c r="B75" s="132" t="inlineStr">
        <is>
          <t>BM-106</t>
        </is>
      </c>
      <c r="C75" s="132" t="n">
        <v>140</v>
      </c>
      <c r="D75" s="133" t="inlineStr">
        <is>
          <t>H.M.R. Tuxtla Gutiérrez</t>
        </is>
      </c>
      <c r="E75" s="132" t="inlineStr">
        <is>
          <t>CHIAPAS</t>
        </is>
      </c>
      <c r="F75" s="133" t="inlineStr">
        <is>
          <t>Rayos X móvil, marca Fujifilm, modelo FDR Go</t>
        </is>
      </c>
      <c r="G75" s="133" t="inlineStr">
        <is>
          <t>Fujifilm</t>
        </is>
      </c>
      <c r="H75" s="133" t="inlineStr">
        <is>
          <t>FDR Go</t>
        </is>
      </c>
      <c r="I75" s="132" t="inlineStr">
        <is>
          <t>41DBBA146046</t>
        </is>
      </c>
      <c r="J75" s="132" t="inlineStr">
        <is>
          <t>IMAGEN</t>
        </is>
      </c>
      <c r="K75" s="132" t="n"/>
      <c r="L75" s="132" t="n">
        <v>1</v>
      </c>
      <c r="M75" s="132" t="n">
        <v>2</v>
      </c>
      <c r="N75" s="132">
        <f>L75+M75</f>
        <v/>
      </c>
    </row>
    <row r="76" ht="19.95" customHeight="1" s="227">
      <c r="A76" s="132" t="n">
        <v>73</v>
      </c>
      <c r="B76" s="132" t="inlineStr">
        <is>
          <t>BM-107</t>
        </is>
      </c>
      <c r="C76" s="132" t="n">
        <v>144</v>
      </c>
      <c r="D76" s="133" t="inlineStr">
        <is>
          <t>H.M.R.E. Mérida</t>
        </is>
      </c>
      <c r="E76" s="132" t="inlineStr">
        <is>
          <t>YUCATAN</t>
        </is>
      </c>
      <c r="F76" s="133" t="inlineStr">
        <is>
          <t>Rayos X móvil, marca Villa Sistemi Medicali, modelo Visitor T30 M-DR</t>
        </is>
      </c>
      <c r="G76" s="133" t="inlineStr">
        <is>
          <t>Villa Sistemi Medicali</t>
        </is>
      </c>
      <c r="H76" s="133" t="inlineStr">
        <is>
          <t>Visitor T30 M-DR</t>
        </is>
      </c>
      <c r="I76" s="132" t="inlineStr">
        <is>
          <t>17091017</t>
        </is>
      </c>
      <c r="J76" s="132" t="inlineStr">
        <is>
          <t>IMAGEN</t>
        </is>
      </c>
      <c r="K76" s="132" t="n"/>
      <c r="L76" s="132" t="n">
        <v>1</v>
      </c>
      <c r="M76" s="132" t="n">
        <v>2</v>
      </c>
      <c r="N76" s="132">
        <f>L76+M76</f>
        <v/>
      </c>
    </row>
    <row r="77" ht="19.95" customHeight="1" s="227">
      <c r="A77" s="132" t="n">
        <v>74</v>
      </c>
      <c r="B77" s="132" t="inlineStr">
        <is>
          <t>BM-108</t>
        </is>
      </c>
      <c r="C77" s="132" t="n">
        <v>145</v>
      </c>
      <c r="D77" s="133" t="inlineStr">
        <is>
          <t>H.M.R.E. Mérida</t>
        </is>
      </c>
      <c r="E77" s="132" t="inlineStr">
        <is>
          <t>YUCATAN</t>
        </is>
      </c>
      <c r="F77" s="133" t="inlineStr">
        <is>
          <t>Equipo de rayos X móvil, marca Technix, modelo TMS 320</t>
        </is>
      </c>
      <c r="G77" s="133" t="inlineStr">
        <is>
          <t>Technix</t>
        </is>
      </c>
      <c r="H77" s="133" t="inlineStr">
        <is>
          <t>TMS 320</t>
        </is>
      </c>
      <c r="I77" s="132" t="inlineStr">
        <is>
          <t>80-16-103-174</t>
        </is>
      </c>
      <c r="J77" s="132" t="inlineStr">
        <is>
          <t>IMAGEN</t>
        </is>
      </c>
      <c r="K77" s="132" t="n"/>
      <c r="L77" s="132" t="n">
        <v>1</v>
      </c>
      <c r="M77" s="132" t="n">
        <v>2</v>
      </c>
      <c r="N77" s="132">
        <f>L77+M77</f>
        <v/>
      </c>
    </row>
    <row r="78" ht="19.95" customHeight="1" s="227">
      <c r="A78" s="132" t="n">
        <v>75</v>
      </c>
      <c r="B78" s="132" t="inlineStr">
        <is>
          <t>BM-109</t>
        </is>
      </c>
      <c r="C78" s="132" t="n">
        <v>149</v>
      </c>
      <c r="D78" s="133" t="inlineStr">
        <is>
          <t>H.M.R. San Luis Potosí</t>
        </is>
      </c>
      <c r="E78" s="132" t="inlineStr">
        <is>
          <t>SAN LUIS POTOSI</t>
        </is>
      </c>
      <c r="F78" s="133" t="inlineStr">
        <is>
          <t>Equipo de rayos X móvil, marca Technix, modelo TMS 320</t>
        </is>
      </c>
      <c r="G78" s="133" t="inlineStr">
        <is>
          <t>Technix</t>
        </is>
      </c>
      <c r="H78" s="133" t="inlineStr">
        <is>
          <t>TMS 320</t>
        </is>
      </c>
      <c r="I78" s="132" t="inlineStr">
        <is>
          <t>80-16-87-158</t>
        </is>
      </c>
      <c r="J78" s="132" t="inlineStr">
        <is>
          <t>IMAGEN</t>
        </is>
      </c>
      <c r="K78" s="132" t="n"/>
      <c r="L78" s="132" t="n">
        <v>1</v>
      </c>
      <c r="M78" s="132" t="n">
        <v>2</v>
      </c>
      <c r="N78" s="132">
        <f>L78+M78</f>
        <v/>
      </c>
    </row>
    <row r="79" ht="19.95" customHeight="1" s="227">
      <c r="A79" s="132" t="n">
        <v>76</v>
      </c>
      <c r="B79" s="132" t="inlineStr">
        <is>
          <t>BM-110</t>
        </is>
      </c>
      <c r="C79" s="132" t="n">
        <v>152</v>
      </c>
      <c r="D79" s="133" t="inlineStr">
        <is>
          <t>H.M.R.E. Mazatlán</t>
        </is>
      </c>
      <c r="E79" s="132" t="inlineStr">
        <is>
          <t>SINALOA</t>
        </is>
      </c>
      <c r="F79" s="133" t="inlineStr">
        <is>
          <t>Impresora para placas radiográficas, marca Codonics, modelo Horizon Ci</t>
        </is>
      </c>
      <c r="G79" s="133" t="inlineStr">
        <is>
          <t>Codonics</t>
        </is>
      </c>
      <c r="H79" s="133" t="inlineStr">
        <is>
          <t>Horizon Ci</t>
        </is>
      </c>
      <c r="I79" s="132" t="inlineStr">
        <is>
          <t>50C00404C</t>
        </is>
      </c>
      <c r="J79" s="132" t="inlineStr">
        <is>
          <t>IMAGEN</t>
        </is>
      </c>
      <c r="K79" s="132" t="n"/>
      <c r="L79" s="132" t="n">
        <v>1</v>
      </c>
      <c r="M79" s="132" t="n">
        <v>2</v>
      </c>
      <c r="N79" s="132">
        <f>L79+M79</f>
        <v/>
      </c>
    </row>
    <row r="80" ht="19.95" customHeight="1" s="227">
      <c r="A80" s="128" t="n">
        <v>77</v>
      </c>
      <c r="B80" s="128" t="inlineStr">
        <is>
          <t>BM-068</t>
        </is>
      </c>
      <c r="C80" s="128" t="n">
        <v>154</v>
      </c>
      <c r="D80" s="129" t="inlineStr">
        <is>
          <t>H.M.R.E. Mazatlán</t>
        </is>
      </c>
      <c r="E80" s="128" t="inlineStr">
        <is>
          <t>SINALOA</t>
        </is>
      </c>
      <c r="F80" s="129" t="inlineStr">
        <is>
          <t>Microscopio para cirugía, marca Haag-Streit Surgical, modelo Moller Wedel</t>
        </is>
      </c>
      <c r="G80" s="129" t="inlineStr">
        <is>
          <t>Haag-Streit Surgical</t>
        </is>
      </c>
      <c r="H80" s="129" t="inlineStr">
        <is>
          <t>Moller Wedel</t>
        </is>
      </c>
      <c r="I80" s="128" t="inlineStr">
        <is>
          <t>30155514</t>
        </is>
      </c>
      <c r="J80" s="128" t="inlineStr">
        <is>
          <t>OFTALMO</t>
        </is>
      </c>
      <c r="K80" s="128" t="inlineStr">
        <is>
          <t>DEWIMED</t>
        </is>
      </c>
      <c r="L80" s="128" t="n">
        <v>1</v>
      </c>
      <c r="M80" s="128" t="n">
        <v>2</v>
      </c>
      <c r="N80" s="128">
        <f>L80+M80</f>
        <v/>
      </c>
    </row>
    <row r="81" ht="19.95" customHeight="1" s="227">
      <c r="A81" s="130" t="n">
        <v>78</v>
      </c>
      <c r="B81" s="130" t="inlineStr">
        <is>
          <t>BM-069</t>
        </is>
      </c>
      <c r="C81" s="130" t="n">
        <v>156</v>
      </c>
      <c r="D81" s="131" t="inlineStr">
        <is>
          <t>H.C.M. Lomas de Sotelo</t>
        </is>
      </c>
      <c r="E81" s="130" t="inlineStr">
        <is>
          <t>CDMX</t>
        </is>
      </c>
      <c r="F81" s="131" t="inlineStr">
        <is>
          <t>Equipo de rayos X móvil, marca Technix, modelo TMS 320</t>
        </is>
      </c>
      <c r="G81" s="131" t="inlineStr">
        <is>
          <t>Technix</t>
        </is>
      </c>
      <c r="H81" s="131" t="inlineStr">
        <is>
          <t>TMS 320</t>
        </is>
      </c>
      <c r="I81" s="130" t="inlineStr">
        <is>
          <t>80-16-79-150</t>
        </is>
      </c>
      <c r="J81" s="130" t="inlineStr">
        <is>
          <t>IMAGEN</t>
        </is>
      </c>
      <c r="K81" s="130" t="n"/>
      <c r="L81" s="130" t="n">
        <v>1</v>
      </c>
      <c r="M81" s="130" t="n">
        <v>2</v>
      </c>
      <c r="N81" s="130">
        <f>L81+M81</f>
        <v/>
      </c>
    </row>
    <row r="82" ht="19.95" customHeight="1" s="227">
      <c r="A82" s="128" t="n">
        <v>79</v>
      </c>
      <c r="B82" s="128" t="inlineStr">
        <is>
          <t>BM-070</t>
        </is>
      </c>
      <c r="C82" s="128" t="n">
        <v>159</v>
      </c>
      <c r="D82" s="129" t="inlineStr">
        <is>
          <t>H.M.R.E. Monterrey</t>
        </is>
      </c>
      <c r="E82" s="128" t="inlineStr">
        <is>
          <t>NUEVO LEON</t>
        </is>
      </c>
      <c r="F82" s="129" t="inlineStr">
        <is>
          <t>Microscopio para cirugía, marca Haag-Streit Surgical, modelo HS Hi-R 700</t>
        </is>
      </c>
      <c r="G82" s="129" t="inlineStr">
        <is>
          <t>Haag-Streit Surgical</t>
        </is>
      </c>
      <c r="H82" s="129" t="inlineStr">
        <is>
          <t>HS Hi-R 700</t>
        </is>
      </c>
      <c r="I82" s="128" t="inlineStr">
        <is>
          <t>1303</t>
        </is>
      </c>
      <c r="J82" s="128" t="inlineStr">
        <is>
          <t>OFTALMO</t>
        </is>
      </c>
      <c r="K82" s="128" t="inlineStr">
        <is>
          <t>DEWIMED</t>
        </is>
      </c>
      <c r="L82" s="128" t="n">
        <v>1</v>
      </c>
      <c r="M82" s="128" t="n">
        <v>2</v>
      </c>
      <c r="N82" s="128">
        <f>L82+M82</f>
        <v/>
      </c>
    </row>
    <row r="83" ht="19.95" customHeight="1" s="227">
      <c r="A83" s="132" t="n">
        <v>80</v>
      </c>
      <c r="B83" s="132" t="inlineStr">
        <is>
          <t>BM-111</t>
        </is>
      </c>
      <c r="C83" s="132" t="n">
        <v>162</v>
      </c>
      <c r="D83" s="133" t="inlineStr">
        <is>
          <t>H.M.R. Tampico</t>
        </is>
      </c>
      <c r="E83" s="132" t="inlineStr">
        <is>
          <t>TAMAULIPAS</t>
        </is>
      </c>
      <c r="F83" s="133" t="inlineStr">
        <is>
          <t>Equipo de rayos X móvil, marca Technix, modelo TMS 320</t>
        </is>
      </c>
      <c r="G83" s="133" t="inlineStr">
        <is>
          <t>Technix</t>
        </is>
      </c>
      <c r="H83" s="133" t="inlineStr">
        <is>
          <t>TMS 320</t>
        </is>
      </c>
      <c r="I83" s="132" t="inlineStr">
        <is>
          <t>80-16-89-160</t>
        </is>
      </c>
      <c r="J83" s="132" t="inlineStr">
        <is>
          <t>IMAGEN</t>
        </is>
      </c>
      <c r="K83" s="132" t="n"/>
      <c r="L83" s="132" t="n">
        <v>1</v>
      </c>
      <c r="M83" s="132" t="n">
        <v>2</v>
      </c>
      <c r="N83" s="132">
        <f>L83+M83</f>
        <v/>
      </c>
    </row>
    <row r="84" ht="19.95" customHeight="1" s="227">
      <c r="A84" s="132" t="n">
        <v>81</v>
      </c>
      <c r="B84" s="132" t="inlineStr">
        <is>
          <t>BM-112</t>
        </is>
      </c>
      <c r="C84" s="132" t="n">
        <v>163</v>
      </c>
      <c r="D84" s="133" t="inlineStr">
        <is>
          <t>H.M.Z. El Vergel, Iztapalapa</t>
        </is>
      </c>
      <c r="E84" s="132" t="inlineStr">
        <is>
          <t>CDMX</t>
        </is>
      </c>
      <c r="F84" s="133" t="inlineStr">
        <is>
          <t>Equipo de rayos X móvil, marca Technix, modelo TMS 320</t>
        </is>
      </c>
      <c r="G84" s="133" t="inlineStr">
        <is>
          <t>Technix</t>
        </is>
      </c>
      <c r="H84" s="133" t="inlineStr">
        <is>
          <t>TMS 320</t>
        </is>
      </c>
      <c r="I84" s="132" t="inlineStr">
        <is>
          <t>80-16-90-161</t>
        </is>
      </c>
      <c r="J84" s="132" t="inlineStr">
        <is>
          <t>IMAGEN</t>
        </is>
      </c>
      <c r="K84" s="132" t="n"/>
      <c r="L84" s="132" t="n">
        <v>1</v>
      </c>
      <c r="M84" s="132" t="n">
        <v>2</v>
      </c>
      <c r="N84" s="132">
        <f>L84+M84</f>
        <v/>
      </c>
    </row>
    <row r="85" ht="19.95" customHeight="1" s="227">
      <c r="A85" s="132" t="n">
        <v>82</v>
      </c>
      <c r="B85" s="132" t="inlineStr">
        <is>
          <t>BM-113</t>
        </is>
      </c>
      <c r="C85" s="132" t="n">
        <v>164</v>
      </c>
      <c r="D85" s="133" t="inlineStr">
        <is>
          <t>H.M.Z. Zapopan</t>
        </is>
      </c>
      <c r="E85" s="132" t="inlineStr">
        <is>
          <t>JALISCO</t>
        </is>
      </c>
      <c r="F85" s="133" t="inlineStr">
        <is>
          <t>Equipo de rayos X móvil, marca Technix, modelo TMS 320</t>
        </is>
      </c>
      <c r="G85" s="133" t="inlineStr">
        <is>
          <t>Technix</t>
        </is>
      </c>
      <c r="H85" s="133" t="inlineStr">
        <is>
          <t>TMS 320</t>
        </is>
      </c>
      <c r="I85" s="132" t="inlineStr">
        <is>
          <t>80-16-95-166</t>
        </is>
      </c>
      <c r="J85" s="132" t="inlineStr">
        <is>
          <t>IMAGEN</t>
        </is>
      </c>
      <c r="K85" s="132" t="n"/>
      <c r="L85" s="132" t="n">
        <v>1</v>
      </c>
      <c r="M85" s="132" t="n">
        <v>2</v>
      </c>
      <c r="N85" s="132">
        <f>L85+M85</f>
        <v/>
      </c>
    </row>
    <row r="86" ht="19.95" customHeight="1" s="227">
      <c r="A86" s="132" t="n">
        <v>83</v>
      </c>
      <c r="B86" s="132" t="inlineStr">
        <is>
          <t>BM-114</t>
        </is>
      </c>
      <c r="C86" s="132" t="n">
        <v>165</v>
      </c>
      <c r="D86" s="133" t="inlineStr">
        <is>
          <t>H.M.Z. Temamatla</t>
        </is>
      </c>
      <c r="E86" s="132" t="inlineStr">
        <is>
          <t>EDO DE MEX</t>
        </is>
      </c>
      <c r="F86" s="133" t="inlineStr">
        <is>
          <t>Equipo de rayos X móvil, marca Technix, modelo TMS 320</t>
        </is>
      </c>
      <c r="G86" s="133" t="inlineStr">
        <is>
          <t>Technix</t>
        </is>
      </c>
      <c r="H86" s="133" t="inlineStr">
        <is>
          <t>TMS 320</t>
        </is>
      </c>
      <c r="I86" s="132" t="inlineStr">
        <is>
          <t>80-16-105-176</t>
        </is>
      </c>
      <c r="J86" s="132" t="inlineStr">
        <is>
          <t>IMAGEN</t>
        </is>
      </c>
      <c r="K86" s="132" t="n"/>
      <c r="L86" s="132" t="n">
        <v>1</v>
      </c>
      <c r="M86" s="132" t="n">
        <v>2</v>
      </c>
      <c r="N86" s="132">
        <f>L86+M86</f>
        <v/>
      </c>
    </row>
    <row r="87" ht="19.95" customHeight="1" s="227">
      <c r="A87" s="132" t="n">
        <v>84</v>
      </c>
      <c r="B87" s="132" t="inlineStr">
        <is>
          <t>BM-115</t>
        </is>
      </c>
      <c r="C87" s="132" t="n">
        <v>166</v>
      </c>
      <c r="D87" s="133" t="inlineStr">
        <is>
          <t>H.M.Z. Ixcotel</t>
        </is>
      </c>
      <c r="E87" s="132" t="inlineStr">
        <is>
          <t>OAXACA</t>
        </is>
      </c>
      <c r="F87" s="133" t="inlineStr">
        <is>
          <t>Equipo de rayos X móvil, marca Technix, modelo TMS 320</t>
        </is>
      </c>
      <c r="G87" s="133" t="inlineStr">
        <is>
          <t>Technix</t>
        </is>
      </c>
      <c r="H87" s="133" t="inlineStr">
        <is>
          <t>TMS 320</t>
        </is>
      </c>
      <c r="I87" s="132" t="inlineStr">
        <is>
          <t>80-16-104-175</t>
        </is>
      </c>
      <c r="J87" s="132" t="inlineStr">
        <is>
          <t>IMAGEN</t>
        </is>
      </c>
      <c r="K87" s="132" t="n"/>
      <c r="L87" s="132" t="n">
        <v>1</v>
      </c>
      <c r="M87" s="132" t="n">
        <v>2</v>
      </c>
      <c r="N87" s="132">
        <f>L87+M87</f>
        <v/>
      </c>
    </row>
    <row r="88" ht="19.95" customHeight="1" s="227">
      <c r="A88" s="132" t="n">
        <v>85</v>
      </c>
      <c r="B88" s="132" t="inlineStr">
        <is>
          <t>BM-116</t>
        </is>
      </c>
      <c r="C88" s="132" t="n">
        <v>167</v>
      </c>
      <c r="D88" s="133" t="inlineStr">
        <is>
          <t>H.M.R. Hermosillo</t>
        </is>
      </c>
      <c r="E88" s="132" t="inlineStr">
        <is>
          <t>SONORA</t>
        </is>
      </c>
      <c r="F88" s="133" t="inlineStr">
        <is>
          <t>Equipo de rayos X móvil, marca Technix, modelo TMS 320</t>
        </is>
      </c>
      <c r="G88" s="133" t="inlineStr">
        <is>
          <t>Technix</t>
        </is>
      </c>
      <c r="H88" s="133" t="inlineStr">
        <is>
          <t>TMS 320</t>
        </is>
      </c>
      <c r="I88" s="132" t="inlineStr">
        <is>
          <t>80-16-80-151</t>
        </is>
      </c>
      <c r="J88" s="132" t="inlineStr">
        <is>
          <t>IMAGEN</t>
        </is>
      </c>
      <c r="K88" s="132" t="n"/>
      <c r="L88" s="132" t="n">
        <v>1</v>
      </c>
      <c r="M88" s="132" t="n">
        <v>2</v>
      </c>
      <c r="N88" s="132">
        <f>L88+M88</f>
        <v/>
      </c>
    </row>
    <row r="89" ht="19.95" customHeight="1" s="227">
      <c r="A89" s="132" t="n">
        <v>86</v>
      </c>
      <c r="B89" s="132" t="inlineStr">
        <is>
          <t>BM-117</t>
        </is>
      </c>
      <c r="C89" s="132" t="n">
        <v>168</v>
      </c>
      <c r="D89" s="133" t="inlineStr">
        <is>
          <t>H.M.R. Tuxtla Gutiérrez</t>
        </is>
      </c>
      <c r="E89" s="132" t="inlineStr">
        <is>
          <t>CHIAPAS</t>
        </is>
      </c>
      <c r="F89" s="133" t="inlineStr">
        <is>
          <t>Equipo de rayos X móvil, marca Technix, modelo TMS 320</t>
        </is>
      </c>
      <c r="G89" s="133" t="inlineStr">
        <is>
          <t>Technix</t>
        </is>
      </c>
      <c r="H89" s="133" t="inlineStr">
        <is>
          <t>TMS 320</t>
        </is>
      </c>
      <c r="I89" s="132" t="inlineStr">
        <is>
          <t>80-16-102-173</t>
        </is>
      </c>
      <c r="J89" s="132" t="inlineStr">
        <is>
          <t>IMAGEN</t>
        </is>
      </c>
      <c r="K89" s="132" t="n"/>
      <c r="L89" s="132" t="n">
        <v>1</v>
      </c>
      <c r="M89" s="132" t="n">
        <v>2</v>
      </c>
      <c r="N89" s="132">
        <f>L89+M89</f>
        <v/>
      </c>
    </row>
    <row r="90" ht="19.95" customHeight="1" s="227">
      <c r="A90" s="132" t="n">
        <v>87</v>
      </c>
      <c r="B90" s="132" t="inlineStr">
        <is>
          <t>BM-118</t>
        </is>
      </c>
      <c r="C90" s="132" t="n">
        <v>171</v>
      </c>
      <c r="D90" s="133" t="inlineStr">
        <is>
          <t>H.M.Z. Cuernavaca</t>
        </is>
      </c>
      <c r="E90" s="132" t="inlineStr">
        <is>
          <t>MORELOS</t>
        </is>
      </c>
      <c r="F90" s="133" t="inlineStr">
        <is>
          <t>Equipo de rayos X móvil, marca Technix, modelo TMS 320</t>
        </is>
      </c>
      <c r="G90" s="133" t="inlineStr">
        <is>
          <t>Technix</t>
        </is>
      </c>
      <c r="H90" s="133" t="inlineStr">
        <is>
          <t>TMS 320</t>
        </is>
      </c>
      <c r="I90" s="132" t="inlineStr">
        <is>
          <t>80-16-88-159</t>
        </is>
      </c>
      <c r="J90" s="132" t="inlineStr">
        <is>
          <t>IMAGEN</t>
        </is>
      </c>
      <c r="K90" s="132" t="n"/>
      <c r="L90" s="132" t="n">
        <v>1</v>
      </c>
      <c r="M90" s="132" t="n">
        <v>2</v>
      </c>
      <c r="N90" s="132">
        <f>L90+M90</f>
        <v/>
      </c>
    </row>
    <row r="91" ht="19.95" customHeight="1" s="227">
      <c r="A91" s="132" t="n">
        <v>88</v>
      </c>
      <c r="B91" s="132" t="inlineStr">
        <is>
          <t>BM-119</t>
        </is>
      </c>
      <c r="C91" s="132" t="n">
        <v>172</v>
      </c>
      <c r="D91" s="133" t="inlineStr">
        <is>
          <t>H.M.Z. Mexicali</t>
        </is>
      </c>
      <c r="E91" s="132" t="inlineStr">
        <is>
          <t>BAJA CALIFORNIA</t>
        </is>
      </c>
      <c r="F91" s="133" t="inlineStr">
        <is>
          <t>Equipo de rayos X móvil, marca Technix, modelo TMS 320</t>
        </is>
      </c>
      <c r="G91" s="133" t="inlineStr">
        <is>
          <t>Technix</t>
        </is>
      </c>
      <c r="H91" s="133" t="inlineStr">
        <is>
          <t>TMS 320</t>
        </is>
      </c>
      <c r="I91" s="132" t="inlineStr">
        <is>
          <t>80-16-83-154</t>
        </is>
      </c>
      <c r="J91" s="132" t="inlineStr">
        <is>
          <t>IMAGEN</t>
        </is>
      </c>
      <c r="K91" s="132" t="n"/>
      <c r="L91" s="132" t="n">
        <v>1</v>
      </c>
      <c r="M91" s="132" t="n">
        <v>2</v>
      </c>
      <c r="N91" s="132">
        <f>L91+M91</f>
        <v/>
      </c>
    </row>
    <row r="92" ht="19.95" customHeight="1" s="227">
      <c r="A92" s="132" t="n">
        <v>89</v>
      </c>
      <c r="B92" s="132" t="inlineStr">
        <is>
          <t>BM-120</t>
        </is>
      </c>
      <c r="C92" s="132" t="n">
        <v>175</v>
      </c>
      <c r="D92" s="133" t="inlineStr">
        <is>
          <t>H.M.R. El Ciprés</t>
        </is>
      </c>
      <c r="E92" s="132" t="inlineStr">
        <is>
          <t>BAJA CALIFORNIA</t>
        </is>
      </c>
      <c r="F92" s="133" t="inlineStr">
        <is>
          <t>Equipo de rayos X móvil, marca Technix, modelo TMS 320</t>
        </is>
      </c>
      <c r="G92" s="133" t="inlineStr">
        <is>
          <t>Technix</t>
        </is>
      </c>
      <c r="H92" s="133" t="inlineStr">
        <is>
          <t>TMS 320</t>
        </is>
      </c>
      <c r="I92" s="132" t="inlineStr">
        <is>
          <t>80-16-81-152</t>
        </is>
      </c>
      <c r="J92" s="132" t="inlineStr">
        <is>
          <t>IMAGEN</t>
        </is>
      </c>
      <c r="K92" s="132" t="n"/>
      <c r="L92" s="132" t="n">
        <v>1</v>
      </c>
      <c r="M92" s="132" t="n">
        <v>2</v>
      </c>
      <c r="N92" s="132">
        <f>L92+M92</f>
        <v/>
      </c>
    </row>
    <row r="93" ht="19.95" customHeight="1" s="227">
      <c r="A93" s="132" t="n">
        <v>90</v>
      </c>
      <c r="B93" s="132" t="inlineStr">
        <is>
          <t>BM-121</t>
        </is>
      </c>
      <c r="C93" s="132" t="n">
        <v>179</v>
      </c>
      <c r="D93" s="133" t="inlineStr">
        <is>
          <t>H.M.R.E. Guadalajara</t>
        </is>
      </c>
      <c r="E93" s="132" t="inlineStr">
        <is>
          <t>JALISCO</t>
        </is>
      </c>
      <c r="F93" s="133" t="inlineStr">
        <is>
          <t>Equipo de rayos X móvil, marca Technix, modelo TMS 320</t>
        </is>
      </c>
      <c r="G93" s="133" t="inlineStr">
        <is>
          <t>Technix</t>
        </is>
      </c>
      <c r="H93" s="133" t="inlineStr">
        <is>
          <t>TMS 320</t>
        </is>
      </c>
      <c r="I93" s="132" t="inlineStr">
        <is>
          <t>80-16-91-162</t>
        </is>
      </c>
      <c r="J93" s="132" t="inlineStr">
        <is>
          <t>IMAGEN</t>
        </is>
      </c>
      <c r="K93" s="132" t="n"/>
      <c r="L93" s="132" t="n">
        <v>1</v>
      </c>
      <c r="M93" s="132" t="n">
        <v>2</v>
      </c>
      <c r="N93" s="132">
        <f>L93+M93</f>
        <v/>
      </c>
    </row>
    <row r="94" ht="19.95" customHeight="1" s="227">
      <c r="A94" s="132" t="n">
        <v>91</v>
      </c>
      <c r="B94" s="132" t="inlineStr">
        <is>
          <t>BM-122</t>
        </is>
      </c>
      <c r="C94" s="132" t="n">
        <v>183</v>
      </c>
      <c r="D94" s="133" t="inlineStr">
        <is>
          <t>H.M.R.E. Mazatlán</t>
        </is>
      </c>
      <c r="E94" s="132" t="inlineStr">
        <is>
          <t>SINALOA</t>
        </is>
      </c>
      <c r="F94" s="133" t="inlineStr">
        <is>
          <t>Impresora para placas radiográficas, marca Fujifilm, modelo Drypix Smart</t>
        </is>
      </c>
      <c r="G94" s="133" t="inlineStr">
        <is>
          <t>Fujifilm</t>
        </is>
      </c>
      <c r="H94" s="133" t="inlineStr">
        <is>
          <t>Drypix Smart</t>
        </is>
      </c>
      <c r="I94" s="132" t="inlineStr">
        <is>
          <t>56728475</t>
        </is>
      </c>
      <c r="J94" s="132" t="inlineStr">
        <is>
          <t>IMAGEN</t>
        </is>
      </c>
      <c r="K94" s="132" t="n"/>
      <c r="L94" s="132" t="n">
        <v>1</v>
      </c>
      <c r="M94" s="132" t="n">
        <v>2</v>
      </c>
      <c r="N94" s="132">
        <f>L94+M94</f>
        <v/>
      </c>
    </row>
    <row r="95" ht="19.95" customHeight="1" s="227">
      <c r="A95" s="132" t="n">
        <v>92</v>
      </c>
      <c r="B95" s="132" t="inlineStr">
        <is>
          <t>BM-123</t>
        </is>
      </c>
      <c r="C95" s="132" t="n">
        <v>184</v>
      </c>
      <c r="D95" s="133" t="inlineStr">
        <is>
          <t>H.M.R.E. Mazatlán</t>
        </is>
      </c>
      <c r="E95" s="132" t="inlineStr">
        <is>
          <t>SINALOA</t>
        </is>
      </c>
      <c r="F95" s="133" t="inlineStr">
        <is>
          <t>Impresora para placas radiográficas, marca Fujifilm, modelo Drypix Smart</t>
        </is>
      </c>
      <c r="G95" s="133" t="inlineStr">
        <is>
          <t>Fujifilm</t>
        </is>
      </c>
      <c r="H95" s="133" t="inlineStr">
        <is>
          <t>Drypix Smart</t>
        </is>
      </c>
      <c r="I95" s="132" t="inlineStr">
        <is>
          <t>66131122</t>
        </is>
      </c>
      <c r="J95" s="132" t="inlineStr">
        <is>
          <t>IMAGEN</t>
        </is>
      </c>
      <c r="K95" s="132" t="n"/>
      <c r="L95" s="132" t="n">
        <v>1</v>
      </c>
      <c r="M95" s="132" t="n">
        <v>2</v>
      </c>
      <c r="N95" s="132">
        <f>L95+M95</f>
        <v/>
      </c>
    </row>
    <row r="96" ht="19.95" customHeight="1" s="227">
      <c r="A96" s="128" t="n">
        <v>93</v>
      </c>
      <c r="B96" s="128" t="inlineStr">
        <is>
          <t>BM-071</t>
        </is>
      </c>
      <c r="C96" s="128" t="n">
        <v>185</v>
      </c>
      <c r="D96" s="129" t="inlineStr">
        <is>
          <t>H.C.M. Lomas de Sotelo</t>
        </is>
      </c>
      <c r="E96" s="128" t="inlineStr">
        <is>
          <t>CDMX</t>
        </is>
      </c>
      <c r="F96" s="129" t="inlineStr">
        <is>
          <t>Sistema de diagnóstico oftálmico avanzado, marca Heidelberg Engineering, modelo Spectralis</t>
        </is>
      </c>
      <c r="G96" s="129" t="inlineStr">
        <is>
          <t>Heidelberg Engineering</t>
        </is>
      </c>
      <c r="H96" s="129" t="inlineStr">
        <is>
          <t>Spectralis</t>
        </is>
      </c>
      <c r="I96" s="128" t="inlineStr">
        <is>
          <t>SPECT-KT-05789</t>
        </is>
      </c>
      <c r="J96" s="128" t="inlineStr">
        <is>
          <t>OFTALMO</t>
        </is>
      </c>
      <c r="K96" s="128" t="inlineStr">
        <is>
          <t>ARFAMEX</t>
        </is>
      </c>
      <c r="L96" s="128" t="n">
        <v>2</v>
      </c>
      <c r="M96" s="128" t="n">
        <v>4</v>
      </c>
      <c r="N96" s="128">
        <f>L96+M96</f>
        <v/>
      </c>
    </row>
    <row r="97" ht="19.95" customHeight="1" s="227">
      <c r="A97" s="130" t="n">
        <v>94</v>
      </c>
      <c r="B97" s="130" t="inlineStr">
        <is>
          <t>BM-072</t>
        </is>
      </c>
      <c r="C97" s="130" t="n">
        <v>196</v>
      </c>
      <c r="D97" s="131" t="inlineStr">
        <is>
          <t>H.M.R.E. Monterrey</t>
        </is>
      </c>
      <c r="E97" s="130" t="inlineStr">
        <is>
          <t>NUEVO LEON</t>
        </is>
      </c>
      <c r="F97" s="131" t="inlineStr">
        <is>
          <t>Sistema de digitalización de imágenes, marca SUNI, modelo SUNI</t>
        </is>
      </c>
      <c r="G97" s="131" t="inlineStr">
        <is>
          <t>SUNI</t>
        </is>
      </c>
      <c r="H97" s="131" t="inlineStr">
        <is>
          <t>SUNI</t>
        </is>
      </c>
      <c r="I97" s="130" t="inlineStr">
        <is>
          <t>DI2014106149</t>
        </is>
      </c>
      <c r="J97" s="130" t="inlineStr">
        <is>
          <t>IMAGEN</t>
        </is>
      </c>
      <c r="K97" s="130" t="n"/>
      <c r="L97" s="130" t="n">
        <v>1</v>
      </c>
      <c r="M97" s="130" t="n">
        <v>2</v>
      </c>
      <c r="N97" s="130">
        <f>L97+M97</f>
        <v/>
      </c>
    </row>
    <row r="98" ht="19.95" customHeight="1" s="227">
      <c r="A98" s="132" t="n">
        <v>95</v>
      </c>
      <c r="B98" s="132" t="inlineStr">
        <is>
          <t>BM-124</t>
        </is>
      </c>
      <c r="C98" s="132" t="n">
        <v>198</v>
      </c>
      <c r="D98" s="133" t="inlineStr">
        <is>
          <t>H.M.Z. La Boticaría</t>
        </is>
      </c>
      <c r="E98" s="132" t="inlineStr">
        <is>
          <t>VERACRUZ</t>
        </is>
      </c>
      <c r="F98" s="133" t="inlineStr">
        <is>
          <t>Arco en C, marca Ziehm Imaging, modelo Vision R</t>
        </is>
      </c>
      <c r="G98" s="133" t="inlineStr">
        <is>
          <t>Ziehm Imaging</t>
        </is>
      </c>
      <c r="H98" s="133" t="inlineStr">
        <is>
          <t>Vision R</t>
        </is>
      </c>
      <c r="I98" s="132" t="inlineStr">
        <is>
          <t>10704</t>
        </is>
      </c>
      <c r="J98" s="132" t="inlineStr">
        <is>
          <t>IMAGEN</t>
        </is>
      </c>
      <c r="K98" s="132" t="n"/>
      <c r="L98" s="132" t="n">
        <v>1</v>
      </c>
      <c r="M98" s="132" t="n">
        <v>2</v>
      </c>
      <c r="N98" s="132">
        <f>L98+M98</f>
        <v/>
      </c>
    </row>
    <row r="99" ht="19.95" customHeight="1" s="227">
      <c r="A99" s="132" t="n">
        <v>96</v>
      </c>
      <c r="B99" s="132" t="inlineStr">
        <is>
          <t>BM-125</t>
        </is>
      </c>
      <c r="C99" s="132" t="n">
        <v>200</v>
      </c>
      <c r="D99" s="133" t="inlineStr">
        <is>
          <t>H.M.R. Chihuahua</t>
        </is>
      </c>
      <c r="E99" s="132" t="inlineStr">
        <is>
          <t>CHIHUAHUA</t>
        </is>
      </c>
      <c r="F99" s="133" t="inlineStr">
        <is>
          <t>Arco en C, marca Ziehm Imaging, modelo Vision R</t>
        </is>
      </c>
      <c r="G99" s="133" t="inlineStr">
        <is>
          <t>Ziehm Imaging</t>
        </is>
      </c>
      <c r="H99" s="133" t="inlineStr">
        <is>
          <t>Vision R</t>
        </is>
      </c>
      <c r="I99" s="132" t="inlineStr">
        <is>
          <t>10703</t>
        </is>
      </c>
      <c r="J99" s="132" t="inlineStr">
        <is>
          <t>IMAGEN</t>
        </is>
      </c>
      <c r="K99" s="132" t="n"/>
      <c r="L99" s="132" t="n">
        <v>1</v>
      </c>
      <c r="M99" s="132" t="n">
        <v>2</v>
      </c>
      <c r="N99" s="132">
        <f>L99+M99</f>
        <v/>
      </c>
    </row>
    <row r="100" ht="19.95" customHeight="1" s="227">
      <c r="A100" s="132" t="n">
        <v>97</v>
      </c>
      <c r="B100" s="132" t="inlineStr">
        <is>
          <t>BM-126</t>
        </is>
      </c>
      <c r="C100" s="132" t="n">
        <v>203</v>
      </c>
      <c r="D100" s="133" t="inlineStr">
        <is>
          <t>H.M.R. Tuxtla Gutiérrez</t>
        </is>
      </c>
      <c r="E100" s="132" t="inlineStr">
        <is>
          <t>CHIAPAS</t>
        </is>
      </c>
      <c r="F100" s="133" t="inlineStr">
        <is>
          <t>Topógrafo corneal , marca Bausch &amp; Lomb, modelo ORBSCAN lll</t>
        </is>
      </c>
      <c r="G100" s="133" t="inlineStr">
        <is>
          <t>Bausch &amp; Lomb</t>
        </is>
      </c>
      <c r="H100" s="133" t="inlineStr">
        <is>
          <t>ORBSCAN lll</t>
        </is>
      </c>
      <c r="I100" s="132" t="inlineStr">
        <is>
          <t>50004019-0093</t>
        </is>
      </c>
      <c r="J100" s="132" t="inlineStr">
        <is>
          <t>OFTALMO</t>
        </is>
      </c>
      <c r="K100" s="132" t="inlineStr">
        <is>
          <t>BAUSH</t>
        </is>
      </c>
      <c r="L100" s="132" t="n">
        <v>1</v>
      </c>
      <c r="M100" s="132" t="n">
        <v>2</v>
      </c>
      <c r="N100" s="132">
        <f>L100+M100</f>
        <v/>
      </c>
    </row>
    <row r="101" ht="19.95" customHeight="1" s="227">
      <c r="A101" s="130" t="n">
        <v>98</v>
      </c>
      <c r="B101" s="130" t="inlineStr">
        <is>
          <t>BM-073</t>
        </is>
      </c>
      <c r="C101" s="130" t="n">
        <v>208</v>
      </c>
      <c r="D101" s="131" t="inlineStr">
        <is>
          <t>H.M.R.E. Mérida</t>
        </is>
      </c>
      <c r="E101" s="130" t="inlineStr">
        <is>
          <t>YUCATAN</t>
        </is>
      </c>
      <c r="F101" s="131" t="inlineStr">
        <is>
          <t>Microscopio para cirugía, marca Leica, modelo M844F40</t>
        </is>
      </c>
      <c r="G101" s="131" t="inlineStr">
        <is>
          <t>Leica</t>
        </is>
      </c>
      <c r="H101" s="131" t="inlineStr">
        <is>
          <t>M844F40</t>
        </is>
      </c>
      <c r="I101" s="130" t="inlineStr">
        <is>
          <t>160516003</t>
        </is>
      </c>
      <c r="J101" s="130" t="inlineStr">
        <is>
          <t>OFTALMO</t>
        </is>
      </c>
      <c r="K101" s="130" t="inlineStr">
        <is>
          <t>COINDISA</t>
        </is>
      </c>
      <c r="L101" s="130" t="n">
        <v>1</v>
      </c>
      <c r="M101" s="130" t="n">
        <v>2</v>
      </c>
      <c r="N101" s="130">
        <f>L101+M101</f>
        <v/>
      </c>
    </row>
    <row r="102" ht="19.95" customHeight="1" s="227">
      <c r="A102" s="132" t="n">
        <v>99</v>
      </c>
      <c r="B102" s="132" t="inlineStr">
        <is>
          <t>BM-127</t>
        </is>
      </c>
      <c r="C102" s="132" t="n">
        <v>213</v>
      </c>
      <c r="D102" s="133" t="inlineStr">
        <is>
          <t>H.M.E.O. Constituyentes</t>
        </is>
      </c>
      <c r="E102" s="132" t="inlineStr">
        <is>
          <t>CDMX</t>
        </is>
      </c>
      <c r="F102" s="133" t="inlineStr">
        <is>
          <t>Ultrasonido modo A-B y UBM, marca Quantel Medical, modelo Compact Touch</t>
        </is>
      </c>
      <c r="G102" s="133" t="inlineStr">
        <is>
          <t>Quantel Medical</t>
        </is>
      </c>
      <c r="H102" s="133" t="inlineStr">
        <is>
          <t>Compact Touch</t>
        </is>
      </c>
      <c r="I102" s="132" t="inlineStr">
        <is>
          <t>2746</t>
        </is>
      </c>
      <c r="J102" s="132" t="inlineStr">
        <is>
          <t>OFTALMO</t>
        </is>
      </c>
      <c r="K102" s="132" t="inlineStr">
        <is>
          <t>ARFAMEX</t>
        </is>
      </c>
      <c r="L102" s="132" t="n">
        <v>1</v>
      </c>
      <c r="M102" s="132" t="n">
        <v>2</v>
      </c>
      <c r="N102" s="132">
        <f>L102+M102</f>
        <v/>
      </c>
    </row>
    <row r="103" ht="19.95" customHeight="1" s="227">
      <c r="A103" s="130" t="n">
        <v>100</v>
      </c>
      <c r="B103" s="130" t="inlineStr">
        <is>
          <t>BM-074</t>
        </is>
      </c>
      <c r="C103" s="130" t="n">
        <v>214</v>
      </c>
      <c r="D103" s="131" t="inlineStr">
        <is>
          <t>H.M.E.O. Constituyentes</t>
        </is>
      </c>
      <c r="E103" s="130" t="inlineStr">
        <is>
          <t>CDMX</t>
        </is>
      </c>
      <c r="F103" s="131" t="inlineStr">
        <is>
          <t>Cámara de Scheimpflug, marca Oculus, modelo Pentacam HR</t>
        </is>
      </c>
      <c r="G103" s="131" t="inlineStr">
        <is>
          <t>Oculus</t>
        </is>
      </c>
      <c r="H103" s="131" t="inlineStr">
        <is>
          <t>Pentacam HR</t>
        </is>
      </c>
      <c r="I103" s="130" t="inlineStr">
        <is>
          <t>64835160</t>
        </is>
      </c>
      <c r="J103" s="130" t="inlineStr">
        <is>
          <t>OFTALMO</t>
        </is>
      </c>
      <c r="K103" s="130" t="inlineStr">
        <is>
          <t>CYAN</t>
        </is>
      </c>
      <c r="L103" s="130" t="n">
        <v>1</v>
      </c>
      <c r="M103" s="130" t="n">
        <v>2</v>
      </c>
      <c r="N103" s="130">
        <f>L103+M103</f>
        <v/>
      </c>
    </row>
    <row r="104" ht="19.95" customHeight="1" s="227">
      <c r="A104" s="128" t="n">
        <v>101</v>
      </c>
      <c r="B104" s="128" t="inlineStr">
        <is>
          <t>BM-075</t>
        </is>
      </c>
      <c r="C104" s="128" t="n">
        <v>215</v>
      </c>
      <c r="D104" s="129" t="inlineStr">
        <is>
          <t>H.M.E.O. Constituyentes</t>
        </is>
      </c>
      <c r="E104" s="128" t="inlineStr">
        <is>
          <t>CDMX</t>
        </is>
      </c>
      <c r="F104" s="129" t="inlineStr">
        <is>
          <t>Unidad de banco de ojos, marca Varios, modelo Varios</t>
        </is>
      </c>
      <c r="G104" s="129" t="inlineStr">
        <is>
          <t>Varios</t>
        </is>
      </c>
      <c r="H104" s="129" t="inlineStr">
        <is>
          <t>Varios</t>
        </is>
      </c>
      <c r="I104" s="128" t="inlineStr">
        <is>
          <t>Varios</t>
        </is>
      </c>
      <c r="J104" s="128" t="inlineStr">
        <is>
          <t>OFTALMO</t>
        </is>
      </c>
      <c r="K104" s="128" t="inlineStr">
        <is>
          <t>MD</t>
        </is>
      </c>
      <c r="L104" s="128" t="n">
        <v>1</v>
      </c>
      <c r="M104" s="128" t="n">
        <v>2</v>
      </c>
      <c r="N104" s="128">
        <f>L104+M104</f>
        <v/>
      </c>
    </row>
    <row r="105" ht="19.95" customHeight="1" s="227">
      <c r="A105" s="130" t="n">
        <v>102</v>
      </c>
      <c r="B105" s="130" t="inlineStr">
        <is>
          <t>BM-076</t>
        </is>
      </c>
      <c r="C105" s="130" t="n">
        <v>218</v>
      </c>
      <c r="D105" s="131" t="inlineStr">
        <is>
          <t>H.M.E.M. Y N. Lomas de Sotelo</t>
        </is>
      </c>
      <c r="E105" s="130" t="inlineStr">
        <is>
          <t>CDMX</t>
        </is>
      </c>
      <c r="F105" s="131" t="inlineStr">
        <is>
          <t>Impresora para placas radiográficas, marca Codonics, modelo Horizon Ci</t>
        </is>
      </c>
      <c r="G105" s="131" t="inlineStr">
        <is>
          <t>Codonics</t>
        </is>
      </c>
      <c r="H105" s="131" t="inlineStr">
        <is>
          <t>Horizon Ci</t>
        </is>
      </c>
      <c r="I105" s="130" t="inlineStr">
        <is>
          <t>50C00394C</t>
        </is>
      </c>
      <c r="J105" s="130" t="inlineStr">
        <is>
          <t>IMAGEN</t>
        </is>
      </c>
      <c r="K105" s="130" t="n"/>
      <c r="L105" s="130" t="n">
        <v>1</v>
      </c>
      <c r="M105" s="130" t="n">
        <v>2</v>
      </c>
      <c r="N105" s="130">
        <f>L105+M105</f>
        <v/>
      </c>
    </row>
    <row r="106" ht="19.95" customHeight="1" s="227">
      <c r="A106" s="128" t="n">
        <v>103</v>
      </c>
      <c r="B106" s="128" t="inlineStr">
        <is>
          <t>BM-077</t>
        </is>
      </c>
      <c r="C106" s="128" t="n">
        <v>221</v>
      </c>
      <c r="D106" s="129" t="inlineStr">
        <is>
          <t>H.M.Z. La Boticaría</t>
        </is>
      </c>
      <c r="E106" s="128" t="inlineStr">
        <is>
          <t>VERACRUZ</t>
        </is>
      </c>
      <c r="F106" s="129" t="inlineStr">
        <is>
          <t>Sistema de digitalización de imágenes, marca Fujifilm, modelo Digitalizador: FCR Capsula XLII (CR-IR 359) Impresora: Drypix Plus</t>
        </is>
      </c>
      <c r="G106" s="129" t="inlineStr">
        <is>
          <t>Fujifilm</t>
        </is>
      </c>
      <c r="H106" s="129" t="inlineStr">
        <is>
          <t>Digitalizador: FCR Capsula XLII (CR-IR 359) Impresora: Drypix Plus</t>
        </is>
      </c>
      <c r="I106" s="128" t="inlineStr">
        <is>
          <t>Digitalizador: 46770610 Impresora: 36753809</t>
        </is>
      </c>
      <c r="J106" s="128" t="inlineStr">
        <is>
          <t>IMAGEN</t>
        </is>
      </c>
      <c r="K106" s="128" t="n"/>
      <c r="L106" s="128" t="n">
        <v>1</v>
      </c>
      <c r="M106" s="128" t="n">
        <v>2</v>
      </c>
      <c r="N106" s="128">
        <f>L106+M106</f>
        <v/>
      </c>
    </row>
    <row r="107" ht="19.95" customHeight="1" s="227">
      <c r="A107" s="130" t="n">
        <v>104</v>
      </c>
      <c r="B107" s="130" t="inlineStr">
        <is>
          <t>BM-078</t>
        </is>
      </c>
      <c r="C107" s="130" t="n">
        <v>222</v>
      </c>
      <c r="D107" s="131" t="inlineStr">
        <is>
          <t>H.M.Z. La Boticaría</t>
        </is>
      </c>
      <c r="E107" s="130" t="inlineStr">
        <is>
          <t>VERACRUZ</t>
        </is>
      </c>
      <c r="F107" s="131" t="inlineStr">
        <is>
          <t>Ultrasonido oftálmico, marca OPTIKON, modelo HiScan</t>
        </is>
      </c>
      <c r="G107" s="131" t="inlineStr">
        <is>
          <t>OPTIKON</t>
        </is>
      </c>
      <c r="H107" s="131" t="inlineStr">
        <is>
          <t>HiScan</t>
        </is>
      </c>
      <c r="I107" s="130" t="inlineStr">
        <is>
          <t>387BC</t>
        </is>
      </c>
      <c r="J107" s="130" t="inlineStr">
        <is>
          <t>OFTALMO</t>
        </is>
      </c>
      <c r="K107" s="130" t="inlineStr">
        <is>
          <t>OPTIKON</t>
        </is>
      </c>
      <c r="L107" s="130" t="n">
        <v>1</v>
      </c>
      <c r="M107" s="130" t="n">
        <v>2</v>
      </c>
      <c r="N107" s="130">
        <f>L107+M107</f>
        <v/>
      </c>
    </row>
    <row r="108" ht="19.95" customHeight="1" s="227">
      <c r="A108" s="132" t="n">
        <v>105</v>
      </c>
      <c r="B108" s="132" t="inlineStr">
        <is>
          <t>BM-128</t>
        </is>
      </c>
      <c r="C108" s="132" t="n">
        <v>223</v>
      </c>
      <c r="D108" s="133" t="inlineStr">
        <is>
          <t>H.M.R. Chilpancingo</t>
        </is>
      </c>
      <c r="E108" s="132" t="inlineStr">
        <is>
          <t>GUERRERO</t>
        </is>
      </c>
      <c r="F108" s="133" t="inlineStr">
        <is>
          <t>Rayos X móvil, marca Shimadzu, modelo MobileArt Evolution</t>
        </is>
      </c>
      <c r="G108" s="133" t="inlineStr">
        <is>
          <t>Shimadzu</t>
        </is>
      </c>
      <c r="H108" s="133" t="inlineStr">
        <is>
          <t>MobileArt Evolution</t>
        </is>
      </c>
      <c r="I108" s="132" t="inlineStr">
        <is>
          <t>41000333B017</t>
        </is>
      </c>
      <c r="J108" s="132" t="inlineStr">
        <is>
          <t>IMAGEN</t>
        </is>
      </c>
      <c r="K108" s="132" t="n"/>
      <c r="L108" s="132" t="n">
        <v>1</v>
      </c>
      <c r="M108" s="132" t="n">
        <v>2</v>
      </c>
      <c r="N108" s="132">
        <f>L108+M108</f>
        <v/>
      </c>
    </row>
    <row r="109" ht="19.95" customHeight="1" s="227">
      <c r="A109" s="132" t="n">
        <v>106</v>
      </c>
      <c r="B109" s="132" t="inlineStr">
        <is>
          <t>BM-129</t>
        </is>
      </c>
      <c r="C109" s="132" t="n">
        <v>225</v>
      </c>
      <c r="D109" s="133" t="inlineStr">
        <is>
          <t>H.M.Z. Guadalupe</t>
        </is>
      </c>
      <c r="E109" s="132" t="inlineStr">
        <is>
          <t>ZACATECAS</t>
        </is>
      </c>
      <c r="F109" s="133" t="inlineStr">
        <is>
          <t>Equipo de rayos X móvil, marca Technix, modelo TMS 320</t>
        </is>
      </c>
      <c r="G109" s="133" t="inlineStr">
        <is>
          <t>Technix</t>
        </is>
      </c>
      <c r="H109" s="133" t="inlineStr">
        <is>
          <t>TMS 320</t>
        </is>
      </c>
      <c r="I109" s="132" t="inlineStr">
        <is>
          <t>80-16-86-157</t>
        </is>
      </c>
      <c r="J109" s="132" t="inlineStr">
        <is>
          <t>IMAGEN</t>
        </is>
      </c>
      <c r="K109" s="132" t="n"/>
      <c r="L109" s="132" t="n">
        <v>1</v>
      </c>
      <c r="M109" s="132" t="n">
        <v>2</v>
      </c>
      <c r="N109" s="132">
        <f>L109+M109</f>
        <v/>
      </c>
    </row>
    <row r="110" ht="19.95" customHeight="1" s="227">
      <c r="A110" s="132" t="n">
        <v>107</v>
      </c>
      <c r="B110" s="132" t="inlineStr">
        <is>
          <t>BM-130</t>
        </is>
      </c>
      <c r="C110" s="132" t="n">
        <v>226</v>
      </c>
      <c r="D110" s="133" t="inlineStr">
        <is>
          <t>H.M.R. Chihuahua</t>
        </is>
      </c>
      <c r="E110" s="132" t="inlineStr">
        <is>
          <t>CHIHUAHUA</t>
        </is>
      </c>
      <c r="F110" s="133" t="inlineStr">
        <is>
          <t>Sistema de digitalización de imágenes, marca Fujifilm, modelo Digitalizador: FCR Capsula XLII (CR-IR 359) Impresora: Drypix 4000</t>
        </is>
      </c>
      <c r="G110" s="133" t="inlineStr">
        <is>
          <t>Fujifilm</t>
        </is>
      </c>
      <c r="H110" s="133" t="inlineStr">
        <is>
          <t>Digitalizador: FCR Capsula XLII (CR-IR 359) Impresora: Drypix 4000</t>
        </is>
      </c>
      <c r="I110" s="132" t="inlineStr">
        <is>
          <t>Digitalizador: 37240106 Impresora: 36653761</t>
        </is>
      </c>
      <c r="J110" s="132" t="inlineStr">
        <is>
          <t>IMAGEN</t>
        </is>
      </c>
      <c r="K110" s="132" t="n"/>
      <c r="L110" s="132" t="n">
        <v>1</v>
      </c>
      <c r="M110" s="132" t="n">
        <v>2</v>
      </c>
      <c r="N110" s="132">
        <f>L110+M110</f>
        <v/>
      </c>
    </row>
    <row r="111" ht="19.95" customHeight="1" s="227">
      <c r="A111" s="130" t="n">
        <v>108</v>
      </c>
      <c r="B111" s="130" t="inlineStr">
        <is>
          <t>BM-079</t>
        </is>
      </c>
      <c r="C111" s="130" t="n">
        <v>227</v>
      </c>
      <c r="D111" s="131" t="inlineStr">
        <is>
          <t>H.M.Z. Temamatla</t>
        </is>
      </c>
      <c r="E111" s="130" t="inlineStr">
        <is>
          <t>EDO DE MEX</t>
        </is>
      </c>
      <c r="F111" s="131" t="inlineStr">
        <is>
          <t>Sistema de digitalización de imágenes, marca Fujifilm, modelo Digitalizador: FCR Capsula XLII (CR-IR 359) Impresora: Drypix 4000</t>
        </is>
      </c>
      <c r="G111" s="131" t="inlineStr">
        <is>
          <t>Fujifilm</t>
        </is>
      </c>
      <c r="H111" s="131" t="inlineStr">
        <is>
          <t>Digitalizador: FCR Capsula XLII (CR-IR 359) Impresora: Drypix 4000</t>
        </is>
      </c>
      <c r="I111" s="130" t="inlineStr">
        <is>
          <t>Digitalizador: 46370281 Impresora: 36753805</t>
        </is>
      </c>
      <c r="J111" s="130" t="inlineStr">
        <is>
          <t>IMAGEN</t>
        </is>
      </c>
      <c r="K111" s="130" t="n"/>
      <c r="L111" s="130" t="n">
        <v>1</v>
      </c>
      <c r="M111" s="130" t="n">
        <v>2</v>
      </c>
      <c r="N111" s="130">
        <f>L111+M111</f>
        <v/>
      </c>
    </row>
    <row r="112" ht="19.95" customHeight="1" s="227">
      <c r="A112" s="128" t="n">
        <v>109</v>
      </c>
      <c r="B112" s="128" t="inlineStr">
        <is>
          <t>BM-080</t>
        </is>
      </c>
      <c r="C112" s="128" t="n">
        <v>228</v>
      </c>
      <c r="D112" s="129" t="inlineStr">
        <is>
          <t>H.M.Z. Temamatla</t>
        </is>
      </c>
      <c r="E112" s="128" t="inlineStr">
        <is>
          <t>EDO DE MEX</t>
        </is>
      </c>
      <c r="F112" s="129" t="inlineStr">
        <is>
          <t>Impresora para placas radiográficas, marca Konica Minolta, modelo DryPro 873</t>
        </is>
      </c>
      <c r="G112" s="129" t="inlineStr">
        <is>
          <t>Konica Minolta</t>
        </is>
      </c>
      <c r="H112" s="129" t="inlineStr">
        <is>
          <t>DryPro 873</t>
        </is>
      </c>
      <c r="I112" s="128" t="inlineStr">
        <is>
          <t>0992-50128</t>
        </is>
      </c>
      <c r="J112" s="128" t="inlineStr">
        <is>
          <t>IMAGEN</t>
        </is>
      </c>
      <c r="K112" s="128" t="n"/>
      <c r="L112" s="128" t="n">
        <v>1</v>
      </c>
      <c r="M112" s="128" t="n">
        <v>2</v>
      </c>
      <c r="N112" s="128">
        <f>L112+M112</f>
        <v/>
      </c>
    </row>
    <row r="113" ht="19.95" customHeight="1" s="227">
      <c r="A113" s="132" t="n">
        <v>110</v>
      </c>
      <c r="B113" s="132" t="inlineStr">
        <is>
          <t>BM-131</t>
        </is>
      </c>
      <c r="C113" s="132" t="n">
        <v>230</v>
      </c>
      <c r="D113" s="133" t="inlineStr">
        <is>
          <t>H.M.R., Irapuato</t>
        </is>
      </c>
      <c r="E113" s="132" t="inlineStr">
        <is>
          <t>GUANAJUATO</t>
        </is>
      </c>
      <c r="F113" s="133" t="inlineStr">
        <is>
          <t>Equipo de rayos X móvil, marca Technix, modelo TMS 320</t>
        </is>
      </c>
      <c r="G113" s="133" t="inlineStr">
        <is>
          <t>Technix</t>
        </is>
      </c>
      <c r="H113" s="133" t="inlineStr">
        <is>
          <t>TMS 320</t>
        </is>
      </c>
      <c r="I113" s="132" t="inlineStr">
        <is>
          <t>80-16-85-156</t>
        </is>
      </c>
      <c r="J113" s="132" t="inlineStr">
        <is>
          <t>IMAGEN</t>
        </is>
      </c>
      <c r="K113" s="132" t="n"/>
      <c r="L113" s="132" t="n">
        <v>1</v>
      </c>
      <c r="M113" s="132" t="n">
        <v>2</v>
      </c>
      <c r="N113" s="132">
        <f>L113+M113</f>
        <v/>
      </c>
    </row>
    <row r="114" ht="19.95" customHeight="1" s="227">
      <c r="A114" s="128" t="n">
        <v>111</v>
      </c>
      <c r="B114" s="128" t="inlineStr">
        <is>
          <t>BM-081</t>
        </is>
      </c>
      <c r="C114" s="128" t="n">
        <v>231</v>
      </c>
      <c r="D114" s="129" t="inlineStr">
        <is>
          <t>H.M.Z. Cuernavaca</t>
        </is>
      </c>
      <c r="E114" s="128" t="inlineStr">
        <is>
          <t>MORELOS</t>
        </is>
      </c>
      <c r="F114" s="129" t="inlineStr">
        <is>
          <t>Sistema de digitalización de imágenes, marca Fujifilm, modelo Digitalizador: FCR Capsula XLII (CR-IR 359) Impresora: Drypix 4000</t>
        </is>
      </c>
      <c r="G114" s="129" t="inlineStr">
        <is>
          <t>Fujifilm</t>
        </is>
      </c>
      <c r="H114" s="129" t="inlineStr">
        <is>
          <t>Digitalizador: FCR Capsula XLII (CR-IR 359) Impresora: Drypix 4000</t>
        </is>
      </c>
      <c r="I114" s="128" t="inlineStr">
        <is>
          <t>Digitalizador: 46770614 Impresora: 36653758</t>
        </is>
      </c>
      <c r="J114" s="128" t="inlineStr">
        <is>
          <t>IMAGEN</t>
        </is>
      </c>
      <c r="K114" s="128" t="n"/>
      <c r="L114" s="128" t="n">
        <v>1</v>
      </c>
      <c r="M114" s="128" t="n">
        <v>2</v>
      </c>
      <c r="N114" s="128">
        <f>L114+M114</f>
        <v/>
      </c>
    </row>
    <row r="115" ht="19.95" customHeight="1" s="227">
      <c r="A115" s="130" t="n">
        <v>112</v>
      </c>
      <c r="B115" s="130" t="inlineStr">
        <is>
          <t>BM-082</t>
        </is>
      </c>
      <c r="C115" s="130" t="n">
        <v>232</v>
      </c>
      <c r="D115" s="131" t="inlineStr">
        <is>
          <t>H.M.R. Acapulco</t>
        </is>
      </c>
      <c r="E115" s="130" t="inlineStr">
        <is>
          <t>GUERRERO</t>
        </is>
      </c>
      <c r="F115" s="131" t="inlineStr">
        <is>
          <t>Digitalizador de placas radiográficas, marca Fujifilm, modelo CR-IR359</t>
        </is>
      </c>
      <c r="G115" s="131" t="inlineStr">
        <is>
          <t>Fujifilm</t>
        </is>
      </c>
      <c r="H115" s="131" t="inlineStr">
        <is>
          <t>CR-IR359</t>
        </is>
      </c>
      <c r="I115" s="130" t="inlineStr">
        <is>
          <t>46270262</t>
        </is>
      </c>
      <c r="J115" s="130" t="inlineStr">
        <is>
          <t>IMAGEN</t>
        </is>
      </c>
      <c r="K115" s="130" t="n"/>
      <c r="L115" s="130" t="n">
        <v>1</v>
      </c>
      <c r="M115" s="130" t="n">
        <v>2</v>
      </c>
      <c r="N115" s="130">
        <f>L115+M115</f>
        <v/>
      </c>
    </row>
    <row r="116" ht="19.95" customHeight="1" s="227">
      <c r="A116" s="132" t="n">
        <v>113</v>
      </c>
      <c r="B116" s="132" t="inlineStr">
        <is>
          <t>BM-132</t>
        </is>
      </c>
      <c r="C116" s="132" t="n">
        <v>265</v>
      </c>
      <c r="D116" s="133" t="inlineStr">
        <is>
          <t>H.M.Z. Santa María Rayón</t>
        </is>
      </c>
      <c r="E116" s="132" t="inlineStr">
        <is>
          <t>EDO DE MEX</t>
        </is>
      </c>
      <c r="F116" s="133" t="inlineStr">
        <is>
          <t>Rayos X móvil, marca Listem, modelo MOBIX-1000</t>
        </is>
      </c>
      <c r="G116" s="133" t="inlineStr">
        <is>
          <t>Listem</t>
        </is>
      </c>
      <c r="H116" s="133" t="inlineStr">
        <is>
          <t>MOBIX-1000</t>
        </is>
      </c>
      <c r="I116" s="132" t="inlineStr">
        <is>
          <t>10 0155</t>
        </is>
      </c>
      <c r="J116" s="132" t="inlineStr">
        <is>
          <t>IMAGEN</t>
        </is>
      </c>
      <c r="K116" s="132" t="n"/>
      <c r="L116" s="132" t="n">
        <v>1</v>
      </c>
      <c r="M116" s="132" t="n">
        <v>2</v>
      </c>
      <c r="N116" s="132">
        <f>L116+M116</f>
        <v/>
      </c>
    </row>
    <row r="117" ht="19.95" customHeight="1" s="227">
      <c r="A117" s="130" t="n">
        <v>114</v>
      </c>
      <c r="B117" s="130" t="inlineStr">
        <is>
          <t>BM-083</t>
        </is>
      </c>
      <c r="C117" s="130" t="n">
        <v>268</v>
      </c>
      <c r="D117" s="131" t="inlineStr">
        <is>
          <t>H.M.Z. Ixcotel</t>
        </is>
      </c>
      <c r="E117" s="130" t="inlineStr">
        <is>
          <t>OAXACA</t>
        </is>
      </c>
      <c r="F117" s="131" t="inlineStr">
        <is>
          <t>Fotocoagulador láser , marca Meridian AG, modelo SLA-UNI</t>
        </is>
      </c>
      <c r="G117" s="131" t="inlineStr">
        <is>
          <t>Meridian AG</t>
        </is>
      </c>
      <c r="H117" s="131" t="inlineStr">
        <is>
          <t>SLA-UNI</t>
        </is>
      </c>
      <c r="I117" s="130" t="inlineStr">
        <is>
          <t>0069</t>
        </is>
      </c>
      <c r="J117" s="130" t="inlineStr">
        <is>
          <t>OFTALMO</t>
        </is>
      </c>
      <c r="K117" s="130" t="inlineStr">
        <is>
          <t>DEWIMED</t>
        </is>
      </c>
      <c r="L117" s="130" t="n">
        <v>1</v>
      </c>
      <c r="M117" s="130" t="n">
        <v>2</v>
      </c>
      <c r="N117" s="130">
        <f>L117+M117</f>
        <v/>
      </c>
    </row>
    <row r="118" ht="19.95" customHeight="1" s="227">
      <c r="A118" s="128" t="n">
        <v>115</v>
      </c>
      <c r="B118" s="128" t="inlineStr">
        <is>
          <t>BM-084</t>
        </is>
      </c>
      <c r="C118" s="128" t="n">
        <v>273</v>
      </c>
      <c r="D118" s="129" t="inlineStr">
        <is>
          <t>H.M.Z. Ixcotel</t>
        </is>
      </c>
      <c r="E118" s="128" t="inlineStr">
        <is>
          <t>OAXACA</t>
        </is>
      </c>
      <c r="F118" s="129" t="inlineStr">
        <is>
          <t>Láser oftálmico, marca Alcon, modelo 3000LE</t>
        </is>
      </c>
      <c r="G118" s="129" t="inlineStr">
        <is>
          <t>Alcon</t>
        </is>
      </c>
      <c r="H118" s="129" t="inlineStr">
        <is>
          <t>3000LE</t>
        </is>
      </c>
      <c r="I118" s="128" t="inlineStr">
        <is>
          <t>5342LX</t>
        </is>
      </c>
      <c r="J118" s="128" t="inlineStr">
        <is>
          <t>OFTALMO</t>
        </is>
      </c>
      <c r="K118" s="128" t="inlineStr">
        <is>
          <t>ALCON</t>
        </is>
      </c>
      <c r="L118" s="128" t="n">
        <v>1</v>
      </c>
      <c r="M118" s="128" t="n">
        <v>2</v>
      </c>
      <c r="N118" s="128">
        <f>L118+M118</f>
        <v/>
      </c>
    </row>
    <row r="119" ht="19.95" customHeight="1" s="227">
      <c r="A119" s="130" t="n">
        <v>116</v>
      </c>
      <c r="B119" s="130" t="inlineStr">
        <is>
          <t>BM-085</t>
        </is>
      </c>
      <c r="C119" s="130" t="n">
        <v>283</v>
      </c>
      <c r="D119" s="131" t="inlineStr">
        <is>
          <t>H.M.E.O. Constituyentes</t>
        </is>
      </c>
      <c r="E119" s="130" t="inlineStr">
        <is>
          <t>CDMX</t>
        </is>
      </c>
      <c r="F119" s="131" t="inlineStr">
        <is>
          <t>Láser excimer, marca Bausch &amp; Lomb, modelo Zyoptix XP</t>
        </is>
      </c>
      <c r="G119" s="131" t="inlineStr">
        <is>
          <t>Bausch &amp; Lomb</t>
        </is>
      </c>
      <c r="H119" s="131" t="inlineStr">
        <is>
          <t>Zyoptix XP</t>
        </is>
      </c>
      <c r="I119" s="130" t="inlineStr">
        <is>
          <t>2805</t>
        </is>
      </c>
      <c r="J119" s="130" t="inlineStr">
        <is>
          <t>OFTALMO</t>
        </is>
      </c>
      <c r="K119" s="130" t="inlineStr">
        <is>
          <t>BAUSH</t>
        </is>
      </c>
      <c r="L119" s="130" t="n">
        <v>1</v>
      </c>
      <c r="M119" s="130" t="n">
        <v>2</v>
      </c>
      <c r="N119" s="130">
        <f>L119+M119</f>
        <v/>
      </c>
    </row>
    <row r="120" ht="19.95" customHeight="1" s="227">
      <c r="A120" s="128" t="n">
        <v>117</v>
      </c>
      <c r="B120" s="128" t="inlineStr">
        <is>
          <t>BM-086</t>
        </is>
      </c>
      <c r="C120" s="128" t="n">
        <v>291</v>
      </c>
      <c r="D120" s="129" t="inlineStr">
        <is>
          <t>H.M.E.O. Constituyentes</t>
        </is>
      </c>
      <c r="E120" s="128" t="inlineStr">
        <is>
          <t>CDMX</t>
        </is>
      </c>
      <c r="F120" s="129" t="inlineStr">
        <is>
          <t>Láser excimer, marca Bausch &amp; Lomb, modelo Zyoptix XP</t>
        </is>
      </c>
      <c r="G120" s="129" t="inlineStr">
        <is>
          <t>Bausch &amp; Lomb</t>
        </is>
      </c>
      <c r="H120" s="129" t="inlineStr">
        <is>
          <t>Zyoptix XP</t>
        </is>
      </c>
      <c r="I120" s="128" t="inlineStr">
        <is>
          <t>XL500322</t>
        </is>
      </c>
      <c r="J120" s="128" t="inlineStr">
        <is>
          <t>OFTALMO</t>
        </is>
      </c>
      <c r="K120" s="128" t="inlineStr">
        <is>
          <t>BAUSH</t>
        </is>
      </c>
      <c r="L120" s="128" t="n">
        <v>1</v>
      </c>
      <c r="M120" s="128" t="n">
        <v>2</v>
      </c>
      <c r="N120" s="128">
        <f>L120+M120</f>
        <v/>
      </c>
    </row>
    <row r="121" ht="19.95" customHeight="1" s="227">
      <c r="A121" s="130" t="n">
        <v>118</v>
      </c>
      <c r="B121" s="130" t="inlineStr">
        <is>
          <t>BM-087</t>
        </is>
      </c>
      <c r="C121" s="130" t="n">
        <v>292</v>
      </c>
      <c r="D121" s="131" t="inlineStr">
        <is>
          <t>H.M.E.O. Constituyentes</t>
        </is>
      </c>
      <c r="E121" s="130" t="inlineStr">
        <is>
          <t>CDMX</t>
        </is>
      </c>
      <c r="F121" s="131" t="inlineStr">
        <is>
          <t>Microscopio especular, marca Konan, modelo CellChek XL NSP9900</t>
        </is>
      </c>
      <c r="G121" s="131" t="inlineStr">
        <is>
          <t>Konan</t>
        </is>
      </c>
      <c r="H121" s="131" t="inlineStr">
        <is>
          <t>CellChek XL NSP9900</t>
        </is>
      </c>
      <c r="I121" s="130" t="inlineStr">
        <is>
          <t>NPA-3-1816</t>
        </is>
      </c>
      <c r="J121" s="130" t="inlineStr">
        <is>
          <t>OFTALMO</t>
        </is>
      </c>
      <c r="K121" s="130" t="inlineStr">
        <is>
          <t>TECHNOMIX</t>
        </is>
      </c>
      <c r="L121" s="130" t="n">
        <v>1</v>
      </c>
      <c r="M121" s="130" t="n">
        <v>2</v>
      </c>
      <c r="N121" s="130">
        <f>L121+M121</f>
        <v/>
      </c>
    </row>
    <row r="122" ht="19.95" customHeight="1" s="227">
      <c r="A122" s="128" t="n">
        <v>119</v>
      </c>
      <c r="B122" s="128" t="inlineStr">
        <is>
          <t>BM-088</t>
        </is>
      </c>
      <c r="C122" s="128" t="n">
        <v>298</v>
      </c>
      <c r="D122" s="129" t="inlineStr">
        <is>
          <t>H.M.Z. Chetumal</t>
        </is>
      </c>
      <c r="E122" s="128" t="inlineStr">
        <is>
          <t>QUINTANA ROO</t>
        </is>
      </c>
      <c r="F122" s="129" t="inlineStr">
        <is>
          <t>Sistema de digitalización de imágenes, marca Fujifilm, modelo Digitalizador: FCR Capsula XLII (CR-IR 359)</t>
        </is>
      </c>
      <c r="G122" s="129" t="inlineStr">
        <is>
          <t>Fujifilm</t>
        </is>
      </c>
      <c r="H122" s="129" t="inlineStr">
        <is>
          <t>Digitalizador: FCR Capsula XLII (CR-IR 359)</t>
        </is>
      </c>
      <c r="I122" s="128" t="inlineStr">
        <is>
          <t>46770608</t>
        </is>
      </c>
      <c r="J122" s="128" t="inlineStr">
        <is>
          <t>IMAGEN</t>
        </is>
      </c>
      <c r="K122" s="128" t="n"/>
      <c r="L122" s="128" t="n">
        <v>1</v>
      </c>
      <c r="M122" s="128" t="n">
        <v>2</v>
      </c>
      <c r="N122" s="128">
        <f>L122+M122</f>
        <v/>
      </c>
    </row>
    <row r="123" ht="19.95" customHeight="1" s="227">
      <c r="A123" s="132" t="n">
        <v>120</v>
      </c>
      <c r="B123" s="132" t="inlineStr">
        <is>
          <t>BM-133</t>
        </is>
      </c>
      <c r="C123" s="132" t="n">
        <v>301</v>
      </c>
      <c r="D123" s="133" t="inlineStr">
        <is>
          <t>Subcentro de Evaluación Médica, Campo Militar 1-A</t>
        </is>
      </c>
      <c r="E123" s="132" t="inlineStr">
        <is>
          <t>CDMX</t>
        </is>
      </c>
      <c r="F123" s="133" t="inlineStr">
        <is>
          <t>Rayos X fijo, marca Osko, modelo XR5</t>
        </is>
      </c>
      <c r="G123" s="133" t="inlineStr">
        <is>
          <t>Osko</t>
        </is>
      </c>
      <c r="H123" s="133" t="inlineStr">
        <is>
          <t>XR5</t>
        </is>
      </c>
      <c r="I123" s="132" t="inlineStr">
        <is>
          <t>XRC1094990MX</t>
        </is>
      </c>
      <c r="J123" s="132" t="inlineStr">
        <is>
          <t>IMAGEN</t>
        </is>
      </c>
      <c r="K123" s="132" t="n"/>
      <c r="L123" s="132" t="n">
        <v>1</v>
      </c>
      <c r="M123" s="132" t="n">
        <v>2</v>
      </c>
      <c r="N123" s="132">
        <f>L123+M123</f>
        <v/>
      </c>
    </row>
    <row r="124" ht="19.95" customHeight="1" s="227">
      <c r="A124" s="132" t="n">
        <v>121</v>
      </c>
      <c r="B124" s="132" t="inlineStr">
        <is>
          <t>BM-134</t>
        </is>
      </c>
      <c r="C124" s="132" t="n">
        <v>302</v>
      </c>
      <c r="D124" s="133" t="inlineStr">
        <is>
          <t>Subcentro de Evaluación Médica, Campo Militar 1-A</t>
        </is>
      </c>
      <c r="E124" s="132" t="inlineStr">
        <is>
          <t>CDMX</t>
        </is>
      </c>
      <c r="F124" s="133" t="inlineStr">
        <is>
          <t>Rayos X fijo, marca Osko, modelo XR5</t>
        </is>
      </c>
      <c r="G124" s="133" t="inlineStr">
        <is>
          <t>Osko</t>
        </is>
      </c>
      <c r="H124" s="133" t="inlineStr">
        <is>
          <t>XR5</t>
        </is>
      </c>
      <c r="I124" s="132" t="inlineStr">
        <is>
          <t>XRC1095095MX</t>
        </is>
      </c>
      <c r="J124" s="132" t="inlineStr">
        <is>
          <t>IMAGEN</t>
        </is>
      </c>
      <c r="K124" s="132" t="n"/>
      <c r="L124" s="132" t="n">
        <v>1</v>
      </c>
      <c r="M124" s="132" t="n">
        <v>2</v>
      </c>
      <c r="N124" s="132">
        <f>L124+M124</f>
        <v/>
      </c>
    </row>
    <row r="125" ht="19.95" customHeight="1" s="227">
      <c r="A125" s="132" t="n">
        <v>122</v>
      </c>
      <c r="B125" s="132" t="inlineStr">
        <is>
          <t>BM-135</t>
        </is>
      </c>
      <c r="C125" s="132" t="n">
        <v>303</v>
      </c>
      <c r="D125" s="133" t="inlineStr">
        <is>
          <t>Subcentro de Evaluación Médica, Campo Militar 1-A</t>
        </is>
      </c>
      <c r="E125" s="132" t="inlineStr">
        <is>
          <t>CDMX</t>
        </is>
      </c>
      <c r="F125" s="133" t="inlineStr">
        <is>
          <t>Rayos X fijo, marca Osko, modelo XR5</t>
        </is>
      </c>
      <c r="G125" s="133" t="inlineStr">
        <is>
          <t>Osko</t>
        </is>
      </c>
      <c r="H125" s="133" t="inlineStr">
        <is>
          <t>XR5</t>
        </is>
      </c>
      <c r="I125" s="132" t="inlineStr">
        <is>
          <t>XRC1094988MX</t>
        </is>
      </c>
      <c r="J125" s="132" t="inlineStr">
        <is>
          <t>IMAGEN</t>
        </is>
      </c>
      <c r="K125" s="132" t="n"/>
      <c r="L125" s="132" t="n">
        <v>1</v>
      </c>
      <c r="M125" s="132" t="n">
        <v>2</v>
      </c>
      <c r="N125" s="132">
        <f>L125+M125</f>
        <v/>
      </c>
    </row>
    <row r="126" ht="19.95" customHeight="1" s="227">
      <c r="A126" s="128" t="n">
        <v>123</v>
      </c>
      <c r="B126" s="128" t="inlineStr">
        <is>
          <t>BM-089</t>
        </is>
      </c>
      <c r="C126" s="128" t="n">
        <v>304</v>
      </c>
      <c r="D126" s="129" t="inlineStr">
        <is>
          <t>Subcentro de Evaluación Médica, Campo Militar 1-A</t>
        </is>
      </c>
      <c r="E126" s="128" t="inlineStr">
        <is>
          <t>CDMX</t>
        </is>
      </c>
      <c r="F126" s="129" t="inlineStr">
        <is>
          <t>Impresora para placas radiográficas, marca Fujifilm, modelo Drypix 8000</t>
        </is>
      </c>
      <c r="G126" s="129" t="inlineStr">
        <is>
          <t>Fujifilm</t>
        </is>
      </c>
      <c r="H126" s="129" t="inlineStr">
        <is>
          <t>Drypix 8000</t>
        </is>
      </c>
      <c r="I126" s="128" t="inlineStr">
        <is>
          <t>17130510</t>
        </is>
      </c>
      <c r="J126" s="128" t="inlineStr">
        <is>
          <t>IMAGEN</t>
        </is>
      </c>
      <c r="K126" s="128" t="n"/>
      <c r="L126" s="128" t="n">
        <v>1</v>
      </c>
      <c r="M126" s="128" t="n">
        <v>2</v>
      </c>
      <c r="N126" s="128">
        <f>L126+M126</f>
        <v/>
      </c>
    </row>
    <row r="127" ht="19.95" customHeight="1" s="227">
      <c r="A127" s="130" t="n">
        <v>124</v>
      </c>
      <c r="B127" s="130" t="inlineStr">
        <is>
          <t>BM-090</t>
        </is>
      </c>
      <c r="C127" s="130" t="n">
        <v>305</v>
      </c>
      <c r="D127" s="131" t="inlineStr">
        <is>
          <t>Subcentro de Evaluación Médica, Campo Militar 1-A</t>
        </is>
      </c>
      <c r="E127" s="130" t="inlineStr">
        <is>
          <t>CDMX</t>
        </is>
      </c>
      <c r="F127" s="131" t="inlineStr">
        <is>
          <t>Impresora para placas radiográficas, marca Fujifilm, modelo Drypix 8000</t>
        </is>
      </c>
      <c r="G127" s="131" t="inlineStr">
        <is>
          <t>Fujifilm</t>
        </is>
      </c>
      <c r="H127" s="131" t="inlineStr">
        <is>
          <t>Drypix 8000</t>
        </is>
      </c>
      <c r="I127" s="130" t="inlineStr">
        <is>
          <t>17130513</t>
        </is>
      </c>
      <c r="J127" s="130" t="inlineStr">
        <is>
          <t>IMAGEN</t>
        </is>
      </c>
      <c r="K127" s="130" t="n"/>
      <c r="L127" s="130" t="n">
        <v>1</v>
      </c>
      <c r="M127" s="130" t="n">
        <v>2</v>
      </c>
      <c r="N127" s="130">
        <f>L127+M127</f>
        <v/>
      </c>
    </row>
    <row r="128" ht="19.95" customHeight="1" s="227">
      <c r="A128" s="128" t="n">
        <v>125</v>
      </c>
      <c r="B128" s="128" t="inlineStr">
        <is>
          <t>BM-091</t>
        </is>
      </c>
      <c r="C128" s="128" t="n">
        <v>306</v>
      </c>
      <c r="D128" s="129" t="inlineStr">
        <is>
          <t>Subcentro de Evaluación Médica, Campo Militar 1-A</t>
        </is>
      </c>
      <c r="E128" s="128" t="inlineStr">
        <is>
          <t>CDMX</t>
        </is>
      </c>
      <c r="F128" s="129" t="inlineStr">
        <is>
          <t>Impresora para placas radiográficas, marca Fujifilm, modelo Drypix 8000</t>
        </is>
      </c>
      <c r="G128" s="129" t="inlineStr">
        <is>
          <t>Fujifilm</t>
        </is>
      </c>
      <c r="H128" s="129" t="inlineStr">
        <is>
          <t>Drypix 8000</t>
        </is>
      </c>
      <c r="I128" s="128" t="inlineStr">
        <is>
          <t>17130554</t>
        </is>
      </c>
      <c r="J128" s="128" t="inlineStr">
        <is>
          <t>IMAGEN</t>
        </is>
      </c>
      <c r="K128" s="128" t="n"/>
      <c r="L128" s="128" t="n">
        <v>1</v>
      </c>
      <c r="M128" s="128" t="n">
        <v>2</v>
      </c>
      <c r="N128" s="128">
        <f>L128+M128</f>
        <v/>
      </c>
    </row>
    <row r="129" ht="19.95" customHeight="1" s="227">
      <c r="A129" s="130" t="n">
        <v>126</v>
      </c>
      <c r="B129" s="130" t="inlineStr">
        <is>
          <t>BM-092</t>
        </is>
      </c>
      <c r="C129" s="130" t="n">
        <v>307</v>
      </c>
      <c r="D129" s="131" t="inlineStr">
        <is>
          <t>Subcentro de Evaluación Médica, Campo Militar 1-A</t>
        </is>
      </c>
      <c r="E129" s="130" t="inlineStr">
        <is>
          <t>CDMX</t>
        </is>
      </c>
      <c r="F129" s="131" t="inlineStr">
        <is>
          <t>Cámara de Scheimpflug, marca Oculus, modelo Pentacam HR</t>
        </is>
      </c>
      <c r="G129" s="131" t="inlineStr">
        <is>
          <t>Oculus</t>
        </is>
      </c>
      <c r="H129" s="131" t="inlineStr">
        <is>
          <t>Pentacam HR</t>
        </is>
      </c>
      <c r="I129" s="130" t="inlineStr">
        <is>
          <t>70900 2455 1210</t>
        </is>
      </c>
      <c r="J129" s="130" t="inlineStr">
        <is>
          <t>OFTALMO</t>
        </is>
      </c>
      <c r="K129" s="130" t="inlineStr">
        <is>
          <t>CYAN</t>
        </is>
      </c>
      <c r="L129" s="130" t="n">
        <v>1</v>
      </c>
      <c r="M129" s="130" t="n">
        <v>2</v>
      </c>
      <c r="N129" s="130">
        <f>L129+M129</f>
        <v/>
      </c>
    </row>
    <row r="130" ht="19.95" customHeight="1" s="227">
      <c r="A130" s="132" t="n">
        <v>127</v>
      </c>
      <c r="B130" s="132" t="inlineStr">
        <is>
          <t>BM-136</t>
        </is>
      </c>
      <c r="C130" s="132" t="n">
        <v>309</v>
      </c>
      <c r="D130" s="133" t="inlineStr">
        <is>
          <t>H.M.R. La Paz</t>
        </is>
      </c>
      <c r="E130" s="132" t="inlineStr">
        <is>
          <t>BAJA CALIFORNIA</t>
        </is>
      </c>
      <c r="F130" s="133" t="inlineStr">
        <is>
          <t>Equipo de rayos X móvil, marca Technix, modelo TMS 320</t>
        </is>
      </c>
      <c r="G130" s="133" t="inlineStr">
        <is>
          <t>Technix</t>
        </is>
      </c>
      <c r="H130" s="133" t="inlineStr">
        <is>
          <t>TMS 320</t>
        </is>
      </c>
      <c r="I130" s="132" t="inlineStr">
        <is>
          <t>80-16-82-153</t>
        </is>
      </c>
      <c r="J130" s="132" t="inlineStr">
        <is>
          <t>IMAGEN</t>
        </is>
      </c>
      <c r="K130" s="132" t="n"/>
      <c r="L130" s="132" t="n">
        <v>1</v>
      </c>
      <c r="M130" s="132" t="n">
        <v>2</v>
      </c>
      <c r="N130" s="132">
        <f>L130+M130</f>
        <v/>
      </c>
    </row>
    <row r="131" ht="19.95" customHeight="1" s="227">
      <c r="A131" s="130" t="n">
        <v>128</v>
      </c>
      <c r="B131" s="130" t="inlineStr">
        <is>
          <t>BM-093</t>
        </is>
      </c>
      <c r="C131" s="130" t="n">
        <v>310</v>
      </c>
      <c r="D131" s="131" t="inlineStr">
        <is>
          <t>H.M.R. La Paz</t>
        </is>
      </c>
      <c r="E131" s="130" t="inlineStr">
        <is>
          <t>BAJA CALIFORNIA</t>
        </is>
      </c>
      <c r="F131" s="131" t="inlineStr">
        <is>
          <t>Fotocoagulador láser , marca Quantel Medical, modelo Supra Scan</t>
        </is>
      </c>
      <c r="G131" s="131" t="inlineStr">
        <is>
          <t>Quantel Medical</t>
        </is>
      </c>
      <c r="H131" s="131" t="inlineStr">
        <is>
          <t>Supra Scan</t>
        </is>
      </c>
      <c r="I131" s="130" t="inlineStr">
        <is>
          <t>454</t>
        </is>
      </c>
      <c r="J131" s="130" t="inlineStr">
        <is>
          <t>OFTALMO</t>
        </is>
      </c>
      <c r="K131" s="130" t="inlineStr">
        <is>
          <t>ARFAMEX</t>
        </is>
      </c>
      <c r="L131" s="130" t="n">
        <v>1</v>
      </c>
      <c r="M131" s="130" t="n">
        <v>2</v>
      </c>
      <c r="N131" s="130">
        <f>L131+M131</f>
        <v/>
      </c>
    </row>
    <row r="132" ht="19.95" customHeight="1" s="227">
      <c r="A132" s="132" t="n">
        <v>129</v>
      </c>
      <c r="B132" s="132" t="inlineStr">
        <is>
          <t>BM-137</t>
        </is>
      </c>
      <c r="C132" s="132" t="n">
        <v>313</v>
      </c>
      <c r="D132" s="133" t="inlineStr">
        <is>
          <t>H.M.R.E. Mazatlán</t>
        </is>
      </c>
      <c r="E132" s="132" t="inlineStr">
        <is>
          <t>SINALOA</t>
        </is>
      </c>
      <c r="F132" s="133" t="inlineStr">
        <is>
          <t>Rayos X móvil, marca Villa Sistemi Medicali, modelo Visitor T30 M-DR</t>
        </is>
      </c>
      <c r="G132" s="133" t="inlineStr">
        <is>
          <t>Villa Sistemi Medicali</t>
        </is>
      </c>
      <c r="H132" s="133" t="inlineStr">
        <is>
          <t>Visitor T30 M-DR</t>
        </is>
      </c>
      <c r="I132" s="132" t="inlineStr">
        <is>
          <t>14-11-1038</t>
        </is>
      </c>
      <c r="J132" s="132" t="inlineStr">
        <is>
          <t>IMAGEN</t>
        </is>
      </c>
      <c r="K132" s="132" t="n"/>
      <c r="L132" s="132" t="n">
        <v>1</v>
      </c>
      <c r="M132" s="132" t="n">
        <v>2</v>
      </c>
      <c r="N132" s="132">
        <f>L132+M132</f>
        <v/>
      </c>
    </row>
    <row r="133" ht="19.95" customHeight="1" s="227">
      <c r="A133" s="132" t="n">
        <v>130</v>
      </c>
      <c r="B133" s="132" t="inlineStr">
        <is>
          <t>BM-138</t>
        </is>
      </c>
      <c r="C133" s="132" t="n">
        <v>314</v>
      </c>
      <c r="D133" s="133" t="inlineStr">
        <is>
          <t>H.M.R. Puebla</t>
        </is>
      </c>
      <c r="E133" s="132" t="inlineStr">
        <is>
          <t>PUEBLA</t>
        </is>
      </c>
      <c r="F133" s="133" t="inlineStr">
        <is>
          <t>Equipo de rayos X móvil, marca Technix, modelo TMS 320</t>
        </is>
      </c>
      <c r="G133" s="133" t="inlineStr">
        <is>
          <t>Technix</t>
        </is>
      </c>
      <c r="H133" s="133" t="inlineStr">
        <is>
          <t>TMS 320</t>
        </is>
      </c>
      <c r="I133" s="132" t="inlineStr">
        <is>
          <t>80-16-101-172</t>
        </is>
      </c>
      <c r="J133" s="132" t="inlineStr">
        <is>
          <t>IMAGEN</t>
        </is>
      </c>
      <c r="K133" s="132" t="n"/>
      <c r="L133" s="132" t="n">
        <v>1</v>
      </c>
      <c r="M133" s="132" t="n">
        <v>2</v>
      </c>
      <c r="N133" s="132">
        <f>L133+M133</f>
        <v/>
      </c>
    </row>
    <row r="134" ht="19.95" customHeight="1" s="227">
      <c r="A134" s="132" t="n">
        <v>131</v>
      </c>
      <c r="B134" s="132" t="inlineStr">
        <is>
          <t>BM-139</t>
        </is>
      </c>
      <c r="C134" s="132" t="n">
        <v>316</v>
      </c>
      <c r="D134" s="133" t="inlineStr">
        <is>
          <t>H.M.R. Puebla</t>
        </is>
      </c>
      <c r="E134" s="132" t="inlineStr">
        <is>
          <t>PUEBLA</t>
        </is>
      </c>
      <c r="F134" s="133" t="inlineStr">
        <is>
          <t>Equipo de rayos X móvil, marca Mindray, modelo MobiEye 700</t>
        </is>
      </c>
      <c r="G134" s="133" t="inlineStr">
        <is>
          <t>Mindray</t>
        </is>
      </c>
      <c r="H134" s="133" t="inlineStr">
        <is>
          <t>MobiEye 700</t>
        </is>
      </c>
      <c r="I134" s="132" t="inlineStr">
        <is>
          <t>C8-05002378T</t>
        </is>
      </c>
      <c r="J134" s="132" t="inlineStr">
        <is>
          <t>IMAGEN</t>
        </is>
      </c>
      <c r="K134" s="132" t="n"/>
      <c r="L134" s="132" t="n">
        <v>1</v>
      </c>
      <c r="M134" s="132" t="n">
        <v>2</v>
      </c>
      <c r="N134" s="132">
        <f>L134+M134</f>
        <v/>
      </c>
    </row>
    <row r="135" ht="19.95" customHeight="1" s="227">
      <c r="A135" s="130" t="n">
        <v>132</v>
      </c>
      <c r="B135" s="130" t="inlineStr">
        <is>
          <t>BM-094</t>
        </is>
      </c>
      <c r="C135" s="130" t="n">
        <v>319</v>
      </c>
      <c r="D135" s="131" t="inlineStr">
        <is>
          <t>H.M.Z. Campo Militar No. 1-A</t>
        </is>
      </c>
      <c r="E135" s="130" t="inlineStr">
        <is>
          <t>CDMX</t>
        </is>
      </c>
      <c r="F135" s="131" t="inlineStr">
        <is>
          <t>Arco en C, marca Ziehm Imaging, modelo Vision R</t>
        </is>
      </c>
      <c r="G135" s="131" t="inlineStr">
        <is>
          <t>Ziehm Imaging</t>
        </is>
      </c>
      <c r="H135" s="131" t="inlineStr">
        <is>
          <t>Vision R</t>
        </is>
      </c>
      <c r="I135" s="130" t="inlineStr">
        <is>
          <t>10705</t>
        </is>
      </c>
      <c r="J135" s="130" t="inlineStr">
        <is>
          <t>IMAGEN</t>
        </is>
      </c>
      <c r="K135" s="130" t="n"/>
      <c r="L135" s="130" t="n">
        <v>1</v>
      </c>
      <c r="M135" s="130" t="n">
        <v>2</v>
      </c>
      <c r="N135" s="130">
        <f>L135+M135</f>
        <v/>
      </c>
    </row>
    <row r="136" ht="19.95" customHeight="1" s="227">
      <c r="A136" s="128" t="n">
        <v>133</v>
      </c>
      <c r="B136" s="128" t="inlineStr">
        <is>
          <t>BM-095</t>
        </is>
      </c>
      <c r="C136" s="128" t="n">
        <v>321</v>
      </c>
      <c r="D136" s="129" t="inlineStr">
        <is>
          <t>H.M.Z. Zapopan</t>
        </is>
      </c>
      <c r="E136" s="128" t="inlineStr">
        <is>
          <t>JALISCO</t>
        </is>
      </c>
      <c r="F136" s="129" t="inlineStr">
        <is>
          <t>Microscopio quirúrgico oftalmológico, marca Leica, modelo M822 F40</t>
        </is>
      </c>
      <c r="G136" s="129" t="inlineStr">
        <is>
          <t>Leica</t>
        </is>
      </c>
      <c r="H136" s="129" t="inlineStr">
        <is>
          <t>M822 F40</t>
        </is>
      </c>
      <c r="I136" s="128" t="inlineStr">
        <is>
          <t>160219002</t>
        </is>
      </c>
      <c r="J136" s="128" t="inlineStr">
        <is>
          <t>OFTALMO</t>
        </is>
      </c>
      <c r="K136" s="128" t="inlineStr">
        <is>
          <t>COINDISA</t>
        </is>
      </c>
      <c r="L136" s="128" t="n">
        <v>1</v>
      </c>
      <c r="M136" s="128" t="n">
        <v>2</v>
      </c>
      <c r="N136" s="128">
        <f>L136+M136</f>
        <v/>
      </c>
    </row>
    <row r="137" ht="19.95" customHeight="1" s="227">
      <c r="A137" s="132" t="n">
        <v>134</v>
      </c>
      <c r="B137" s="132" t="inlineStr">
        <is>
          <t>BM-140</t>
        </is>
      </c>
      <c r="C137" s="132" t="n">
        <v>335</v>
      </c>
      <c r="D137" s="133" t="inlineStr">
        <is>
          <t>H.M.E.M. Y N. Lomas de Sotelo</t>
        </is>
      </c>
      <c r="E137" s="132" t="inlineStr">
        <is>
          <t>CDMX</t>
        </is>
      </c>
      <c r="F137" s="133" t="inlineStr">
        <is>
          <t>Rayos X móvil, marca Philips, modelo MobileDiagnost wDR Release 2</t>
        </is>
      </c>
      <c r="G137" s="133" t="inlineStr">
        <is>
          <t>Philips</t>
        </is>
      </c>
      <c r="H137" s="133" t="inlineStr">
        <is>
          <t>MobileDiagnost wDR Release 2</t>
        </is>
      </c>
      <c r="I137" s="132" t="inlineStr">
        <is>
          <t>15100252</t>
        </is>
      </c>
      <c r="J137" s="132" t="inlineStr">
        <is>
          <t>IMAGEN</t>
        </is>
      </c>
      <c r="K137" s="132" t="n"/>
      <c r="L137" s="132" t="n">
        <v>1</v>
      </c>
      <c r="M137" s="132" t="n">
        <v>2</v>
      </c>
      <c r="N137" s="132">
        <f>L137+M137</f>
        <v/>
      </c>
    </row>
    <row r="138" ht="19.95" customHeight="1" s="227">
      <c r="A138" s="132" t="n">
        <v>135</v>
      </c>
      <c r="B138" s="132" t="inlineStr">
        <is>
          <t>BM-141</t>
        </is>
      </c>
      <c r="C138" s="132" t="n">
        <v>336</v>
      </c>
      <c r="D138" s="133" t="inlineStr">
        <is>
          <t>H.M.R.E. Monterrey</t>
        </is>
      </c>
      <c r="E138" s="132" t="inlineStr">
        <is>
          <t>NUEVO LEON</t>
        </is>
      </c>
      <c r="F138" s="133" t="inlineStr">
        <is>
          <t>Rayos X móvil, marca Philips, modelo MobileDiagnost wDR Release 2</t>
        </is>
      </c>
      <c r="G138" s="133" t="inlineStr">
        <is>
          <t>Philips</t>
        </is>
      </c>
      <c r="H138" s="133" t="inlineStr">
        <is>
          <t>MobileDiagnost wDR Release 2</t>
        </is>
      </c>
      <c r="I138" s="132" t="inlineStr">
        <is>
          <t>16200158</t>
        </is>
      </c>
      <c r="J138" s="132" t="inlineStr">
        <is>
          <t>IMAGEN</t>
        </is>
      </c>
      <c r="K138" s="132" t="n"/>
      <c r="L138" s="132" t="n">
        <v>1</v>
      </c>
      <c r="M138" s="132" t="n">
        <v>2</v>
      </c>
      <c r="N138" s="132">
        <f>L138+M138</f>
        <v/>
      </c>
    </row>
    <row r="139" ht="19.95" customHeight="1" s="227">
      <c r="A139" s="130" t="n">
        <v>136</v>
      </c>
      <c r="B139" s="130" t="inlineStr">
        <is>
          <t>BM-096</t>
        </is>
      </c>
      <c r="C139" s="130" t="n">
        <v>338</v>
      </c>
      <c r="D139" s="131" t="inlineStr">
        <is>
          <t>H.M.E.O. Constituyentes</t>
        </is>
      </c>
      <c r="E139" s="130" t="inlineStr">
        <is>
          <t>CDMX</t>
        </is>
      </c>
      <c r="F139" s="131" t="inlineStr">
        <is>
          <t>Láser de femtosegundo, marca Alcon, modelo LenSx</t>
        </is>
      </c>
      <c r="G139" s="131" t="inlineStr">
        <is>
          <t>Alcon</t>
        </is>
      </c>
      <c r="H139" s="131" t="inlineStr">
        <is>
          <t>LenSx</t>
        </is>
      </c>
      <c r="I139" s="130" t="inlineStr">
        <is>
          <t>2102004501X</t>
        </is>
      </c>
      <c r="J139" s="130" t="inlineStr">
        <is>
          <t>OFTALMO</t>
        </is>
      </c>
      <c r="K139" s="130" t="inlineStr">
        <is>
          <t>ALCON</t>
        </is>
      </c>
      <c r="L139" s="130" t="n">
        <v>1</v>
      </c>
      <c r="M139" s="130" t="n">
        <v>2</v>
      </c>
      <c r="N139" s="130">
        <f>L139+M139</f>
        <v/>
      </c>
    </row>
    <row r="140" ht="19.95" customHeight="1" s="227">
      <c r="A140" s="128" t="n">
        <v>137</v>
      </c>
      <c r="B140" s="128" t="inlineStr">
        <is>
          <t>BM-097</t>
        </is>
      </c>
      <c r="C140" s="128" t="n">
        <v>351</v>
      </c>
      <c r="D140" s="129" t="inlineStr">
        <is>
          <t>H.M.E.O. Constituyentes</t>
        </is>
      </c>
      <c r="E140" s="128" t="inlineStr">
        <is>
          <t>CDMX</t>
        </is>
      </c>
      <c r="F140" s="129" t="inlineStr">
        <is>
          <t>Sistema de diagnóstico oftálmico avanzado, marca Nidek, modelo OPD-Scan III</t>
        </is>
      </c>
      <c r="G140" s="129" t="inlineStr">
        <is>
          <t>Nidek</t>
        </is>
      </c>
      <c r="H140" s="129" t="inlineStr">
        <is>
          <t>OPD-Scan III</t>
        </is>
      </c>
      <c r="I140" s="128" t="inlineStr">
        <is>
          <t>470023</t>
        </is>
      </c>
      <c r="J140" s="128" t="inlineStr">
        <is>
          <t>OFTALMO</t>
        </is>
      </c>
      <c r="K140" s="128" t="inlineStr">
        <is>
          <t>S4</t>
        </is>
      </c>
      <c r="L140" s="128" t="n">
        <v>1</v>
      </c>
      <c r="M140" s="128" t="n">
        <v>2</v>
      </c>
      <c r="N140" s="128">
        <f>L140+M140</f>
        <v/>
      </c>
    </row>
    <row r="141" ht="19.95" customHeight="1" s="227">
      <c r="A141" s="132" t="n">
        <v>138</v>
      </c>
      <c r="B141" s="132" t="inlineStr">
        <is>
          <t>BM-142</t>
        </is>
      </c>
      <c r="C141" s="132" t="n">
        <v>353</v>
      </c>
      <c r="D141" s="133" t="inlineStr">
        <is>
          <t>U.M.C.E. Tlalpan</t>
        </is>
      </c>
      <c r="E141" s="132" t="inlineStr">
        <is>
          <t>CDMX</t>
        </is>
      </c>
      <c r="F141" s="133" t="inlineStr">
        <is>
          <t>Rayos X portátil, marca Carestream, modelo DRX Revolution</t>
        </is>
      </c>
      <c r="G141" s="133" t="inlineStr">
        <is>
          <t>Carestream</t>
        </is>
      </c>
      <c r="H141" s="133" t="inlineStr">
        <is>
          <t>DRX Revolution</t>
        </is>
      </c>
      <c r="I141" s="132" t="inlineStr">
        <is>
          <t>21F0363</t>
        </is>
      </c>
      <c r="J141" s="132" t="inlineStr">
        <is>
          <t>IMAGEN</t>
        </is>
      </c>
      <c r="K141" s="132" t="n"/>
      <c r="L141" s="132" t="n">
        <v>1</v>
      </c>
      <c r="M141" s="132" t="n">
        <v>2</v>
      </c>
      <c r="N141" s="132">
        <f>L141+M141</f>
        <v/>
      </c>
    </row>
    <row r="142" ht="19.95" customHeight="1" s="227">
      <c r="A142" s="128" t="n">
        <v>139</v>
      </c>
      <c r="B142" s="128" t="inlineStr">
        <is>
          <t>BM-098</t>
        </is>
      </c>
      <c r="C142" s="128" t="n">
        <v>357</v>
      </c>
      <c r="D142" s="129" t="inlineStr">
        <is>
          <t>H.M.R.E. Monterrey</t>
        </is>
      </c>
      <c r="E142" s="128" t="inlineStr">
        <is>
          <t>NUEVO LEON</t>
        </is>
      </c>
      <c r="F142" s="129" t="inlineStr">
        <is>
          <t>Topógrafo corneal, marca Zeiss, modelo Atlas 9000</t>
        </is>
      </c>
      <c r="G142" s="129" t="inlineStr">
        <is>
          <t>Zeiss</t>
        </is>
      </c>
      <c r="H142" s="129" t="inlineStr">
        <is>
          <t>Atlas 9000</t>
        </is>
      </c>
      <c r="I142" s="128" t="inlineStr">
        <is>
          <t>9000-2972</t>
        </is>
      </c>
      <c r="J142" s="128" t="inlineStr">
        <is>
          <t>OFTALMO</t>
        </is>
      </c>
      <c r="K142" s="128" t="inlineStr">
        <is>
          <t>ZEISS</t>
        </is>
      </c>
      <c r="L142" s="128" t="n">
        <v>1</v>
      </c>
      <c r="M142" s="128" t="n">
        <v>2</v>
      </c>
      <c r="N142" s="128">
        <f>L142+M142</f>
        <v/>
      </c>
    </row>
    <row r="143" ht="19.95" customHeight="1" s="227">
      <c r="A143" s="130" t="n">
        <v>140</v>
      </c>
      <c r="B143" s="130" t="inlineStr">
        <is>
          <t>BM-099</t>
        </is>
      </c>
      <c r="C143" s="130" t="n">
        <v>358</v>
      </c>
      <c r="D143" s="131" t="inlineStr">
        <is>
          <t>H.M.R.E. Guadalajara</t>
        </is>
      </c>
      <c r="E143" s="130" t="inlineStr">
        <is>
          <t>JALISCO</t>
        </is>
      </c>
      <c r="F143" s="131" t="inlineStr">
        <is>
          <t>Microscopio, marca Carl Zeiss, modelo OPMI Visu 160</t>
        </is>
      </c>
      <c r="G143" s="131" t="inlineStr">
        <is>
          <t>Carl Zeiss</t>
        </is>
      </c>
      <c r="H143" s="131" t="inlineStr">
        <is>
          <t>OPMI Visu 160</t>
        </is>
      </c>
      <c r="I143" s="130" t="inlineStr">
        <is>
          <t>6213404030</t>
        </is>
      </c>
      <c r="J143" s="130" t="inlineStr">
        <is>
          <t>OFTALMO</t>
        </is>
      </c>
      <c r="K143" s="130" t="inlineStr">
        <is>
          <t>ZEISS</t>
        </is>
      </c>
      <c r="L143" s="130" t="n">
        <v>1</v>
      </c>
      <c r="M143" s="130" t="n">
        <v>2</v>
      </c>
      <c r="N143" s="130">
        <f>L143+M143</f>
        <v/>
      </c>
    </row>
    <row r="144" ht="19.95" customHeight="1" s="227">
      <c r="A144" s="128" t="n">
        <v>141</v>
      </c>
      <c r="B144" s="128" t="inlineStr">
        <is>
          <t>BM-100</t>
        </is>
      </c>
      <c r="C144" s="128" t="n">
        <v>363</v>
      </c>
      <c r="D144" s="129" t="inlineStr">
        <is>
          <t>H.M.Z. Villahermosa</t>
        </is>
      </c>
      <c r="E144" s="128" t="inlineStr">
        <is>
          <t>TABASCO</t>
        </is>
      </c>
      <c r="F144" s="129" t="inlineStr">
        <is>
          <t>Campímetro, marca Carl Zeiss Meditec, modelo Humphrey 740I</t>
        </is>
      </c>
      <c r="G144" s="129" t="inlineStr">
        <is>
          <t>Carl Zeiss Meditec</t>
        </is>
      </c>
      <c r="H144" s="129" t="inlineStr">
        <is>
          <t>Humphrey 740I</t>
        </is>
      </c>
      <c r="I144" s="128" t="inlineStr">
        <is>
          <t>740I-14200</t>
        </is>
      </c>
      <c r="J144" s="128" t="inlineStr">
        <is>
          <t>OFTALMO</t>
        </is>
      </c>
      <c r="K144" s="128" t="inlineStr">
        <is>
          <t>ZEISS</t>
        </is>
      </c>
      <c r="L144" s="128" t="n">
        <v>1</v>
      </c>
      <c r="M144" s="128" t="n">
        <v>2</v>
      </c>
      <c r="N144" s="128">
        <f>L144+M144</f>
        <v/>
      </c>
    </row>
    <row r="145" ht="19.95" customHeight="1" s="227">
      <c r="A145" s="130" t="n">
        <v>142</v>
      </c>
      <c r="B145" s="130" t="inlineStr">
        <is>
          <t>BM-101</t>
        </is>
      </c>
      <c r="C145" s="130" t="n">
        <v>367</v>
      </c>
      <c r="D145" s="131" t="inlineStr">
        <is>
          <t>H.M.Z. Santa Gertrudis</t>
        </is>
      </c>
      <c r="E145" s="130" t="inlineStr">
        <is>
          <t>CHIHUAHUA</t>
        </is>
      </c>
      <c r="F145" s="131" t="inlineStr">
        <is>
          <t>Equipo de rayos X móvil, marca Primax, modelo Raybow dR</t>
        </is>
      </c>
      <c r="G145" s="131" t="inlineStr">
        <is>
          <t>Primax</t>
        </is>
      </c>
      <c r="H145" s="131" t="inlineStr">
        <is>
          <t>Raybow dR</t>
        </is>
      </c>
      <c r="I145" s="130" t="inlineStr">
        <is>
          <t>10076715</t>
        </is>
      </c>
      <c r="J145" s="130" t="inlineStr">
        <is>
          <t>IMAGEN</t>
        </is>
      </c>
      <c r="K145" s="130" t="n"/>
      <c r="L145" s="130" t="n">
        <v>1</v>
      </c>
      <c r="M145" s="130" t="n">
        <v>2</v>
      </c>
      <c r="N145" s="130">
        <f>L145+M145</f>
        <v/>
      </c>
    </row>
    <row r="146" ht="19.95" customHeight="1" s="227">
      <c r="A146" s="132" t="n">
        <v>143</v>
      </c>
      <c r="B146" s="132" t="inlineStr">
        <is>
          <t>BM-143</t>
        </is>
      </c>
      <c r="C146" s="132" t="n">
        <v>369</v>
      </c>
      <c r="D146" s="133" t="inlineStr">
        <is>
          <t>U.M.C.E. Reynosa</t>
        </is>
      </c>
      <c r="E146" s="132" t="inlineStr">
        <is>
          <t>TAMAULIPAS</t>
        </is>
      </c>
      <c r="F146" s="133" t="inlineStr">
        <is>
          <t>Equipo de rayos X móvil, marca Primax, modelo Raybow dR</t>
        </is>
      </c>
      <c r="G146" s="133" t="inlineStr">
        <is>
          <t>Primax</t>
        </is>
      </c>
      <c r="H146" s="133" t="inlineStr">
        <is>
          <t>Raybow dR</t>
        </is>
      </c>
      <c r="I146" s="132" t="inlineStr">
        <is>
          <t>10116715</t>
        </is>
      </c>
      <c r="J146" s="132" t="inlineStr">
        <is>
          <t>IMAGEN</t>
        </is>
      </c>
      <c r="K146" s="132" t="n"/>
      <c r="L146" s="132" t="n">
        <v>1</v>
      </c>
      <c r="M146" s="132" t="n">
        <v>2</v>
      </c>
      <c r="N146" s="132">
        <f>L146+M146</f>
        <v/>
      </c>
    </row>
    <row r="147" ht="24" customHeight="1" s="227" thickBot="1">
      <c r="A147" s="229" t="inlineStr">
        <is>
          <t>TOTAL UNIVERSO DE EQUIPOS EN INVENTARIO (143 PARTIDAS ADJUDICADAS)</t>
        </is>
      </c>
      <c r="B147" s="230" t="n"/>
      <c r="C147" s="230" t="n"/>
      <c r="D147" s="230" t="n"/>
      <c r="E147" s="230" t="n"/>
      <c r="F147" s="230" t="n"/>
      <c r="G147" s="230" t="n"/>
      <c r="H147" s="230" t="n"/>
      <c r="I147" s="230" t="n"/>
      <c r="J147" s="230" t="n"/>
      <c r="K147" s="231" t="n"/>
      <c r="L147" s="127">
        <f>SUM(L4:L146)</f>
        <v/>
      </c>
      <c r="M147" s="127">
        <f>SUM(M4:M146)</f>
        <v/>
      </c>
      <c r="N147" s="127">
        <f>SUM(N4:N146)</f>
        <v/>
      </c>
    </row>
    <row r="148" ht="15" customHeight="1" s="227" thickTop="1"/>
  </sheetData>
  <autoFilter ref="A3:N147"/>
  <mergeCells count="3">
    <mergeCell ref="A147:K147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B365D"/>
    <outlinePr summaryBelow="1" summaryRight="1"/>
    <pageSetUpPr/>
  </sheetPr>
  <dimension ref="A1:H41"/>
  <sheetViews>
    <sheetView zoomScale="111" zoomScaleNormal="100" workbookViewId="0">
      <selection activeCell="D7" sqref="D7"/>
    </sheetView>
  </sheetViews>
  <sheetFormatPr baseColWidth="10" defaultColWidth="8.88671875" defaultRowHeight="14.4"/>
  <cols>
    <col width="6" customWidth="1" style="227" min="1" max="1"/>
    <col width="34" customWidth="1" style="227" min="2" max="2"/>
    <col width="16" customWidth="1" style="227" min="3" max="3"/>
    <col width="44" customWidth="1" style="227" min="4" max="4"/>
    <col width="14" customWidth="1" style="227" min="5" max="5"/>
    <col width="32" customWidth="1" style="227" min="6" max="6"/>
    <col width="24" customWidth="1" style="227" min="7" max="7"/>
    <col width="15" customWidth="1" style="227" min="8" max="8"/>
  </cols>
  <sheetData>
    <row r="1" ht="30" customHeight="1" s="227">
      <c r="A1" s="236" t="inlineStr">
        <is>
          <t>DIRECTORIO OFICIAL - SEDENA 2026-2027</t>
        </is>
      </c>
    </row>
    <row r="2" ht="22.05" customHeight="1" s="227">
      <c r="A2" s="235" t="inlineStr">
        <is>
          <t xml:space="preserve">Directorio General de Unidades Militares | Enlaces Biomédicos </t>
        </is>
      </c>
    </row>
    <row r="3" ht="28.05" customHeight="1" s="227">
      <c r="A3" s="112" t="inlineStr">
        <is>
          <t>No.</t>
        </is>
      </c>
      <c r="B3" s="112" t="inlineStr">
        <is>
          <t>Hospital Militar / Unidad Médica</t>
        </is>
      </c>
      <c r="C3" s="112" t="inlineStr">
        <is>
          <t>Entidad Federativa</t>
        </is>
      </c>
      <c r="D3" s="112" t="inlineStr">
        <is>
          <t>Dirección Oficial Completa</t>
        </is>
      </c>
      <c r="E3" s="112" t="inlineStr">
        <is>
          <t>Código Postal</t>
        </is>
      </c>
      <c r="F3" s="112" t="inlineStr">
        <is>
          <t>Contacto Biomédico / Enlace SEDENA</t>
        </is>
      </c>
      <c r="G3" s="112" t="inlineStr">
        <is>
          <t>Teléfono / Conmutador Oficial</t>
        </is>
      </c>
      <c r="H3" s="112" t="inlineStr">
        <is>
          <t>Cantidad Equipos</t>
        </is>
      </c>
    </row>
    <row r="4" ht="22.05" customHeight="1" s="227">
      <c r="A4" s="113" t="n">
        <v>1</v>
      </c>
      <c r="B4" s="114" t="inlineStr">
        <is>
          <t>H.M.E.O. Constituyentes</t>
        </is>
      </c>
      <c r="C4" s="216" t="inlineStr">
        <is>
          <t>CDMX</t>
        </is>
      </c>
      <c r="D4" s="116" t="inlineStr">
        <is>
          <t>Av. Constituyentes 240, Ampliación Daniel Garza, Daniel Garza al Poniente, Alcaldía Miguel Hidalgo, CDMX, C.P. 11840</t>
        </is>
      </c>
      <c r="E4" s="115" t="inlineStr">
        <is>
          <t>C.P. 11840</t>
        </is>
      </c>
      <c r="F4" s="116" t="inlineStr">
        <is>
          <t>Jefatura de Ingeniería Biomédica / Subdirección Médica Odontológica</t>
        </is>
      </c>
      <c r="G4" s="115" t="inlineStr">
        <is>
          <t>(55) 2155-7110</t>
        </is>
      </c>
      <c r="H4" s="113" t="n">
        <v>68</v>
      </c>
    </row>
    <row r="5" ht="22.05" customHeight="1" s="227">
      <c r="A5" s="117" t="n">
        <v>2</v>
      </c>
      <c r="B5" s="118" t="inlineStr">
        <is>
          <t>Subcentro de Evaluación Médica, Campo Militar 1-A</t>
        </is>
      </c>
      <c r="C5" s="216" t="inlineStr">
        <is>
          <t>CDMX</t>
        </is>
      </c>
      <c r="D5" s="120" t="inlineStr">
        <is>
          <t>Entre Av. Anillo Periférico Norte y Calz. de Conscripto, Campo Militar 1-A, Alcaldía Miguel Hidalgo, CDMX, C.P. 11200</t>
        </is>
      </c>
      <c r="E5" s="119" t="inlineStr">
        <is>
          <t>C.P. 11200</t>
        </is>
      </c>
      <c r="F5" s="120" t="inlineStr">
        <is>
          <t>Jefatura del Subcentro Médico / Gabinetes Radiológicos</t>
        </is>
      </c>
      <c r="G5" s="119" t="inlineStr">
        <is>
          <t>(55) 9131-2481</t>
        </is>
      </c>
      <c r="H5" s="117" t="n">
        <v>7</v>
      </c>
    </row>
    <row r="6" ht="22.05" customHeight="1" s="227">
      <c r="A6" s="113" t="n">
        <v>3</v>
      </c>
      <c r="B6" s="114" t="inlineStr">
        <is>
          <t>H.M.Z. Ixcotel</t>
        </is>
      </c>
      <c r="C6" s="216" t="inlineStr">
        <is>
          <t>OAXACA</t>
        </is>
      </c>
      <c r="D6" s="116" t="inlineStr">
        <is>
          <t>Francisco Márquez 203, Niños Héroes, Santa Lucía del Camino, Oaxaca, C.P. 71228</t>
        </is>
      </c>
      <c r="E6" s="115" t="inlineStr">
        <is>
          <t>C.P. 71228</t>
        </is>
      </c>
      <c r="F6" s="116" t="inlineStr">
        <is>
          <t>Jefatura de Biomédica Militar / Quirófanos Oftalmológicos</t>
        </is>
      </c>
      <c r="G6" s="115" t="inlineStr">
        <is>
          <t>(951) 513-4413</t>
        </is>
      </c>
      <c r="H6" s="113" t="n">
        <v>5</v>
      </c>
    </row>
    <row r="7" ht="22.05" customHeight="1" s="227">
      <c r="A7" s="117" t="n">
        <v>4</v>
      </c>
      <c r="B7" s="118" t="inlineStr">
        <is>
          <t>H.M.R.E. Mazatlán</t>
        </is>
      </c>
      <c r="C7" s="216" t="inlineStr">
        <is>
          <t>SINALOA</t>
        </is>
      </c>
      <c r="D7" s="120" t="inlineStr">
        <is>
          <t>Proyecto S/N, Rincón de Urías, Mazatlán, Sinaloa, C.P. 82060</t>
        </is>
      </c>
      <c r="E7" s="119" t="inlineStr">
        <is>
          <t>C.P. 82060</t>
        </is>
      </c>
      <c r="F7" s="120" t="inlineStr">
        <is>
          <t>Jefatura de Ingeniería Biomédica / Quirófano General</t>
        </is>
      </c>
      <c r="G7" s="119" t="inlineStr">
        <is>
          <t>(669) 981-6033</t>
        </is>
      </c>
      <c r="H7" s="117" t="n">
        <v>5</v>
      </c>
    </row>
    <row r="8" ht="22.05" customHeight="1" s="227">
      <c r="A8" s="113" t="n">
        <v>5</v>
      </c>
      <c r="B8" s="114" t="inlineStr">
        <is>
          <t>H.C.M. Lomas de Sotelo</t>
        </is>
      </c>
      <c r="C8" s="216" t="inlineStr">
        <is>
          <t>CDMX</t>
        </is>
      </c>
      <c r="D8" s="116" t="inlineStr">
        <is>
          <t>Periférico Blvd. Manuel Ávila Camacho s/n, Lomas de Sotelo, Alcaldía Miguel Hidalgo, CDMX, C.P. 11200</t>
        </is>
      </c>
      <c r="E8" s="115" t="inlineStr">
        <is>
          <t>C.P. 11200</t>
        </is>
      </c>
      <c r="F8" s="116" t="inlineStr">
        <is>
          <t>Depto. de Ingeniería Biomédica / Jefatura de Mantenimiento</t>
        </is>
      </c>
      <c r="G8" s="115" t="inlineStr">
        <is>
          <t>(55) 5557-3100</t>
        </is>
      </c>
      <c r="H8" s="113" t="n">
        <v>4</v>
      </c>
    </row>
    <row r="9" ht="22.05" customHeight="1" s="227">
      <c r="A9" s="117" t="n">
        <v>6</v>
      </c>
      <c r="B9" s="118" t="inlineStr">
        <is>
          <t>H.M.R.E. Monterrey</t>
        </is>
      </c>
      <c r="C9" s="216" t="inlineStr">
        <is>
          <t>NUEVO LEON</t>
        </is>
      </c>
      <c r="D9" s="120" t="inlineStr">
        <is>
          <t>Av. Manuel L. Barragán No. 5000, Col. Regina, Monterrey, Nuevo León, C.P. 64290</t>
        </is>
      </c>
      <c r="E9" s="119" t="inlineStr">
        <is>
          <t>C.P. 64290</t>
        </is>
      </c>
      <c r="F9" s="120" t="inlineStr">
        <is>
          <t>Depto. de Ingeniería Biomédica / Subdirección Médica Quirúrgica</t>
        </is>
      </c>
      <c r="G9" s="119" t="inlineStr">
        <is>
          <t>(81) 8351-3304</t>
        </is>
      </c>
      <c r="H9" s="117" t="n">
        <v>4</v>
      </c>
    </row>
    <row r="10" ht="22.05" customHeight="1" s="227">
      <c r="A10" s="113" t="n">
        <v>7</v>
      </c>
      <c r="B10" s="114" t="inlineStr">
        <is>
          <t>H.M.E.M. Y N. Lomas de Sotelo</t>
        </is>
      </c>
      <c r="C10" s="216" t="inlineStr">
        <is>
          <t>CDMX</t>
        </is>
      </c>
      <c r="D10" s="116" t="inlineStr">
        <is>
          <t>Lomas de Sotelo, Hipódromo de las Américas, Alcaldía Miguel Hidalgo, CDMX, C.P. 11610</t>
        </is>
      </c>
      <c r="E10" s="115" t="inlineStr">
        <is>
          <t>C.P. 11610</t>
        </is>
      </c>
      <c r="F10" s="116" t="inlineStr">
        <is>
          <t>Jefatura de Biomédica Militar / Quirófanos Neonatales</t>
        </is>
      </c>
      <c r="G10" s="115" t="inlineStr">
        <is>
          <t>(55) 5387-0600</t>
        </is>
      </c>
      <c r="H10" s="113" t="n">
        <v>4</v>
      </c>
    </row>
    <row r="11" ht="22.05" customHeight="1" s="227">
      <c r="A11" s="117" t="n">
        <v>8</v>
      </c>
      <c r="B11" s="118" t="inlineStr">
        <is>
          <t>H.M.R. Santa Lucía</t>
        </is>
      </c>
      <c r="C11" s="216" t="inlineStr">
        <is>
          <t>EDO DE MEX</t>
        </is>
      </c>
      <c r="D11" s="120" t="inlineStr">
        <is>
          <t>Carretera Federal México-Pachuca Km. 42.5, Santa Lucía, Zumpango, Edo. Méx., C.P. 55640</t>
        </is>
      </c>
      <c r="E11" s="119" t="inlineStr">
        <is>
          <t>C.P. 55640</t>
        </is>
      </c>
      <c r="F11" s="120" t="inlineStr">
        <is>
          <t>Jefatura de Biomédica Militar / Comandancia de Base</t>
        </is>
      </c>
      <c r="G11" s="119" t="inlineStr">
        <is>
          <t>(596) 924-4615</t>
        </is>
      </c>
      <c r="H11" s="117" t="n">
        <v>3</v>
      </c>
    </row>
    <row r="12" ht="22.05" customHeight="1" s="227">
      <c r="A12" s="113" t="n">
        <v>9</v>
      </c>
      <c r="B12" s="114" t="inlineStr">
        <is>
          <t>H.M.Z. La Boticaría</t>
        </is>
      </c>
      <c r="C12" s="216" t="inlineStr">
        <is>
          <t>VERACRUZ</t>
        </is>
      </c>
      <c r="D12" s="116" t="inlineStr">
        <is>
          <t>José González Herrera, Boticaria, Boca del Río, Veracruz, C.P. 92497</t>
        </is>
      </c>
      <c r="E12" s="115" t="inlineStr">
        <is>
          <t>C.P. 92497</t>
        </is>
      </c>
      <c r="F12" s="116" t="inlineStr">
        <is>
          <t>Jefatura Médica Militar / Encargado de Biomédica</t>
        </is>
      </c>
      <c r="G12" s="115" t="inlineStr">
        <is>
          <t>(229) 927-0269</t>
        </is>
      </c>
      <c r="H12" s="113" t="n">
        <v>3</v>
      </c>
    </row>
    <row r="13" ht="22.05" customHeight="1" s="227">
      <c r="A13" s="117" t="n">
        <v>10</v>
      </c>
      <c r="B13" s="118" t="inlineStr">
        <is>
          <t>H.M.Z. Temamatla</t>
        </is>
      </c>
      <c r="C13" s="216" t="inlineStr">
        <is>
          <t>EDO DE MEX</t>
        </is>
      </c>
      <c r="D13" s="120" t="inlineStr">
        <is>
          <t>Campo Militar No. 37-B, Carretera Federal a Chalco-Juchitepec, Temamatla, Edo. Méx., C.P. 56650</t>
        </is>
      </c>
      <c r="E13" s="119" t="inlineStr">
        <is>
          <t>C.P. 56650</t>
        </is>
      </c>
      <c r="F13" s="120" t="inlineStr">
        <is>
          <t>Dirección del Hospital de Zona / Oficial del Día</t>
        </is>
      </c>
      <c r="G13" s="119" t="inlineStr">
        <is>
          <t>(55) 2592-9392</t>
        </is>
      </c>
      <c r="H13" s="117" t="n">
        <v>3</v>
      </c>
    </row>
    <row r="14" ht="22.05" customHeight="1" s="227">
      <c r="A14" s="113" t="n">
        <v>11</v>
      </c>
      <c r="B14" s="114" t="inlineStr">
        <is>
          <t>H.M.R.E. Mérida</t>
        </is>
      </c>
      <c r="C14" s="216" t="inlineStr">
        <is>
          <t>YUCATAN</t>
        </is>
      </c>
      <c r="D14" s="116" t="inlineStr">
        <is>
          <t>Calle 61A esq. Calle 90, Col. Centro, Mérida, Yucatán, C.P. 97000</t>
        </is>
      </c>
      <c r="E14" s="115" t="inlineStr">
        <is>
          <t>C.P. 97000</t>
        </is>
      </c>
      <c r="F14" s="116" t="inlineStr">
        <is>
          <t>Jefatura de Biomédica Militar / Subdirección Médica</t>
        </is>
      </c>
      <c r="G14" s="115" t="inlineStr">
        <is>
          <t>(999) 923-6465 / (999) 923-6011</t>
        </is>
      </c>
      <c r="H14" s="113" t="n">
        <v>3</v>
      </c>
    </row>
    <row r="15" ht="22.05" customHeight="1" s="227">
      <c r="A15" s="117" t="n">
        <v>12</v>
      </c>
      <c r="B15" s="118" t="inlineStr">
        <is>
          <t>H.M.Z. Cuernavaca</t>
        </is>
      </c>
      <c r="C15" s="216" t="inlineStr">
        <is>
          <t>MORELOS</t>
        </is>
      </c>
      <c r="D15" s="120" t="inlineStr">
        <is>
          <t>Av. Domingo Diez s/n, Col. El Empleado, Cuernavaca, Morelos, C.P. 62250</t>
        </is>
      </c>
      <c r="E15" s="119" t="inlineStr">
        <is>
          <t>C.P. 62250</t>
        </is>
      </c>
      <c r="F15" s="120" t="inlineStr">
        <is>
          <t>Jefatura de Sanidad / Encargado de Mantenimiento</t>
        </is>
      </c>
      <c r="G15" s="119" t="inlineStr">
        <is>
          <t>(777) 372-2532</t>
        </is>
      </c>
      <c r="H15" s="117" t="n">
        <v>2</v>
      </c>
    </row>
    <row r="16" ht="22.05" customHeight="1" s="227">
      <c r="A16" s="113" t="n">
        <v>13</v>
      </c>
      <c r="B16" s="114" t="inlineStr">
        <is>
          <t>H.M.R. La Paz</t>
        </is>
      </c>
      <c r="C16" s="216" t="inlineStr">
        <is>
          <t>BAJA CALIFORNIA SUR</t>
        </is>
      </c>
      <c r="D16" s="116" t="inlineStr">
        <is>
          <t>Av. Revolución 1910, No. 870 Norte entre Calle Manuel Torres Iglesias y Salvatierra, La Paz, B.C.S., C.P. 23080</t>
        </is>
      </c>
      <c r="E16" s="115" t="inlineStr">
        <is>
          <t>C.P. 23080</t>
        </is>
      </c>
      <c r="F16" s="116" t="inlineStr">
        <is>
          <t>Dirección del Hospital Regional / Encargado de Sanidad</t>
        </is>
      </c>
      <c r="G16" s="115" t="inlineStr">
        <is>
          <t>(612) 121-3441</t>
        </is>
      </c>
      <c r="H16" s="113" t="n">
        <v>2</v>
      </c>
    </row>
    <row r="17" ht="22.05" customHeight="1" s="227">
      <c r="A17" s="117" t="n">
        <v>14</v>
      </c>
      <c r="B17" s="118" t="inlineStr">
        <is>
          <t>H.M.Z. Zapopan</t>
        </is>
      </c>
      <c r="C17" s="216" t="inlineStr">
        <is>
          <t>JALISCO</t>
        </is>
      </c>
      <c r="D17" s="120" t="inlineStr">
        <is>
          <t>Av. Aviación No. 5851, Col. La Estrada (Base Aérea Militar No. 5), Zapopan, Jalisco, C.P. 45100</t>
        </is>
      </c>
      <c r="E17" s="119" t="inlineStr">
        <is>
          <t>C.P. 45100</t>
        </is>
      </c>
      <c r="F17" s="120" t="inlineStr">
        <is>
          <t>Jefatura de Sanidad de la Base Aérea / Hospital de Zona</t>
        </is>
      </c>
      <c r="G17" s="119" t="inlineStr">
        <is>
          <t>(33) 3832-1037</t>
        </is>
      </c>
      <c r="H17" s="117" t="n">
        <v>2</v>
      </c>
    </row>
    <row r="18" ht="22.05" customHeight="1" s="227">
      <c r="A18" s="113" t="n">
        <v>15</v>
      </c>
      <c r="B18" s="114" t="inlineStr">
        <is>
          <t>H.M.R.E. Guadalajara</t>
        </is>
      </c>
      <c r="C18" s="216" t="inlineStr">
        <is>
          <t>JALISCO</t>
        </is>
      </c>
      <c r="D18" s="116" t="inlineStr">
        <is>
          <t>Calle Medrano No. 701, Col. Analco, Guadalajara, Jalisco, C.P. 44450</t>
        </is>
      </c>
      <c r="E18" s="115" t="inlineStr">
        <is>
          <t>C.P. 44450</t>
        </is>
      </c>
      <c r="F18" s="116" t="inlineStr">
        <is>
          <t>Depto. de Ingeniería Biomédica / Subdirección Médica</t>
        </is>
      </c>
      <c r="G18" s="115" t="inlineStr">
        <is>
          <t>(33) 3617-5887</t>
        </is>
      </c>
      <c r="H18" s="113" t="n">
        <v>2</v>
      </c>
    </row>
    <row r="19" ht="22.05" customHeight="1" s="227">
      <c r="A19" s="117" t="n">
        <v>16</v>
      </c>
      <c r="B19" s="118" t="inlineStr">
        <is>
          <t>H.M.R. Acapulco</t>
        </is>
      </c>
      <c r="C19" s="216" t="inlineStr">
        <is>
          <t>GUERRERO</t>
        </is>
      </c>
      <c r="D19" s="120" t="inlineStr">
        <is>
          <t>Av. Adolfo Ruiz Cortines s/n, Col. Alta Progreso, Acapulco de Juárez, Guerrero, C.P. 39610</t>
        </is>
      </c>
      <c r="E19" s="119" t="inlineStr">
        <is>
          <t>C.P. 39610</t>
        </is>
      </c>
      <c r="F19" s="120" t="inlineStr">
        <is>
          <t>Jefatura de Biomédica Militar / Subdirección Hospitalaria</t>
        </is>
      </c>
      <c r="G19" s="119" t="inlineStr">
        <is>
          <t>(744) 445-6586</t>
        </is>
      </c>
      <c r="H19" s="117" t="n">
        <v>1</v>
      </c>
    </row>
    <row r="20" ht="22.05" customHeight="1" s="227">
      <c r="A20" s="113" t="n">
        <v>17</v>
      </c>
      <c r="B20" s="114" t="inlineStr">
        <is>
          <t>H.M.Z. Chetumal</t>
        </is>
      </c>
      <c r="C20" s="216" t="inlineStr">
        <is>
          <t>QUINTANA ROO</t>
        </is>
      </c>
      <c r="D20" s="116" t="inlineStr">
        <is>
          <t>Av. Boulevard Bahía No. 418, Zona De Granjas, Chetumal, Quintana Roo, C.P. 77079</t>
        </is>
      </c>
      <c r="E20" s="115" t="inlineStr">
        <is>
          <t>C.P. 77079</t>
        </is>
      </c>
      <c r="F20" s="116" t="inlineStr">
        <is>
          <t>Dirección del Hospital de Zona / Jefatura de Sanidad</t>
        </is>
      </c>
      <c r="G20" s="115" t="inlineStr">
        <is>
          <t>(983) 833-0427</t>
        </is>
      </c>
      <c r="H20" s="113" t="n">
        <v>1</v>
      </c>
    </row>
    <row r="21" ht="22.05" customHeight="1" s="227">
      <c r="A21" s="117" t="n">
        <v>18</v>
      </c>
      <c r="B21" s="118" t="inlineStr">
        <is>
          <t>H.M.Z. Campo Militar No. 1-A</t>
        </is>
      </c>
      <c r="C21" s="216" t="inlineStr">
        <is>
          <t>CDMX</t>
        </is>
      </c>
      <c r="D21" s="120" t="inlineStr">
        <is>
          <t>Calz. San Esteban No. 60, Campo Militar No. 1-A, Naucalpan de Juárez, Edo. Méx., C.P. 53533</t>
        </is>
      </c>
      <c r="E21" s="119" t="inlineStr">
        <is>
          <t>C.P. 53533</t>
        </is>
      </c>
      <c r="F21" s="120" t="inlineStr">
        <is>
          <t>Subdirección del Hospital de Zona / Jefatura de Imagenología</t>
        </is>
      </c>
      <c r="G21" s="119" t="inlineStr">
        <is>
          <t>(55) 5395-1451</t>
        </is>
      </c>
      <c r="H21" s="117" t="n">
        <v>1</v>
      </c>
    </row>
    <row r="22" ht="22.05" customHeight="1" s="227">
      <c r="A22" s="113" t="n">
        <v>19</v>
      </c>
      <c r="B22" s="114" t="inlineStr">
        <is>
          <t>H.M.Z. Villahermosa</t>
        </is>
      </c>
      <c r="C22" s="216" t="inlineStr">
        <is>
          <t>TABASCO</t>
        </is>
      </c>
      <c r="D22" s="116" t="inlineStr">
        <is>
          <t>Av. Paseo Usumacinta s/n, Col. Atasta de Serra, Villahermosa, Tabasco, C.P. 86100</t>
        </is>
      </c>
      <c r="E22" s="115" t="inlineStr">
        <is>
          <t>C.P. 86100</t>
        </is>
      </c>
      <c r="F22" s="116" t="inlineStr">
        <is>
          <t>Subdirección del Hospital Militar / Oficial de Guardia</t>
        </is>
      </c>
      <c r="G22" s="115" t="inlineStr">
        <is>
          <t>(993) 315-0244 / (993) 315-0255</t>
        </is>
      </c>
      <c r="H22" s="113" t="n">
        <v>1</v>
      </c>
    </row>
    <row r="23" ht="22.05" customHeight="1" s="227">
      <c r="A23" s="117" t="n">
        <v>20</v>
      </c>
      <c r="B23" s="118" t="inlineStr">
        <is>
          <t>H.M.Z. Santa Gertrudis</t>
        </is>
      </c>
      <c r="C23" s="216" t="inlineStr">
        <is>
          <t>CHIHUAHUA</t>
        </is>
      </c>
      <c r="D23" s="120" t="inlineStr">
        <is>
          <t>Campo Militar No. 42-A, Base Aérea Militar No. 11, Saucillo / Camargo, Chihuahua, C.P. 33620</t>
        </is>
      </c>
      <c r="E23" s="119" t="inlineStr">
        <is>
          <t>C.P. 33620</t>
        </is>
      </c>
      <c r="F23" s="120" t="inlineStr">
        <is>
          <t>Comandancia del Campo Militar 42-A / Jefatura de Sanidad</t>
        </is>
      </c>
      <c r="G23" s="119" t="inlineStr">
        <is>
          <t>(648) 462-0044 / (648) 462-0055</t>
        </is>
      </c>
      <c r="H23" s="117" t="n">
        <v>1</v>
      </c>
    </row>
    <row r="24" ht="22.05" customHeight="1" s="227">
      <c r="A24" s="121" t="n">
        <v>21</v>
      </c>
      <c r="B24" s="122" t="inlineStr">
        <is>
          <t>H.M.R. Tuxtla Gutiérrez</t>
        </is>
      </c>
      <c r="C24" s="216" t="inlineStr">
        <is>
          <t>CHIAPAS</t>
        </is>
      </c>
      <c r="D24" s="124" t="inlineStr">
        <is>
          <t>Campo Militar No. 31-B, Blvd. Gral. Ángel Albino Corzo s/n, Col. Bienestar Social, Tuxtla Gutiérrez, Chiapas, C.P. 29076</t>
        </is>
      </c>
      <c r="E24" s="123" t="inlineStr">
        <is>
          <t>C.P. 29076</t>
        </is>
      </c>
      <c r="F24" s="124" t="inlineStr">
        <is>
          <t>Jefatura de Ingeniería Biomédica / Subdirección Médica</t>
        </is>
      </c>
      <c r="G24" s="123" t="inlineStr">
        <is>
          <t>(961) 614-2829 / (961) 614-2930</t>
        </is>
      </c>
      <c r="H24" s="121" t="n">
        <v>3</v>
      </c>
    </row>
    <row r="25" ht="22.05" customHeight="1" s="227">
      <c r="A25" s="121" t="n">
        <v>22</v>
      </c>
      <c r="B25" s="122" t="inlineStr">
        <is>
          <t>H.M.R. Chihuahua</t>
        </is>
      </c>
      <c r="C25" s="216" t="inlineStr">
        <is>
          <t>CHIHUAHUA</t>
        </is>
      </c>
      <c r="D25" s="124" t="inlineStr">
        <is>
          <t>Calle Marcelo Caraveo No. 4200 y Jiménez, Col. Cuarteles, Chihuahua, Chihuahua, C.P. 31021</t>
        </is>
      </c>
      <c r="E25" s="123" t="inlineStr">
        <is>
          <t>C.P. 31021</t>
        </is>
      </c>
      <c r="F25" s="124" t="inlineStr">
        <is>
          <t>Jefatura de Sanidad Militar / Depto. Biomédica</t>
        </is>
      </c>
      <c r="G25" s="123" t="inlineStr">
        <is>
          <t>(614) 418-6511</t>
        </is>
      </c>
      <c r="H25" s="121" t="n">
        <v>2</v>
      </c>
    </row>
    <row r="26" ht="22.05" customHeight="1" s="227">
      <c r="A26" s="121" t="n">
        <v>23</v>
      </c>
      <c r="B26" s="122" t="inlineStr">
        <is>
          <t>H.M.R. Puebla</t>
        </is>
      </c>
      <c r="C26" s="216" t="inlineStr">
        <is>
          <t>PUEBLA</t>
        </is>
      </c>
      <c r="D26" s="124" t="inlineStr">
        <is>
          <t>Av. La Calera No. 49, Col. Héroes de Puebla, Puebla, Puebla, C.P. 72380</t>
        </is>
      </c>
      <c r="E26" s="123" t="inlineStr">
        <is>
          <t>C.P. 72380</t>
        </is>
      </c>
      <c r="F26" s="124" t="inlineStr">
        <is>
          <t>Subdirección Médica Militar / Enlace Biomédico</t>
        </is>
      </c>
      <c r="G26" s="123" t="inlineStr">
        <is>
          <t>(222) 236-2100 / (222) 236-4606</t>
        </is>
      </c>
      <c r="H26" s="121" t="n">
        <v>2</v>
      </c>
    </row>
    <row r="27" ht="22.05" customHeight="1" s="227">
      <c r="A27" s="121" t="n">
        <v>24</v>
      </c>
      <c r="B27" s="122" t="inlineStr">
        <is>
          <t>H.M.Z. Cinco de Mayo</t>
        </is>
      </c>
      <c r="C27" s="216" t="inlineStr">
        <is>
          <t>DURANGO</t>
        </is>
      </c>
      <c r="D27" s="124" t="inlineStr">
        <is>
          <t>Campo Militar No. 10-A, Col. Cinco de Mayo, Cinco de Mayo, Durango, C.P. 34490</t>
        </is>
      </c>
      <c r="E27" s="123" t="inlineStr">
        <is>
          <t>C.P. 34490</t>
        </is>
      </c>
      <c r="F27" s="124" t="inlineStr">
        <is>
          <t>Dirección del Hospital de Zona / Jefatura de Sanidad</t>
        </is>
      </c>
      <c r="G27" s="123" t="inlineStr">
        <is>
          <t>(618) 814-2215</t>
        </is>
      </c>
      <c r="H27" s="121" t="n">
        <v>1</v>
      </c>
    </row>
    <row r="28" ht="22.05" customHeight="1" s="227">
      <c r="A28" s="121" t="n">
        <v>25</v>
      </c>
      <c r="B28" s="122" t="inlineStr">
        <is>
          <t>H.M.R. Tuxpan</t>
        </is>
      </c>
      <c r="C28" s="216" t="inlineStr">
        <is>
          <t>VERACRUZ</t>
        </is>
      </c>
      <c r="D28" s="124" t="inlineStr">
        <is>
          <t>Pino Suárez No. 41, Col. Centro, Tuxpan de Rodríguez Cano, Veracruz, C.P. 92800</t>
        </is>
      </c>
      <c r="E28" s="123" t="inlineStr">
        <is>
          <t>C.P. 92800</t>
        </is>
      </c>
      <c r="F28" s="124" t="inlineStr">
        <is>
          <t>Jefatura Médica Militar / Encargado de Mantenimiento</t>
        </is>
      </c>
      <c r="G28" s="123" t="inlineStr">
        <is>
          <t>(783) 834-1903</t>
        </is>
      </c>
      <c r="H28" s="121" t="n">
        <v>1</v>
      </c>
    </row>
    <row r="29" ht="22.05" customHeight="1" s="227">
      <c r="A29" s="121" t="n">
        <v>26</v>
      </c>
      <c r="B29" s="122" t="inlineStr">
        <is>
          <t>H.M.R. San Luis Potosí</t>
        </is>
      </c>
      <c r="C29" s="216" t="inlineStr">
        <is>
          <t>SAN LUIS POTOSI</t>
        </is>
      </c>
      <c r="D29" s="124" t="inlineStr">
        <is>
          <t>Campo Militar No. 12-A, Calle Coronel Ontañón s/n esq. Morelos, Barrio de San Sebastián, San Luis Potosí, S.L.P., C.P. 78340</t>
        </is>
      </c>
      <c r="E29" s="123" t="inlineStr">
        <is>
          <t>C.P. 78340</t>
        </is>
      </c>
      <c r="F29" s="124" t="inlineStr">
        <is>
          <t>Jefatura de Biomédica Militar / Subdirección Hospitalaria</t>
        </is>
      </c>
      <c r="G29" s="123" t="inlineStr">
        <is>
          <t>(444) 812-9811</t>
        </is>
      </c>
      <c r="H29" s="121" t="n">
        <v>1</v>
      </c>
    </row>
    <row r="30" ht="22.05" customHeight="1" s="227">
      <c r="A30" s="121" t="n">
        <v>27</v>
      </c>
      <c r="B30" s="122" t="inlineStr">
        <is>
          <t>H.M.R. Tampico</t>
        </is>
      </c>
      <c r="C30" s="216" t="inlineStr">
        <is>
          <t>TAMAULIPAS</t>
        </is>
      </c>
      <c r="D30" s="124" t="inlineStr">
        <is>
          <t>Calle Venustiano Carranza No. 701 Pte., Col. Zona Centro, Tampico, Tamaulipas, C.P. 89600</t>
        </is>
      </c>
      <c r="E30" s="123" t="inlineStr">
        <is>
          <t>C.P. 89600</t>
        </is>
      </c>
      <c r="F30" s="124" t="inlineStr">
        <is>
          <t>Dirección Hospitalaria / Enlace de Sanidad Militar</t>
        </is>
      </c>
      <c r="G30" s="123" t="inlineStr">
        <is>
          <t>(836) 261-6646</t>
        </is>
      </c>
      <c r="H30" s="121" t="n">
        <v>1</v>
      </c>
    </row>
    <row r="31" ht="22.05" customHeight="1" s="227">
      <c r="A31" s="121" t="n">
        <v>28</v>
      </c>
      <c r="B31" s="122" t="inlineStr">
        <is>
          <t>H.M.Z. El Vergel, Iztapalapa</t>
        </is>
      </c>
      <c r="C31" s="216" t="inlineStr">
        <is>
          <t>CDMX</t>
        </is>
      </c>
      <c r="D31" s="124" t="inlineStr">
        <is>
          <t>Área Federal F.A.V.E. S.E.D.E.N.A., Alcaldía Iztapalapa, CDMX, C.P. 09880</t>
        </is>
      </c>
      <c r="E31" s="123" t="inlineStr">
        <is>
          <t>C.P. 09880</t>
        </is>
      </c>
      <c r="F31" s="124" t="inlineStr">
        <is>
          <t>Jefatura de Sanidad / Depto. Biomédica Campo 1-E</t>
        </is>
      </c>
      <c r="G31" s="123" t="inlineStr">
        <is>
          <t>(55) 5426-5053</t>
        </is>
      </c>
      <c r="H31" s="121" t="n">
        <v>1</v>
      </c>
    </row>
    <row r="32" ht="22.05" customHeight="1" s="227">
      <c r="A32" s="121" t="n">
        <v>29</v>
      </c>
      <c r="B32" s="122" t="inlineStr">
        <is>
          <t>H.M.R. Hermosillo</t>
        </is>
      </c>
      <c r="C32" s="216" t="inlineStr">
        <is>
          <t>SONORA</t>
        </is>
      </c>
      <c r="D32" s="124" t="inlineStr">
        <is>
          <t>Blvd. Valentín Gómez Farías s/n, Zona Militar, Hermosillo, Sonora, C.P. 83150</t>
        </is>
      </c>
      <c r="E32" s="123" t="inlineStr">
        <is>
          <t>C.P. 83150</t>
        </is>
      </c>
      <c r="F32" s="124" t="inlineStr">
        <is>
          <t>Jefatura de Ingeniería Biomédica / Subdirección Médica</t>
        </is>
      </c>
      <c r="G32" s="123" t="inlineStr">
        <is>
          <t>(662) 211-0588</t>
        </is>
      </c>
      <c r="H32" s="121" t="n">
        <v>1</v>
      </c>
    </row>
    <row r="33" ht="22.05" customHeight="1" s="227">
      <c r="A33" s="121" t="n">
        <v>30</v>
      </c>
      <c r="B33" s="122" t="inlineStr">
        <is>
          <t>H.M.Z. Mexicali</t>
        </is>
      </c>
      <c r="C33" s="216" t="inlineStr">
        <is>
          <t>BAJA CALIFORNIA</t>
        </is>
      </c>
      <c r="D33" s="124" t="inlineStr">
        <is>
          <t>Campo Militar No. 2-B, Av. Heroico Colegio Militar s/n, Col. Orizaba, Mexicali, B.C., C.P. 21180</t>
        </is>
      </c>
      <c r="E33" s="123" t="inlineStr">
        <is>
          <t>C.P. 21180</t>
        </is>
      </c>
      <c r="F33" s="124" t="inlineStr">
        <is>
          <t>Dirección Hospital Militar de Zona / Oficial de Guardia</t>
        </is>
      </c>
      <c r="G33" s="123" t="inlineStr">
        <is>
          <t>(686) 556-6264</t>
        </is>
      </c>
      <c r="H33" s="121" t="n">
        <v>1</v>
      </c>
    </row>
    <row r="34" ht="22.05" customHeight="1" s="227">
      <c r="A34" s="121" t="n">
        <v>31</v>
      </c>
      <c r="B34" s="122" t="inlineStr">
        <is>
          <t>H.M.R. El Ciprés</t>
        </is>
      </c>
      <c r="C34" s="216" t="inlineStr">
        <is>
          <t>BAJA CALIFORNIA</t>
        </is>
      </c>
      <c r="D34" s="124" t="inlineStr">
        <is>
          <t>Campo Militar No. 2-A, Carretera Transpeninsular No. 114, El Ciprés, Ensenada, B.C., C.P. 22185</t>
        </is>
      </c>
      <c r="E34" s="123" t="inlineStr">
        <is>
          <t>C.P. 22185</t>
        </is>
      </c>
      <c r="F34" s="124" t="inlineStr">
        <is>
          <t>Jefatura de Sanidad Base El Ciprés / Biomédica</t>
        </is>
      </c>
      <c r="G34" s="123" t="inlineStr">
        <is>
          <t>(646) 176-6205</t>
        </is>
      </c>
      <c r="H34" s="121" t="n">
        <v>1</v>
      </c>
    </row>
    <row r="35" ht="22.05" customHeight="1" s="227">
      <c r="A35" s="121" t="n">
        <v>32</v>
      </c>
      <c r="B35" s="122" t="inlineStr">
        <is>
          <t>H.M.R. Chilpancingo</t>
        </is>
      </c>
      <c r="C35" s="216" t="inlineStr">
        <is>
          <t>GUERRERO</t>
        </is>
      </c>
      <c r="D35" s="124" t="inlineStr">
        <is>
          <t>Calle Campo Militar 35-A, Col. Progreso, Chilpancingo de los Bravo, Guerrero, C.P. 39060</t>
        </is>
      </c>
      <c r="E35" s="123" t="inlineStr">
        <is>
          <t>C.P. 39060</t>
        </is>
      </c>
      <c r="F35" s="124" t="inlineStr">
        <is>
          <t>Subdirección del Hospital Regional / Jefatura de Sanidad</t>
        </is>
      </c>
      <c r="G35" s="123" t="inlineStr">
        <is>
          <t>(747) 472-7536</t>
        </is>
      </c>
      <c r="H35" s="121" t="n">
        <v>1</v>
      </c>
    </row>
    <row r="36" ht="22.05" customHeight="1" s="227">
      <c r="A36" s="121" t="n">
        <v>33</v>
      </c>
      <c r="B36" s="122" t="inlineStr">
        <is>
          <t>H.M.Z. Guadalupe</t>
        </is>
      </c>
      <c r="C36" s="216" t="inlineStr">
        <is>
          <t>ZACATECAS</t>
        </is>
      </c>
      <c r="D36" s="124" t="inlineStr">
        <is>
          <t>Av. SEDENA s/n, Col. Ejidal, Guadalupe, Zacatecas, C.P. 98658</t>
        </is>
      </c>
      <c r="E36" s="123" t="inlineStr">
        <is>
          <t>C.P. 98658</t>
        </is>
      </c>
      <c r="F36" s="124" t="inlineStr">
        <is>
          <t>Dirección Médica Militar / Sanidad de Zona</t>
        </is>
      </c>
      <c r="G36" s="123" t="inlineStr">
        <is>
          <t>(492) 899-0638</t>
        </is>
      </c>
      <c r="H36" s="121" t="n">
        <v>1</v>
      </c>
    </row>
    <row r="37" ht="22.05" customHeight="1" s="227">
      <c r="A37" s="121" t="n">
        <v>34</v>
      </c>
      <c r="B37" s="122" t="inlineStr">
        <is>
          <t>H.M.R., Irapuato</t>
        </is>
      </c>
      <c r="C37" s="216" t="inlineStr">
        <is>
          <t>GUANAJUATO</t>
        </is>
      </c>
      <c r="D37" s="124" t="inlineStr">
        <is>
          <t>Blvd. Paseo Solidaridad No. 5675 s/n, Irapuato, Guanajuato, C.P. 36545</t>
        </is>
      </c>
      <c r="E37" s="123" t="inlineStr">
        <is>
          <t>C.P. 36545</t>
        </is>
      </c>
      <c r="F37" s="124" t="inlineStr">
        <is>
          <t>Jefatura de Sanidad XII Región / Biomédica</t>
        </is>
      </c>
      <c r="G37" s="123" t="inlineStr">
        <is>
          <t>(462) 626-1235</t>
        </is>
      </c>
      <c r="H37" s="121" t="n">
        <v>1</v>
      </c>
    </row>
    <row r="38" ht="22.05" customHeight="1" s="227">
      <c r="A38" s="121" t="n">
        <v>35</v>
      </c>
      <c r="B38" s="122" t="inlineStr">
        <is>
          <t>H.M.Z. Santa María Rayón</t>
        </is>
      </c>
      <c r="C38" s="216" t="inlineStr">
        <is>
          <t>EDO DE MEX</t>
        </is>
      </c>
      <c r="D38" s="124" t="inlineStr">
        <is>
          <t>Carretera Toluca-Tenango Km. 19.5, Rancho Sanabria, Santa María Rayón, Tenango del Valle, Edo. Méx., C.P. 52367</t>
        </is>
      </c>
      <c r="E38" s="123" t="inlineStr">
        <is>
          <t>C.P. 52367</t>
        </is>
      </c>
      <c r="F38" s="124" t="inlineStr">
        <is>
          <t>Dirección Hospitalaria Militar / Enlace de Sanidad 22 Zona</t>
        </is>
      </c>
      <c r="G38" s="123" t="inlineStr">
        <is>
          <t>(717) 132-6022</t>
        </is>
      </c>
      <c r="H38" s="121" t="n">
        <v>1</v>
      </c>
    </row>
    <row r="39" ht="22.05" customHeight="1" s="227">
      <c r="A39" s="121" t="n">
        <v>36</v>
      </c>
      <c r="B39" s="122" t="inlineStr">
        <is>
          <t>U.M.C.E. Tlalpan</t>
        </is>
      </c>
      <c r="C39" s="216" t="inlineStr">
        <is>
          <t>CDMX</t>
        </is>
      </c>
      <c r="D39" s="124" t="inlineStr">
        <is>
          <t>Autopista México-Cuernavaca Km. 22.5, Tlalpan, CDMX, C.P. 14650</t>
        </is>
      </c>
      <c r="E39" s="123" t="inlineStr">
        <is>
          <t>C.P. 14650</t>
        </is>
      </c>
      <c r="F39" s="124" t="inlineStr">
        <is>
          <t>Jefatura de Sanidad Heroico Colegio Militar</t>
        </is>
      </c>
      <c r="G39" s="123" t="inlineStr">
        <is>
          <t>(55) 5676-5044</t>
        </is>
      </c>
      <c r="H39" s="121" t="n">
        <v>1</v>
      </c>
    </row>
    <row r="40" ht="22.05" customHeight="1" s="227">
      <c r="A40" s="121" t="n">
        <v>37</v>
      </c>
      <c r="B40" s="122" t="inlineStr">
        <is>
          <t>U.M.C.E. Reynosa</t>
        </is>
      </c>
      <c r="C40" s="216" t="inlineStr">
        <is>
          <t>TAMAULIPAS</t>
        </is>
      </c>
      <c r="D40" s="124" t="inlineStr">
        <is>
          <t>Carretera Reynosa-Matamoros Km 85-C, Col. Almaguer (Cuartel 8/a. Zona Militar), Reynosa, Tamps., C.P. 88785</t>
        </is>
      </c>
      <c r="E40" s="123" t="inlineStr">
        <is>
          <t>C.P. 88785</t>
        </is>
      </c>
      <c r="F40" s="124" t="inlineStr">
        <is>
          <t>Jefatura de Sanidad 8/a. Zona Militar</t>
        </is>
      </c>
      <c r="G40" s="123" t="inlineStr">
        <is>
          <t>(899) 926-7092</t>
        </is>
      </c>
      <c r="H40" s="121" t="n">
        <v>1</v>
      </c>
    </row>
    <row r="41" ht="24" customHeight="1" s="227" thickBot="1">
      <c r="A41" s="234" t="inlineStr">
        <is>
          <t>TOTAL UNIDADES MILITARES Y EQUIPOS ADJUDICADOS (37 UNIDADES):</t>
        </is>
      </c>
      <c r="B41" s="224" t="n"/>
      <c r="C41" s="224" t="n"/>
      <c r="D41" s="224" t="n"/>
      <c r="E41" s="224" t="n"/>
      <c r="F41" s="224" t="n"/>
      <c r="G41" s="225" t="n"/>
      <c r="H41" s="125">
        <f>SUM(H4:H40)</f>
        <v/>
      </c>
    </row>
    <row r="42" ht="13.95" customHeight="1" s="227" thickTop="1"/>
  </sheetData>
  <autoFilter ref="A3:H40"/>
  <mergeCells count="3">
    <mergeCell ref="A41:G4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365D"/>
    <outlinePr summaryBelow="1" summaryRight="1"/>
    <pageSetUpPr/>
  </sheetPr>
  <dimension ref="A1:P161"/>
  <sheetViews>
    <sheetView topLeftCell="H156" workbookViewId="0">
      <selection activeCell="F172" sqref="F172"/>
    </sheetView>
  </sheetViews>
  <sheetFormatPr baseColWidth="10" defaultColWidth="8.88671875" defaultRowHeight="14.4"/>
  <cols>
    <col width="6" customWidth="1" style="227" min="1" max="1"/>
    <col width="15" customWidth="1" style="227" min="2" max="2"/>
    <col width="11" customWidth="1" style="227" min="3" max="3"/>
    <col width="28" customWidth="1" style="227" min="4" max="4"/>
    <col width="16" customWidth="1" style="227" min="5" max="5"/>
    <col width="34" customWidth="1" style="227" min="6" max="6"/>
    <col width="18" customWidth="1" style="227" min="7" max="7"/>
    <col width="42" customWidth="1" style="227" min="8" max="8"/>
    <col width="16" customWidth="1" style="227" min="9" max="9"/>
    <col width="22" customWidth="1" style="227" min="10" max="10"/>
    <col width="18" customWidth="1" style="227" min="11" max="11"/>
    <col width="16" customWidth="1" style="227" min="12" max="12"/>
    <col width="22" customWidth="1" style="227" min="13" max="13"/>
    <col width="14" customWidth="1" style="227" min="14" max="15"/>
    <col width="15" customWidth="1" style="227" min="16" max="16"/>
  </cols>
  <sheetData>
    <row r="1" ht="30" customHeight="1" s="227">
      <c r="A1" s="237" t="inlineStr">
        <is>
          <t>RELACIÓN DE EQUIPOS ASIGNADOS POR INGENIERO - SEDENA 2026-2027</t>
        </is>
      </c>
    </row>
    <row r="2" ht="22.05" customHeight="1" s="227">
      <c r="A2" s="238" t="inlineStr">
        <is>
          <t>Medical Dimegar, S.A. de C.V. | Control Operativo de Asignación | 143 Equipos Adjudicados en 37 Unidades Militares</t>
        </is>
      </c>
    </row>
    <row r="3" ht="12" customHeight="1" s="227"/>
    <row r="4" ht="24" customHeight="1" s="227">
      <c r="A4" s="240" t="inlineStr">
        <is>
          <t>SECCIÓN 1:  ASIGNACIÓN Y CARGA DE TRABAJO POR INGENIERO (8 INGENIEROS)</t>
        </is>
      </c>
    </row>
    <row r="5" ht="28.05" customHeight="1" s="227">
      <c r="A5" s="136" t="inlineStr">
        <is>
          <t>No.</t>
        </is>
      </c>
      <c r="B5" s="136" t="inlineStr">
        <is>
          <t>Color / Código Visual</t>
        </is>
      </c>
      <c r="C5" s="136" t="inlineStr">
        <is>
          <t>Ingeniero Responsable</t>
        </is>
      </c>
      <c r="D5" s="136" t="inlineStr">
        <is>
          <t>Sedes Asignadas</t>
        </is>
      </c>
      <c r="E5" s="136" t="inlineStr">
        <is>
          <t>Cantidad de Equipos</t>
        </is>
      </c>
      <c r="F5" s="136" t="inlineStr">
        <is>
          <t>% Carga de Trabajo</t>
        </is>
      </c>
      <c r="G5" s="136" t="inlineStr">
        <is>
          <t>Servicios 2026</t>
        </is>
      </c>
      <c r="H5" s="136" t="inlineStr">
        <is>
          <t>Servicios 2027</t>
        </is>
      </c>
      <c r="I5" s="136" t="inlineStr">
        <is>
          <t>Total Servicios</t>
        </is>
      </c>
    </row>
    <row r="6" ht="22.05" customHeight="1" s="227">
      <c r="A6" s="137" t="n">
        <v>1</v>
      </c>
      <c r="B6" s="138" t="inlineStr">
        <is>
          <t>● ROSA</t>
        </is>
      </c>
      <c r="C6" s="139" t="inlineStr">
        <is>
          <t>Ing. Sophia López Ramírez</t>
        </is>
      </c>
      <c r="D6" s="137" t="n">
        <v>1</v>
      </c>
      <c r="E6" s="140" t="n">
        <v>68</v>
      </c>
      <c r="F6" s="278">
        <f>E6/$E$14</f>
        <v/>
      </c>
      <c r="G6" s="137" t="n">
        <v>73</v>
      </c>
      <c r="H6" s="137" t="n">
        <v>146</v>
      </c>
      <c r="I6" s="140">
        <f>G6+H6</f>
        <v/>
      </c>
    </row>
    <row r="7" ht="22.05" customHeight="1" s="227">
      <c r="A7" s="142" t="n">
        <v>2</v>
      </c>
      <c r="B7" s="143" t="inlineStr">
        <is>
          <t>● ROJO</t>
        </is>
      </c>
      <c r="C7" s="144" t="inlineStr">
        <is>
          <t>Ing. Axel Evangelista Salinas</t>
        </is>
      </c>
      <c r="D7" s="142" t="n">
        <v>7</v>
      </c>
      <c r="E7" s="145" t="n">
        <v>24</v>
      </c>
      <c r="F7" s="279">
        <f>E7/$E$14</f>
        <v/>
      </c>
      <c r="G7" s="142" t="n">
        <v>25</v>
      </c>
      <c r="H7" s="142" t="n">
        <v>50</v>
      </c>
      <c r="I7" s="145">
        <f>G7+H7</f>
        <v/>
      </c>
    </row>
    <row r="8" ht="22.05" customHeight="1" s="227">
      <c r="A8" s="137" t="n">
        <v>3</v>
      </c>
      <c r="B8" s="147" t="inlineStr">
        <is>
          <t>● DORADO</t>
        </is>
      </c>
      <c r="C8" s="139" t="inlineStr">
        <is>
          <t>Ing. Rogelio Ramos Centeno</t>
        </is>
      </c>
      <c r="D8" s="137" t="n">
        <v>7</v>
      </c>
      <c r="E8" s="140" t="n">
        <v>14</v>
      </c>
      <c r="F8" s="278">
        <f>E8/$E$14</f>
        <v/>
      </c>
      <c r="G8" s="137" t="n">
        <v>14</v>
      </c>
      <c r="H8" s="137" t="n">
        <v>28</v>
      </c>
      <c r="I8" s="140">
        <f>G8+H8</f>
        <v/>
      </c>
    </row>
    <row r="9" ht="22.05" customHeight="1" s="227">
      <c r="A9" s="142" t="n">
        <v>4</v>
      </c>
      <c r="B9" s="148" t="inlineStr">
        <is>
          <t>● AZUL</t>
        </is>
      </c>
      <c r="C9" s="144" t="inlineStr">
        <is>
          <t>Ing. Jose Jorge Olivares Velazquez</t>
        </is>
      </c>
      <c r="D9" s="142" t="n">
        <v>5</v>
      </c>
      <c r="E9" s="145" t="n">
        <v>10</v>
      </c>
      <c r="F9" s="279">
        <f>E9/$E$14</f>
        <v/>
      </c>
      <c r="G9" s="142" t="n">
        <v>10</v>
      </c>
      <c r="H9" s="142" t="n">
        <v>20</v>
      </c>
      <c r="I9" s="145">
        <f>G9+H9</f>
        <v/>
      </c>
    </row>
    <row r="10" ht="22.05" customHeight="1" s="227">
      <c r="A10" s="137" t="n">
        <v>5</v>
      </c>
      <c r="B10" s="149" t="inlineStr">
        <is>
          <t>● AMARILLO</t>
        </is>
      </c>
      <c r="C10" s="139" t="inlineStr">
        <is>
          <t>Ing. Ángel Rodríguez Zavala</t>
        </is>
      </c>
      <c r="D10" s="137" t="n">
        <v>8</v>
      </c>
      <c r="E10" s="140" t="n">
        <v>9</v>
      </c>
      <c r="F10" s="278">
        <f>E10/$E$14</f>
        <v/>
      </c>
      <c r="G10" s="137" t="n">
        <v>9</v>
      </c>
      <c r="H10" s="137" t="n">
        <v>18</v>
      </c>
      <c r="I10" s="140">
        <f>G10+H10</f>
        <v/>
      </c>
    </row>
    <row r="11" ht="22.05" customHeight="1" s="227">
      <c r="A11" s="142" t="n">
        <v>6</v>
      </c>
      <c r="B11" s="150" t="inlineStr">
        <is>
          <t>● VERDE</t>
        </is>
      </c>
      <c r="C11" s="144" t="inlineStr">
        <is>
          <t>Ing. Fernando Javier Michel Euan</t>
        </is>
      </c>
      <c r="D11" s="142" t="n">
        <v>4</v>
      </c>
      <c r="E11" s="145" t="n">
        <v>8</v>
      </c>
      <c r="F11" s="279">
        <f>E11/$E$14</f>
        <v/>
      </c>
      <c r="G11" s="142" t="n">
        <v>8</v>
      </c>
      <c r="H11" s="142" t="n">
        <v>16</v>
      </c>
      <c r="I11" s="145">
        <f>G11+H11</f>
        <v/>
      </c>
    </row>
    <row r="12" ht="22.05" customHeight="1" s="227">
      <c r="A12" s="137" t="n">
        <v>7</v>
      </c>
      <c r="B12" s="151" t="inlineStr">
        <is>
          <t>● MORADO</t>
        </is>
      </c>
      <c r="C12" s="139" t="inlineStr">
        <is>
          <t>Ing. Jose Romero Najera</t>
        </is>
      </c>
      <c r="D12" s="137" t="n">
        <v>1</v>
      </c>
      <c r="E12" s="140" t="n">
        <v>5</v>
      </c>
      <c r="F12" s="278">
        <f>E12/$E$14</f>
        <v/>
      </c>
      <c r="G12" s="137" t="n">
        <v>5</v>
      </c>
      <c r="H12" s="137" t="n">
        <v>10</v>
      </c>
      <c r="I12" s="140">
        <f>G12+H12</f>
        <v/>
      </c>
    </row>
    <row r="13" ht="22.05" customHeight="1" s="227">
      <c r="A13" s="142" t="n">
        <v>8</v>
      </c>
      <c r="B13" s="152" t="inlineStr">
        <is>
          <t>● VINO</t>
        </is>
      </c>
      <c r="C13" s="144" t="inlineStr">
        <is>
          <t>Ing. Nuevo</t>
        </is>
      </c>
      <c r="D13" s="142" t="n">
        <v>4</v>
      </c>
      <c r="E13" s="145" t="n">
        <v>5</v>
      </c>
      <c r="F13" s="279">
        <f>E13/$E$14</f>
        <v/>
      </c>
      <c r="G13" s="142" t="n">
        <v>5</v>
      </c>
      <c r="H13" s="142" t="n">
        <v>10</v>
      </c>
      <c r="I13" s="145">
        <f>G13+H13</f>
        <v/>
      </c>
    </row>
    <row r="14" ht="24" customHeight="1" s="227">
      <c r="A14" s="239" t="inlineStr">
        <is>
          <t>TOTAL GENERAL (8 INGENIEROS / 37 SEDES):</t>
        </is>
      </c>
      <c r="B14" s="224" t="n"/>
      <c r="C14" s="225" t="n"/>
      <c r="D14" s="153">
        <f>SUM(D6:D13)</f>
        <v/>
      </c>
      <c r="E14" s="153">
        <f>SUM(E6:E13)</f>
        <v/>
      </c>
      <c r="F14" s="153" t="inlineStr">
        <is>
          <t>100.0%</t>
        </is>
      </c>
      <c r="G14" s="153">
        <f>SUM(G6:G13)</f>
        <v/>
      </c>
      <c r="H14" s="153">
        <f>SUM(H6:H13)</f>
        <v/>
      </c>
      <c r="I14" s="153">
        <f>SUM(I6:I13)</f>
        <v/>
      </c>
    </row>
    <row r="15" ht="13.95" customHeight="1" s="227"/>
    <row r="16" ht="24" customHeight="1" s="227">
      <c r="A16" s="240" t="inlineStr">
        <is>
          <t>SECCIÓN 2: EQUIPOS ASIGNADOS POR INGENIERO (143 EQUIPOS ADJUDICADOS)</t>
        </is>
      </c>
    </row>
    <row r="17" ht="28.05" customHeight="1" s="227">
      <c r="A17" s="136" t="inlineStr">
        <is>
          <t>No.</t>
        </is>
      </c>
      <c r="B17" s="136" t="inlineStr">
        <is>
          <t>Folio Control</t>
        </is>
      </c>
      <c r="C17" s="136" t="inlineStr">
        <is>
          <t>Partida</t>
        </is>
      </c>
      <c r="D17" s="136" t="inlineStr">
        <is>
          <t>Ingeniero Responsable</t>
        </is>
      </c>
      <c r="E17" s="136" t="inlineStr">
        <is>
          <t>Color Asignado</t>
        </is>
      </c>
      <c r="F17" s="136" t="inlineStr">
        <is>
          <t>Hospital Militar / Sede Asignada</t>
        </is>
      </c>
      <c r="G17" s="136" t="inlineStr">
        <is>
          <t>Entidad Federativa</t>
        </is>
      </c>
      <c r="H17" s="136" t="inlineStr">
        <is>
          <t>Equipo Médico / Denominación Oficial</t>
        </is>
      </c>
      <c r="I17" s="136" t="inlineStr">
        <is>
          <t>Marca</t>
        </is>
      </c>
      <c r="J17" s="136" t="inlineStr">
        <is>
          <t>Modelo</t>
        </is>
      </c>
      <c r="K17" s="136" t="inlineStr">
        <is>
          <t>No. de Serie (N/S)</t>
        </is>
      </c>
      <c r="L17" s="136" t="inlineStr">
        <is>
          <t>Especialidad Médica</t>
        </is>
      </c>
      <c r="M17" s="136" t="inlineStr">
        <is>
          <t>Proveedor Soporte / Especialista</t>
        </is>
      </c>
      <c r="N17" s="136" t="inlineStr">
        <is>
          <t>Servicios 2026</t>
        </is>
      </c>
      <c r="O17" s="136" t="inlineStr">
        <is>
          <t>Servicios 2027</t>
        </is>
      </c>
      <c r="P17" s="136" t="inlineStr">
        <is>
          <t>Total Servicios</t>
        </is>
      </c>
    </row>
    <row r="18" ht="19.95" customHeight="1" s="227">
      <c r="A18" s="137" t="n">
        <v>1</v>
      </c>
      <c r="B18" s="140" t="inlineStr">
        <is>
          <t>BM-004</t>
        </is>
      </c>
      <c r="C18" s="140" t="n">
        <v>19</v>
      </c>
      <c r="D18" s="139" t="inlineStr">
        <is>
          <t>Ing. Sophia López Ramírez</t>
        </is>
      </c>
      <c r="E18" s="138" t="inlineStr">
        <is>
          <t>● ROSA</t>
        </is>
      </c>
      <c r="F18" s="154" t="inlineStr">
        <is>
          <t>H.M.E.O. Constituyentes</t>
        </is>
      </c>
      <c r="G18" s="155" t="inlineStr">
        <is>
          <t>CDMX</t>
        </is>
      </c>
      <c r="H18" s="154" t="inlineStr">
        <is>
          <t>Sistema de facoemulsificación, marca Alcon, modelo Centurion</t>
        </is>
      </c>
      <c r="I18" s="154" t="inlineStr">
        <is>
          <t>Alcon</t>
        </is>
      </c>
      <c r="J18" s="154" t="inlineStr">
        <is>
          <t>Centurion</t>
        </is>
      </c>
      <c r="K18" s="137" t="inlineStr">
        <is>
          <t>2201601801X</t>
        </is>
      </c>
      <c r="L18" s="137" t="inlineStr">
        <is>
          <t>OFTALMO</t>
        </is>
      </c>
      <c r="M18" s="154" t="inlineStr">
        <is>
          <t>ALCON</t>
        </is>
      </c>
      <c r="N18" s="137" t="n">
        <v>1</v>
      </c>
      <c r="O18" s="137" t="n">
        <v>2</v>
      </c>
      <c r="P18" s="140">
        <f>N18+O18</f>
        <v/>
      </c>
    </row>
    <row r="19" ht="19.95" customHeight="1" s="227">
      <c r="A19" s="142" t="n">
        <v>2</v>
      </c>
      <c r="B19" s="145" t="inlineStr">
        <is>
          <t>BM-005</t>
        </is>
      </c>
      <c r="C19" s="145" t="n">
        <v>20</v>
      </c>
      <c r="D19" s="144" t="inlineStr">
        <is>
          <t>Ing. Sophia López Ramírez</t>
        </is>
      </c>
      <c r="E19" s="138" t="inlineStr">
        <is>
          <t>● ROSA</t>
        </is>
      </c>
      <c r="F19" s="156" t="inlineStr">
        <is>
          <t>H.M.E.O. Constituyentes</t>
        </is>
      </c>
      <c r="G19" s="155" t="inlineStr">
        <is>
          <t>CDMX</t>
        </is>
      </c>
      <c r="H19" s="156" t="inlineStr">
        <is>
          <t>Sistema de facoemulsificación, marca Alcon, modelo Centurion</t>
        </is>
      </c>
      <c r="I19" s="156" t="inlineStr">
        <is>
          <t>Alcon</t>
        </is>
      </c>
      <c r="J19" s="156" t="inlineStr">
        <is>
          <t>Centurion</t>
        </is>
      </c>
      <c r="K19" s="142" t="inlineStr">
        <is>
          <t>2201483301X</t>
        </is>
      </c>
      <c r="L19" s="142" t="inlineStr">
        <is>
          <t>OFTALMO</t>
        </is>
      </c>
      <c r="M19" s="156" t="inlineStr">
        <is>
          <t>ALCON</t>
        </is>
      </c>
      <c r="N19" s="142" t="n">
        <v>1</v>
      </c>
      <c r="O19" s="142" t="n">
        <v>2</v>
      </c>
      <c r="P19" s="145">
        <f>N19+O19</f>
        <v/>
      </c>
    </row>
    <row r="20" ht="19.95" customHeight="1" s="227">
      <c r="A20" s="137" t="n">
        <v>3</v>
      </c>
      <c r="B20" s="140" t="inlineStr">
        <is>
          <t>BM-006</t>
        </is>
      </c>
      <c r="C20" s="140" t="n">
        <v>21</v>
      </c>
      <c r="D20" s="139" t="inlineStr">
        <is>
          <t>Ing. Sophia López Ramírez</t>
        </is>
      </c>
      <c r="E20" s="138" t="inlineStr">
        <is>
          <t>● ROSA</t>
        </is>
      </c>
      <c r="F20" s="154" t="inlineStr">
        <is>
          <t>H.M.E.O. Constituyentes</t>
        </is>
      </c>
      <c r="G20" s="155" t="inlineStr">
        <is>
          <t>CDMX</t>
        </is>
      </c>
      <c r="H20" s="154" t="inlineStr">
        <is>
          <t>Sistema de facoemulsificación, marca Alcon, modelo Centurion</t>
        </is>
      </c>
      <c r="I20" s="154" t="inlineStr">
        <is>
          <t>Alcon</t>
        </is>
      </c>
      <c r="J20" s="154" t="inlineStr">
        <is>
          <t>Centurion</t>
        </is>
      </c>
      <c r="K20" s="137" t="inlineStr">
        <is>
          <t>2201602101X</t>
        </is>
      </c>
      <c r="L20" s="137" t="inlineStr">
        <is>
          <t>OFTALMO</t>
        </is>
      </c>
      <c r="M20" s="154" t="inlineStr">
        <is>
          <t>ALCON</t>
        </is>
      </c>
      <c r="N20" s="137" t="n">
        <v>1</v>
      </c>
      <c r="O20" s="137" t="n">
        <v>2</v>
      </c>
      <c r="P20" s="140">
        <f>N20+O20</f>
        <v/>
      </c>
    </row>
    <row r="21" ht="19.95" customHeight="1" s="227">
      <c r="A21" s="142" t="n">
        <v>4</v>
      </c>
      <c r="B21" s="145" t="inlineStr">
        <is>
          <t>BM-007</t>
        </is>
      </c>
      <c r="C21" s="145" t="n">
        <v>22</v>
      </c>
      <c r="D21" s="144" t="inlineStr">
        <is>
          <t>Ing. Sophia López Ramírez</t>
        </is>
      </c>
      <c r="E21" s="138" t="inlineStr">
        <is>
          <t>● ROSA</t>
        </is>
      </c>
      <c r="F21" s="156" t="inlineStr">
        <is>
          <t>H.M.E.O. Constituyentes</t>
        </is>
      </c>
      <c r="G21" s="155" t="inlineStr">
        <is>
          <t>CDMX</t>
        </is>
      </c>
      <c r="H21" s="156" t="inlineStr">
        <is>
          <t>Sistema de facoemulsificación, marca Alcon, modelo Centurion</t>
        </is>
      </c>
      <c r="I21" s="156" t="inlineStr">
        <is>
          <t>Alcon</t>
        </is>
      </c>
      <c r="J21" s="156" t="inlineStr">
        <is>
          <t>Centurion</t>
        </is>
      </c>
      <c r="K21" s="142" t="inlineStr">
        <is>
          <t>2202291501X</t>
        </is>
      </c>
      <c r="L21" s="142" t="inlineStr">
        <is>
          <t>OFTALMO</t>
        </is>
      </c>
      <c r="M21" s="156" t="inlineStr">
        <is>
          <t>ALCON</t>
        </is>
      </c>
      <c r="N21" s="142" t="n">
        <v>1</v>
      </c>
      <c r="O21" s="142" t="n">
        <v>2</v>
      </c>
      <c r="P21" s="145">
        <f>N21+O21</f>
        <v/>
      </c>
    </row>
    <row r="22" ht="19.95" customHeight="1" s="227">
      <c r="A22" s="137" t="n">
        <v>5</v>
      </c>
      <c r="B22" s="140" t="inlineStr">
        <is>
          <t>BM-008</t>
        </is>
      </c>
      <c r="C22" s="140" t="n">
        <v>23</v>
      </c>
      <c r="D22" s="139" t="inlineStr">
        <is>
          <t>Ing. Sophia López Ramírez</t>
        </is>
      </c>
      <c r="E22" s="138" t="inlineStr">
        <is>
          <t>● ROSA</t>
        </is>
      </c>
      <c r="F22" s="154" t="inlineStr">
        <is>
          <t>H.M.E.O. Constituyentes</t>
        </is>
      </c>
      <c r="G22" s="155" t="inlineStr">
        <is>
          <t>CDMX</t>
        </is>
      </c>
      <c r="H22" s="154" t="inlineStr">
        <is>
          <t>Sistema de cirugía vitreorretiniana, marca Alcon, modelo Constellation</t>
        </is>
      </c>
      <c r="I22" s="154" t="inlineStr">
        <is>
          <t>Alcon</t>
        </is>
      </c>
      <c r="J22" s="154" t="inlineStr">
        <is>
          <t>Constellation</t>
        </is>
      </c>
      <c r="K22" s="137" t="inlineStr">
        <is>
          <t>2201508001X</t>
        </is>
      </c>
      <c r="L22" s="137" t="inlineStr">
        <is>
          <t>OFTALMO</t>
        </is>
      </c>
      <c r="M22" s="154" t="inlineStr">
        <is>
          <t>ALCON</t>
        </is>
      </c>
      <c r="N22" s="137" t="n">
        <v>1</v>
      </c>
      <c r="O22" s="137" t="n">
        <v>2</v>
      </c>
      <c r="P22" s="140">
        <f>N22+O22</f>
        <v/>
      </c>
    </row>
    <row r="23" ht="19.95" customHeight="1" s="227">
      <c r="A23" s="142" t="n">
        <v>6</v>
      </c>
      <c r="B23" s="145" t="inlineStr">
        <is>
          <t>BM-009</t>
        </is>
      </c>
      <c r="C23" s="145" t="n">
        <v>24</v>
      </c>
      <c r="D23" s="144" t="inlineStr">
        <is>
          <t>Ing. Sophia López Ramírez</t>
        </is>
      </c>
      <c r="E23" s="138" t="inlineStr">
        <is>
          <t>● ROSA</t>
        </is>
      </c>
      <c r="F23" s="156" t="inlineStr">
        <is>
          <t>H.M.E.O. Constituyentes</t>
        </is>
      </c>
      <c r="G23" s="155" t="inlineStr">
        <is>
          <t>CDMX</t>
        </is>
      </c>
      <c r="H23" s="156" t="inlineStr">
        <is>
          <t>Sistema de cirugía vitreorretiniana, marca Alcon, modelo Constellation</t>
        </is>
      </c>
      <c r="I23" s="156" t="inlineStr">
        <is>
          <t>Alcon</t>
        </is>
      </c>
      <c r="J23" s="156" t="inlineStr">
        <is>
          <t>Constellation</t>
        </is>
      </c>
      <c r="K23" s="142" t="inlineStr">
        <is>
          <t>2201508101X</t>
        </is>
      </c>
      <c r="L23" s="142" t="inlineStr">
        <is>
          <t>OFTALMO</t>
        </is>
      </c>
      <c r="M23" s="156" t="inlineStr">
        <is>
          <t>ALCON</t>
        </is>
      </c>
      <c r="N23" s="142" t="n">
        <v>1</v>
      </c>
      <c r="O23" s="142" t="n">
        <v>2</v>
      </c>
      <c r="P23" s="145">
        <f>N23+O23</f>
        <v/>
      </c>
    </row>
    <row r="24" ht="19.95" customHeight="1" s="227">
      <c r="A24" s="137" t="n">
        <v>7</v>
      </c>
      <c r="B24" s="140" t="inlineStr">
        <is>
          <t>BM-010</t>
        </is>
      </c>
      <c r="C24" s="140" t="n">
        <v>25</v>
      </c>
      <c r="D24" s="139" t="inlineStr">
        <is>
          <t>Ing. Sophia López Ramírez</t>
        </is>
      </c>
      <c r="E24" s="138" t="inlineStr">
        <is>
          <t>● ROSA</t>
        </is>
      </c>
      <c r="F24" s="154" t="inlineStr">
        <is>
          <t>H.M.E.O. Constituyentes</t>
        </is>
      </c>
      <c r="G24" s="155" t="inlineStr">
        <is>
          <t>CDMX</t>
        </is>
      </c>
      <c r="H24" s="154" t="inlineStr">
        <is>
          <t>Sistema de cirugía vitreorretiniana, marca Alcon, modelo Constellation</t>
        </is>
      </c>
      <c r="I24" s="154" t="inlineStr">
        <is>
          <t>Alcon</t>
        </is>
      </c>
      <c r="J24" s="154" t="inlineStr">
        <is>
          <t>Constellation</t>
        </is>
      </c>
      <c r="K24" s="137" t="inlineStr">
        <is>
          <t>2201541901X</t>
        </is>
      </c>
      <c r="L24" s="137" t="inlineStr">
        <is>
          <t>OFTALMO</t>
        </is>
      </c>
      <c r="M24" s="154" t="inlineStr">
        <is>
          <t>ALCON</t>
        </is>
      </c>
      <c r="N24" s="137" t="n">
        <v>1</v>
      </c>
      <c r="O24" s="137" t="n">
        <v>2</v>
      </c>
      <c r="P24" s="140">
        <f>N24+O24</f>
        <v/>
      </c>
    </row>
    <row r="25" ht="19.95" customHeight="1" s="227">
      <c r="A25" s="142" t="n">
        <v>8</v>
      </c>
      <c r="B25" s="145" t="inlineStr">
        <is>
          <t>BM-011</t>
        </is>
      </c>
      <c r="C25" s="145" t="n">
        <v>26</v>
      </c>
      <c r="D25" s="144" t="inlineStr">
        <is>
          <t>Ing. Sophia López Ramírez</t>
        </is>
      </c>
      <c r="E25" s="138" t="inlineStr">
        <is>
          <t>● ROSA</t>
        </is>
      </c>
      <c r="F25" s="156" t="inlineStr">
        <is>
          <t>H.M.E.O. Constituyentes</t>
        </is>
      </c>
      <c r="G25" s="155" t="inlineStr">
        <is>
          <t>CDMX</t>
        </is>
      </c>
      <c r="H25" s="156" t="inlineStr">
        <is>
          <t>Láser de diodo, marca A.R.C. Laser, modelo FOX 810</t>
        </is>
      </c>
      <c r="I25" s="156" t="inlineStr">
        <is>
          <t>A.R.C. Laser</t>
        </is>
      </c>
      <c r="J25" s="156" t="inlineStr">
        <is>
          <t>FOX 810</t>
        </is>
      </c>
      <c r="K25" s="142" t="inlineStr">
        <is>
          <t>615423-AAAB</t>
        </is>
      </c>
      <c r="L25" s="142" t="inlineStr">
        <is>
          <t>OFTALMO</t>
        </is>
      </c>
      <c r="M25" s="156" t="inlineStr">
        <is>
          <t>MD</t>
        </is>
      </c>
      <c r="N25" s="142" t="n">
        <v>1</v>
      </c>
      <c r="O25" s="142" t="n">
        <v>2</v>
      </c>
      <c r="P25" s="145">
        <f>N25+O25</f>
        <v/>
      </c>
    </row>
    <row r="26" ht="19.95" customHeight="1" s="227">
      <c r="A26" s="137" t="n">
        <v>9</v>
      </c>
      <c r="B26" s="140" t="inlineStr">
        <is>
          <t>BM-012</t>
        </is>
      </c>
      <c r="C26" s="140" t="n">
        <v>27</v>
      </c>
      <c r="D26" s="139" t="inlineStr">
        <is>
          <t>Ing. Sophia López Ramírez</t>
        </is>
      </c>
      <c r="E26" s="138" t="inlineStr">
        <is>
          <t>● ROSA</t>
        </is>
      </c>
      <c r="F26" s="154" t="inlineStr">
        <is>
          <t>H.M.E.O. Constituyentes</t>
        </is>
      </c>
      <c r="G26" s="155" t="inlineStr">
        <is>
          <t>CDMX</t>
        </is>
      </c>
      <c r="H26" s="154" t="inlineStr">
        <is>
          <t>Electroretinógrafo portátil, marca LKC, modelo RETeval</t>
        </is>
      </c>
      <c r="I26" s="154" t="inlineStr">
        <is>
          <t>LKC</t>
        </is>
      </c>
      <c r="J26" s="154" t="inlineStr">
        <is>
          <t>RETeval</t>
        </is>
      </c>
      <c r="K26" s="137" t="inlineStr">
        <is>
          <t>R002034</t>
        </is>
      </c>
      <c r="L26" s="137" t="inlineStr">
        <is>
          <t>OFTALMO</t>
        </is>
      </c>
      <c r="M26" s="154" t="inlineStr">
        <is>
          <t>ARFAMEX</t>
        </is>
      </c>
      <c r="N26" s="137" t="n">
        <v>1</v>
      </c>
      <c r="O26" s="137" t="n">
        <v>2</v>
      </c>
      <c r="P26" s="140">
        <f>N26+O26</f>
        <v/>
      </c>
    </row>
    <row r="27" ht="19.95" customHeight="1" s="227">
      <c r="A27" s="142" t="n">
        <v>10</v>
      </c>
      <c r="B27" s="145" t="inlineStr">
        <is>
          <t>BM-013</t>
        </is>
      </c>
      <c r="C27" s="145" t="n">
        <v>28</v>
      </c>
      <c r="D27" s="144" t="inlineStr">
        <is>
          <t>Ing. Sophia López Ramírez</t>
        </is>
      </c>
      <c r="E27" s="138" t="inlineStr">
        <is>
          <t>● ROSA</t>
        </is>
      </c>
      <c r="F27" s="156" t="inlineStr">
        <is>
          <t>H.M.E.O. Constituyentes</t>
        </is>
      </c>
      <c r="G27" s="155" t="inlineStr">
        <is>
          <t>CDMX</t>
        </is>
      </c>
      <c r="H27" s="156" t="inlineStr">
        <is>
          <t>Electroretinógrafo portátil, marca LKC, modelo RETeval</t>
        </is>
      </c>
      <c r="I27" s="156" t="inlineStr">
        <is>
          <t>LKC</t>
        </is>
      </c>
      <c r="J27" s="156" t="inlineStr">
        <is>
          <t>RETeval</t>
        </is>
      </c>
      <c r="K27" s="142" t="inlineStr">
        <is>
          <t>R002556</t>
        </is>
      </c>
      <c r="L27" s="142" t="inlineStr">
        <is>
          <t>OFTALMO</t>
        </is>
      </c>
      <c r="M27" s="156" t="inlineStr">
        <is>
          <t>ARFAMEX</t>
        </is>
      </c>
      <c r="N27" s="142" t="n">
        <v>1</v>
      </c>
      <c r="O27" s="142" t="n">
        <v>2</v>
      </c>
      <c r="P27" s="145">
        <f>N27+O27</f>
        <v/>
      </c>
    </row>
    <row r="28" ht="19.95" customHeight="1" s="227">
      <c r="A28" s="137" t="n">
        <v>11</v>
      </c>
      <c r="B28" s="140" t="inlineStr">
        <is>
          <t>BM-014</t>
        </is>
      </c>
      <c r="C28" s="140" t="n">
        <v>29</v>
      </c>
      <c r="D28" s="139" t="inlineStr">
        <is>
          <t>Ing. Sophia López Ramírez</t>
        </is>
      </c>
      <c r="E28" s="138" t="inlineStr">
        <is>
          <t>● ROSA</t>
        </is>
      </c>
      <c r="F28" s="154" t="inlineStr">
        <is>
          <t>H.M.E.O. Constituyentes</t>
        </is>
      </c>
      <c r="G28" s="155" t="inlineStr">
        <is>
          <t>CDMX</t>
        </is>
      </c>
      <c r="H28" s="154" t="inlineStr">
        <is>
          <t>Microscopio confocal, marca Heidelberg Engineering, modelo HRT3 RCM</t>
        </is>
      </c>
      <c r="I28" s="154" t="inlineStr">
        <is>
          <t>Heidelberg Engineering</t>
        </is>
      </c>
      <c r="J28" s="154" t="inlineStr">
        <is>
          <t>HRT3 RCM</t>
        </is>
      </c>
      <c r="K28" s="137" t="inlineStr">
        <is>
          <t>HRT3-08313</t>
        </is>
      </c>
      <c r="L28" s="137" t="inlineStr">
        <is>
          <t>OFTALMO</t>
        </is>
      </c>
      <c r="M28" s="154" t="inlineStr">
        <is>
          <t>ARFAMEX</t>
        </is>
      </c>
      <c r="N28" s="137" t="n">
        <v>1</v>
      </c>
      <c r="O28" s="137" t="n">
        <v>2</v>
      </c>
      <c r="P28" s="140">
        <f>N28+O28</f>
        <v/>
      </c>
    </row>
    <row r="29" ht="19.95" customHeight="1" s="227">
      <c r="A29" s="142" t="n">
        <v>12</v>
      </c>
      <c r="B29" s="145" t="inlineStr">
        <is>
          <t>BM-015</t>
        </is>
      </c>
      <c r="C29" s="145" t="n">
        <v>30</v>
      </c>
      <c r="D29" s="144" t="inlineStr">
        <is>
          <t>Ing. Sophia López Ramírez</t>
        </is>
      </c>
      <c r="E29" s="138" t="inlineStr">
        <is>
          <t>● ROSA</t>
        </is>
      </c>
      <c r="F29" s="156" t="inlineStr">
        <is>
          <t>H.M.E.O. Constituyentes</t>
        </is>
      </c>
      <c r="G29" s="155" t="inlineStr">
        <is>
          <t>CDMX</t>
        </is>
      </c>
      <c r="H29" s="156" t="inlineStr">
        <is>
          <t>Topógrafo corneal con cámara Scheimpflug, marca Oculus, modelo Pentacam</t>
        </is>
      </c>
      <c r="I29" s="156" t="inlineStr">
        <is>
          <t>Oculus</t>
        </is>
      </c>
      <c r="J29" s="156" t="inlineStr">
        <is>
          <t>Pentacam</t>
        </is>
      </c>
      <c r="K29" s="142" t="inlineStr">
        <is>
          <t>7010054522270</t>
        </is>
      </c>
      <c r="L29" s="142" t="inlineStr">
        <is>
          <t>OFTALMO</t>
        </is>
      </c>
      <c r="M29" s="156" t="inlineStr">
        <is>
          <t>CYAN</t>
        </is>
      </c>
      <c r="N29" s="142" t="n">
        <v>1</v>
      </c>
      <c r="O29" s="142" t="n">
        <v>2</v>
      </c>
      <c r="P29" s="145">
        <f>N29+O29</f>
        <v/>
      </c>
    </row>
    <row r="30" ht="19.95" customHeight="1" s="227">
      <c r="A30" s="137" t="n">
        <v>13</v>
      </c>
      <c r="B30" s="140" t="inlineStr">
        <is>
          <t>BM-016</t>
        </is>
      </c>
      <c r="C30" s="140" t="n">
        <v>32</v>
      </c>
      <c r="D30" s="139" t="inlineStr">
        <is>
          <t>Ing. Sophia López Ramírez</t>
        </is>
      </c>
      <c r="E30" s="138" t="inlineStr">
        <is>
          <t>● ROSA</t>
        </is>
      </c>
      <c r="F30" s="154" t="inlineStr">
        <is>
          <t>H.M.E.O. Constituyentes</t>
        </is>
      </c>
      <c r="G30" s="155" t="inlineStr">
        <is>
          <t>CDMX</t>
        </is>
      </c>
      <c r="H30" s="154" t="inlineStr">
        <is>
          <t>Sistema de fotocoagulación láser con estación de trabajo, marca OD-OS, modelo Navilas</t>
        </is>
      </c>
      <c r="I30" s="154" t="inlineStr">
        <is>
          <t>OD-OS</t>
        </is>
      </c>
      <c r="J30" s="154" t="inlineStr">
        <is>
          <t>Navilas</t>
        </is>
      </c>
      <c r="K30" s="137" t="inlineStr">
        <is>
          <t>158000-3215</t>
        </is>
      </c>
      <c r="L30" s="137" t="inlineStr">
        <is>
          <t>OFTALMO</t>
        </is>
      </c>
      <c r="M30" s="154" t="inlineStr">
        <is>
          <t>FARBAC</t>
        </is>
      </c>
      <c r="N30" s="137" t="n">
        <v>1</v>
      </c>
      <c r="O30" s="137" t="n">
        <v>2</v>
      </c>
      <c r="P30" s="140">
        <f>N30+O30</f>
        <v/>
      </c>
    </row>
    <row r="31" ht="19.95" customHeight="1" s="227">
      <c r="A31" s="142" t="n">
        <v>14</v>
      </c>
      <c r="B31" s="145" t="inlineStr">
        <is>
          <t>BM-017</t>
        </is>
      </c>
      <c r="C31" s="145" t="n">
        <v>33</v>
      </c>
      <c r="D31" s="144" t="inlineStr">
        <is>
          <t>Ing. Sophia López Ramírez</t>
        </is>
      </c>
      <c r="E31" s="138" t="inlineStr">
        <is>
          <t>● ROSA</t>
        </is>
      </c>
      <c r="F31" s="156" t="inlineStr">
        <is>
          <t>H.M.E.O. Constituyentes</t>
        </is>
      </c>
      <c r="G31" s="155" t="inlineStr">
        <is>
          <t>CDMX</t>
        </is>
      </c>
      <c r="H31" s="156" t="inlineStr">
        <is>
          <t>Cámara de campo ultra amplio, marca Natus, modelo RetCam Envision</t>
        </is>
      </c>
      <c r="I31" s="156" t="inlineStr">
        <is>
          <t>Natus</t>
        </is>
      </c>
      <c r="J31" s="156" t="inlineStr">
        <is>
          <t>RetCam Envision</t>
        </is>
      </c>
      <c r="K31" s="142" t="inlineStr">
        <is>
          <t>RE-0276</t>
        </is>
      </c>
      <c r="L31" s="142" t="inlineStr">
        <is>
          <t>OFTALMO</t>
        </is>
      </c>
      <c r="M31" s="156" t="inlineStr">
        <is>
          <t>ARFAMEX</t>
        </is>
      </c>
      <c r="N31" s="142" t="n">
        <v>1</v>
      </c>
      <c r="O31" s="142" t="n">
        <v>2</v>
      </c>
      <c r="P31" s="145">
        <f>N31+O31</f>
        <v/>
      </c>
    </row>
    <row r="32" ht="19.95" customHeight="1" s="227">
      <c r="A32" s="137" t="n">
        <v>15</v>
      </c>
      <c r="B32" s="140" t="inlineStr">
        <is>
          <t>BM-018</t>
        </is>
      </c>
      <c r="C32" s="140" t="n">
        <v>34</v>
      </c>
      <c r="D32" s="139" t="inlineStr">
        <is>
          <t>Ing. Sophia López Ramírez</t>
        </is>
      </c>
      <c r="E32" s="138" t="inlineStr">
        <is>
          <t>● ROSA</t>
        </is>
      </c>
      <c r="F32" s="154" t="inlineStr">
        <is>
          <t>H.M.E.O. Constituyentes</t>
        </is>
      </c>
      <c r="G32" s="155" t="inlineStr">
        <is>
          <t>CDMX</t>
        </is>
      </c>
      <c r="H32" s="154" t="inlineStr">
        <is>
          <t>Láser, marca Quantel Medical, modelo Vitra 810</t>
        </is>
      </c>
      <c r="I32" s="154" t="inlineStr">
        <is>
          <t>Quantel Medical</t>
        </is>
      </c>
      <c r="J32" s="154" t="inlineStr">
        <is>
          <t>Vitra 810</t>
        </is>
      </c>
      <c r="K32" s="137" t="inlineStr">
        <is>
          <t>574</t>
        </is>
      </c>
      <c r="L32" s="137" t="inlineStr">
        <is>
          <t>OFTALMO</t>
        </is>
      </c>
      <c r="M32" s="154" t="inlineStr">
        <is>
          <t>ARFAMEX</t>
        </is>
      </c>
      <c r="N32" s="137" t="n">
        <v>1</v>
      </c>
      <c r="O32" s="137" t="n">
        <v>2</v>
      </c>
      <c r="P32" s="140">
        <f>N32+O32</f>
        <v/>
      </c>
    </row>
    <row r="33" ht="19.95" customHeight="1" s="227">
      <c r="A33" s="142" t="n">
        <v>16</v>
      </c>
      <c r="B33" s="145" t="inlineStr">
        <is>
          <t>BM-019</t>
        </is>
      </c>
      <c r="C33" s="145" t="n">
        <v>35</v>
      </c>
      <c r="D33" s="144" t="inlineStr">
        <is>
          <t>Ing. Sophia López Ramírez</t>
        </is>
      </c>
      <c r="E33" s="138" t="inlineStr">
        <is>
          <t>● ROSA</t>
        </is>
      </c>
      <c r="F33" s="156" t="inlineStr">
        <is>
          <t>H.M.E.O. Constituyentes</t>
        </is>
      </c>
      <c r="G33" s="155" t="inlineStr">
        <is>
          <t>CDMX</t>
        </is>
      </c>
      <c r="H33" s="156" t="inlineStr">
        <is>
          <t>Láser, marca Quantel Medical, modelo Vitra 811</t>
        </is>
      </c>
      <c r="I33" s="156" t="inlineStr">
        <is>
          <t>Quantel Medical</t>
        </is>
      </c>
      <c r="J33" s="156" t="inlineStr">
        <is>
          <t>Vitra 811</t>
        </is>
      </c>
      <c r="K33" s="142" t="inlineStr">
        <is>
          <t>575</t>
        </is>
      </c>
      <c r="L33" s="142" t="inlineStr">
        <is>
          <t>OFTALMO</t>
        </is>
      </c>
      <c r="M33" s="156" t="inlineStr">
        <is>
          <t>ARFAMEX</t>
        </is>
      </c>
      <c r="N33" s="142" t="n">
        <v>1</v>
      </c>
      <c r="O33" s="142" t="n">
        <v>2</v>
      </c>
      <c r="P33" s="145">
        <f>N33+O33</f>
        <v/>
      </c>
    </row>
    <row r="34" ht="19.95" customHeight="1" s="227">
      <c r="A34" s="137" t="n">
        <v>17</v>
      </c>
      <c r="B34" s="140" t="inlineStr">
        <is>
          <t>BM-020</t>
        </is>
      </c>
      <c r="C34" s="140" t="n">
        <v>38</v>
      </c>
      <c r="D34" s="139" t="inlineStr">
        <is>
          <t>Ing. Sophia López Ramírez</t>
        </is>
      </c>
      <c r="E34" s="138" t="inlineStr">
        <is>
          <t>● ROSA</t>
        </is>
      </c>
      <c r="F34" s="154" t="inlineStr">
        <is>
          <t>H.M.E.O. Constituyentes</t>
        </is>
      </c>
      <c r="G34" s="155" t="inlineStr">
        <is>
          <t>CDMX</t>
        </is>
      </c>
      <c r="H34" s="154" t="inlineStr">
        <is>
          <t>Retinógrafo portátil de campo amplio para neonatos, marca Visunex Medical Systems, modelo PanoCam</t>
        </is>
      </c>
      <c r="I34" s="154" t="inlineStr">
        <is>
          <t>Visunex Medical Systems</t>
        </is>
      </c>
      <c r="J34" s="154" t="inlineStr">
        <is>
          <t>PanoCam</t>
        </is>
      </c>
      <c r="K34" s="137" t="inlineStr">
        <is>
          <t>A237402</t>
        </is>
      </c>
      <c r="L34" s="137" t="inlineStr">
        <is>
          <t>OFTALMO</t>
        </is>
      </c>
      <c r="M34" s="154" t="inlineStr">
        <is>
          <t>MD</t>
        </is>
      </c>
      <c r="N34" s="137" t="n">
        <v>1</v>
      </c>
      <c r="O34" s="137" t="n">
        <v>2</v>
      </c>
      <c r="P34" s="140">
        <f>N34+O34</f>
        <v/>
      </c>
    </row>
    <row r="35" ht="19.95" customHeight="1" s="227">
      <c r="A35" s="142" t="n">
        <v>18</v>
      </c>
      <c r="B35" s="145" t="inlineStr">
        <is>
          <t>BM-021</t>
        </is>
      </c>
      <c r="C35" s="145" t="n">
        <v>39</v>
      </c>
      <c r="D35" s="144" t="inlineStr">
        <is>
          <t>Ing. Sophia López Ramírez</t>
        </is>
      </c>
      <c r="E35" s="138" t="inlineStr">
        <is>
          <t>● ROSA</t>
        </is>
      </c>
      <c r="F35" s="156" t="inlineStr">
        <is>
          <t>H.M.E.O. Constituyentes</t>
        </is>
      </c>
      <c r="G35" s="155" t="inlineStr">
        <is>
          <t>CDMX</t>
        </is>
      </c>
      <c r="H35" s="156" t="inlineStr">
        <is>
          <t>Retinógrafo portátil de campo amplio para neonatos, marca Visunex Medical Systems, modelo PanoCam</t>
        </is>
      </c>
      <c r="I35" s="156" t="inlineStr">
        <is>
          <t>Visunex Medical Systems</t>
        </is>
      </c>
      <c r="J35" s="156" t="inlineStr">
        <is>
          <t>PanoCam</t>
        </is>
      </c>
      <c r="K35" s="142" t="inlineStr">
        <is>
          <t>A237403</t>
        </is>
      </c>
      <c r="L35" s="142" t="inlineStr">
        <is>
          <t>OFTALMO</t>
        </is>
      </c>
      <c r="M35" s="156" t="inlineStr">
        <is>
          <t>MD</t>
        </is>
      </c>
      <c r="N35" s="142" t="n">
        <v>1</v>
      </c>
      <c r="O35" s="142" t="n">
        <v>2</v>
      </c>
      <c r="P35" s="145">
        <f>N35+O35</f>
        <v/>
      </c>
    </row>
    <row r="36" ht="19.95" customHeight="1" s="227">
      <c r="A36" s="137" t="n">
        <v>19</v>
      </c>
      <c r="B36" s="140" t="inlineStr">
        <is>
          <t>BM-022</t>
        </is>
      </c>
      <c r="C36" s="140" t="n">
        <v>40</v>
      </c>
      <c r="D36" s="139" t="inlineStr">
        <is>
          <t>Ing. Sophia López Ramírez</t>
        </is>
      </c>
      <c r="E36" s="138" t="inlineStr">
        <is>
          <t>● ROSA</t>
        </is>
      </c>
      <c r="F36" s="154" t="inlineStr">
        <is>
          <t>H.M.E.O. Constituyentes</t>
        </is>
      </c>
      <c r="G36" s="155" t="inlineStr">
        <is>
          <t>CDMX</t>
        </is>
      </c>
      <c r="H36" s="154" t="inlineStr">
        <is>
          <t>Retinógrafo portátil de campo amplio para neonatos, marca Visunex Medical Systems, modelo PanoCam</t>
        </is>
      </c>
      <c r="I36" s="154" t="inlineStr">
        <is>
          <t>Visunex Medical Systems</t>
        </is>
      </c>
      <c r="J36" s="154" t="inlineStr">
        <is>
          <t>PanoCam</t>
        </is>
      </c>
      <c r="K36" s="137" t="inlineStr">
        <is>
          <t>A237401</t>
        </is>
      </c>
      <c r="L36" s="137" t="inlineStr">
        <is>
          <t>OFTALMO</t>
        </is>
      </c>
      <c r="M36" s="154" t="inlineStr">
        <is>
          <t>MD</t>
        </is>
      </c>
      <c r="N36" s="137" t="n">
        <v>1</v>
      </c>
      <c r="O36" s="137" t="n">
        <v>2</v>
      </c>
      <c r="P36" s="140">
        <f>N36+O36</f>
        <v/>
      </c>
    </row>
    <row r="37" ht="19.95" customHeight="1" s="227">
      <c r="A37" s="142" t="n">
        <v>20</v>
      </c>
      <c r="B37" s="145" t="inlineStr">
        <is>
          <t>BM-023</t>
        </is>
      </c>
      <c r="C37" s="145" t="n">
        <v>41</v>
      </c>
      <c r="D37" s="144" t="inlineStr">
        <is>
          <t>Ing. Sophia López Ramírez</t>
        </is>
      </c>
      <c r="E37" s="138" t="inlineStr">
        <is>
          <t>● ROSA</t>
        </is>
      </c>
      <c r="F37" s="156" t="inlineStr">
        <is>
          <t>H.M.E.O. Constituyentes</t>
        </is>
      </c>
      <c r="G37" s="155" t="inlineStr">
        <is>
          <t>CDMX</t>
        </is>
      </c>
      <c r="H37" s="156" t="inlineStr">
        <is>
          <t>Microscopio especular, marca TOMEY, modelo EM-4000</t>
        </is>
      </c>
      <c r="I37" s="156" t="inlineStr">
        <is>
          <t>TOMEY</t>
        </is>
      </c>
      <c r="J37" s="156" t="inlineStr">
        <is>
          <t>EM-4000</t>
        </is>
      </c>
      <c r="K37" s="142" t="inlineStr">
        <is>
          <t>354304</t>
        </is>
      </c>
      <c r="L37" s="142" t="inlineStr">
        <is>
          <t>OFTALMO</t>
        </is>
      </c>
      <c r="M37" s="156" t="inlineStr">
        <is>
          <t xml:space="preserve">ALDAI </t>
        </is>
      </c>
      <c r="N37" s="142" t="n">
        <v>1</v>
      </c>
      <c r="O37" s="142" t="n">
        <v>2</v>
      </c>
      <c r="P37" s="145">
        <f>N37+O37</f>
        <v/>
      </c>
    </row>
    <row r="38" ht="19.95" customHeight="1" s="227">
      <c r="A38" s="137" t="n">
        <v>21</v>
      </c>
      <c r="B38" s="140" t="inlineStr">
        <is>
          <t>BM-024</t>
        </is>
      </c>
      <c r="C38" s="140" t="n">
        <v>42</v>
      </c>
      <c r="D38" s="139" t="inlineStr">
        <is>
          <t>Ing. Sophia López Ramírez</t>
        </is>
      </c>
      <c r="E38" s="138" t="inlineStr">
        <is>
          <t>● ROSA</t>
        </is>
      </c>
      <c r="F38" s="154" t="inlineStr">
        <is>
          <t>H.M.E.O. Constituyentes</t>
        </is>
      </c>
      <c r="G38" s="155" t="inlineStr">
        <is>
          <t>CDMX</t>
        </is>
      </c>
      <c r="H38" s="154" t="inlineStr">
        <is>
          <t>Microscopio especular, marca TOMEY, modelo EM-4001</t>
        </is>
      </c>
      <c r="I38" s="154" t="inlineStr">
        <is>
          <t>TOMEY</t>
        </is>
      </c>
      <c r="J38" s="154" t="inlineStr">
        <is>
          <t>EM-4001</t>
        </is>
      </c>
      <c r="K38" s="137" t="inlineStr">
        <is>
          <t>349103</t>
        </is>
      </c>
      <c r="L38" s="137" t="inlineStr">
        <is>
          <t>OFTALMO</t>
        </is>
      </c>
      <c r="M38" s="154" t="inlineStr">
        <is>
          <t xml:space="preserve">ALDAI </t>
        </is>
      </c>
      <c r="N38" s="137" t="n">
        <v>1</v>
      </c>
      <c r="O38" s="137" t="n">
        <v>2</v>
      </c>
      <c r="P38" s="140">
        <f>N38+O38</f>
        <v/>
      </c>
    </row>
    <row r="39" ht="19.95" customHeight="1" s="227">
      <c r="A39" s="142" t="n">
        <v>22</v>
      </c>
      <c r="B39" s="145" t="inlineStr">
        <is>
          <t>BM-025</t>
        </is>
      </c>
      <c r="C39" s="145" t="n">
        <v>43</v>
      </c>
      <c r="D39" s="144" t="inlineStr">
        <is>
          <t>Ing. Sophia López Ramírez</t>
        </is>
      </c>
      <c r="E39" s="138" t="inlineStr">
        <is>
          <t>● ROSA</t>
        </is>
      </c>
      <c r="F39" s="156" t="inlineStr">
        <is>
          <t>H.M.E.O. Constituyentes</t>
        </is>
      </c>
      <c r="G39" s="155" t="inlineStr">
        <is>
          <t>CDMX</t>
        </is>
      </c>
      <c r="H39" s="156" t="inlineStr">
        <is>
          <t>Ultrasonido modo A-B, marca TOMEY, modelo UD-800</t>
        </is>
      </c>
      <c r="I39" s="156" t="inlineStr">
        <is>
          <t>TOMEY</t>
        </is>
      </c>
      <c r="J39" s="156" t="inlineStr">
        <is>
          <t>UD-800</t>
        </is>
      </c>
      <c r="K39" s="142" t="inlineStr">
        <is>
          <t>366702</t>
        </is>
      </c>
      <c r="L39" s="142" t="inlineStr">
        <is>
          <t>OFTALMO</t>
        </is>
      </c>
      <c r="M39" s="156" t="inlineStr">
        <is>
          <t xml:space="preserve">ALDAI </t>
        </is>
      </c>
      <c r="N39" s="142" t="n">
        <v>1</v>
      </c>
      <c r="O39" s="142" t="n">
        <v>2</v>
      </c>
      <c r="P39" s="145">
        <f>N39+O39</f>
        <v/>
      </c>
    </row>
    <row r="40" ht="19.95" customHeight="1" s="227">
      <c r="A40" s="137" t="n">
        <v>23</v>
      </c>
      <c r="B40" s="140" t="inlineStr">
        <is>
          <t>BM-026</t>
        </is>
      </c>
      <c r="C40" s="140" t="n">
        <v>44</v>
      </c>
      <c r="D40" s="139" t="inlineStr">
        <is>
          <t>Ing. Sophia López Ramírez</t>
        </is>
      </c>
      <c r="E40" s="138" t="inlineStr">
        <is>
          <t>● ROSA</t>
        </is>
      </c>
      <c r="F40" s="154" t="inlineStr">
        <is>
          <t>H.M.E.O. Constituyentes</t>
        </is>
      </c>
      <c r="G40" s="155" t="inlineStr">
        <is>
          <t>CDMX</t>
        </is>
      </c>
      <c r="H40" s="154" t="inlineStr">
        <is>
          <t>Ultrasonido modo A-B, marca TOMEY, modelo UD-801</t>
        </is>
      </c>
      <c r="I40" s="154" t="inlineStr">
        <is>
          <t>TOMEY</t>
        </is>
      </c>
      <c r="J40" s="154" t="inlineStr">
        <is>
          <t>UD-801</t>
        </is>
      </c>
      <c r="K40" s="137" t="inlineStr">
        <is>
          <t>372404</t>
        </is>
      </c>
      <c r="L40" s="137" t="inlineStr">
        <is>
          <t>OFTALMO</t>
        </is>
      </c>
      <c r="M40" s="154" t="inlineStr">
        <is>
          <t xml:space="preserve">ALDAI </t>
        </is>
      </c>
      <c r="N40" s="137" t="n">
        <v>1</v>
      </c>
      <c r="O40" s="137" t="n">
        <v>2</v>
      </c>
      <c r="P40" s="140">
        <f>N40+O40</f>
        <v/>
      </c>
    </row>
    <row r="41" ht="19.95" customHeight="1" s="227">
      <c r="A41" s="142" t="n">
        <v>24</v>
      </c>
      <c r="B41" s="145" t="inlineStr">
        <is>
          <t>BM-027</t>
        </is>
      </c>
      <c r="C41" s="145" t="n">
        <v>45</v>
      </c>
      <c r="D41" s="144" t="inlineStr">
        <is>
          <t>Ing. Sophia López Ramírez</t>
        </is>
      </c>
      <c r="E41" s="138" t="inlineStr">
        <is>
          <t>● ROSA</t>
        </is>
      </c>
      <c r="F41" s="156" t="inlineStr">
        <is>
          <t>H.M.E.O. Constituyentes</t>
        </is>
      </c>
      <c r="G41" s="155" t="inlineStr">
        <is>
          <t>CDMX</t>
        </is>
      </c>
      <c r="H41" s="156" t="inlineStr">
        <is>
          <t>Autorrefractómetro, marca SUOER, modelo Ocular Screening SW-800</t>
        </is>
      </c>
      <c r="I41" s="156" t="inlineStr">
        <is>
          <t>SUOER</t>
        </is>
      </c>
      <c r="J41" s="156" t="inlineStr">
        <is>
          <t>Ocular Screening SW-800</t>
        </is>
      </c>
      <c r="K41" s="142" t="inlineStr">
        <is>
          <t>BC0013GY1C</t>
        </is>
      </c>
      <c r="L41" s="142" t="inlineStr">
        <is>
          <t>OFTALMO</t>
        </is>
      </c>
      <c r="M41" s="156" t="inlineStr">
        <is>
          <t>MD</t>
        </is>
      </c>
      <c r="N41" s="142" t="n">
        <v>1</v>
      </c>
      <c r="O41" s="142" t="n">
        <v>2</v>
      </c>
      <c r="P41" s="145">
        <f>N41+O41</f>
        <v/>
      </c>
    </row>
    <row r="42" ht="19.95" customHeight="1" s="227">
      <c r="A42" s="137" t="n">
        <v>25</v>
      </c>
      <c r="B42" s="140" t="inlineStr">
        <is>
          <t>BM-028</t>
        </is>
      </c>
      <c r="C42" s="140" t="n">
        <v>46</v>
      </c>
      <c r="D42" s="139" t="inlineStr">
        <is>
          <t>Ing. Sophia López Ramírez</t>
        </is>
      </c>
      <c r="E42" s="138" t="inlineStr">
        <is>
          <t>● ROSA</t>
        </is>
      </c>
      <c r="F42" s="154" t="inlineStr">
        <is>
          <t>H.M.E.O. Constituyentes</t>
        </is>
      </c>
      <c r="G42" s="155" t="inlineStr">
        <is>
          <t>CDMX</t>
        </is>
      </c>
      <c r="H42" s="154" t="inlineStr">
        <is>
          <t>Autorrefractómetro, marca SUOER, modelo Ocular Screening SW-800</t>
        </is>
      </c>
      <c r="I42" s="154" t="inlineStr">
        <is>
          <t>SUOER</t>
        </is>
      </c>
      <c r="J42" s="154" t="inlineStr">
        <is>
          <t>Ocular Screening SW-800</t>
        </is>
      </c>
      <c r="K42" s="137" t="inlineStr">
        <is>
          <t>BC0007GY1C</t>
        </is>
      </c>
      <c r="L42" s="137" t="inlineStr">
        <is>
          <t>OFTALMO</t>
        </is>
      </c>
      <c r="M42" s="154" t="inlineStr">
        <is>
          <t>MD</t>
        </is>
      </c>
      <c r="N42" s="137" t="n">
        <v>1</v>
      </c>
      <c r="O42" s="137" t="n">
        <v>2</v>
      </c>
      <c r="P42" s="140">
        <f>N42+O42</f>
        <v/>
      </c>
    </row>
    <row r="43" ht="19.95" customHeight="1" s="227">
      <c r="A43" s="142" t="n">
        <v>26</v>
      </c>
      <c r="B43" s="145" t="inlineStr">
        <is>
          <t>BM-029</t>
        </is>
      </c>
      <c r="C43" s="145" t="n">
        <v>47</v>
      </c>
      <c r="D43" s="144" t="inlineStr">
        <is>
          <t>Ing. Sophia López Ramírez</t>
        </is>
      </c>
      <c r="E43" s="138" t="inlineStr">
        <is>
          <t>● ROSA</t>
        </is>
      </c>
      <c r="F43" s="156" t="inlineStr">
        <is>
          <t>H.M.E.O. Constituyentes</t>
        </is>
      </c>
      <c r="G43" s="155" t="inlineStr">
        <is>
          <t>CDMX</t>
        </is>
      </c>
      <c r="H43" s="156" t="inlineStr">
        <is>
          <t>Autorrefractómetro, marca SUOER, modelo Ocular Screening SW-800</t>
        </is>
      </c>
      <c r="I43" s="156" t="inlineStr">
        <is>
          <t>SUOER</t>
        </is>
      </c>
      <c r="J43" s="156" t="inlineStr">
        <is>
          <t>Ocular Screening SW-800</t>
        </is>
      </c>
      <c r="K43" s="142" t="inlineStr">
        <is>
          <t>BB0042GY1C</t>
        </is>
      </c>
      <c r="L43" s="142" t="inlineStr">
        <is>
          <t>OFTALMO</t>
        </is>
      </c>
      <c r="M43" s="156" t="inlineStr">
        <is>
          <t>MD</t>
        </is>
      </c>
      <c r="N43" s="142" t="n">
        <v>1</v>
      </c>
      <c r="O43" s="142" t="n">
        <v>2</v>
      </c>
      <c r="P43" s="145">
        <f>N43+O43</f>
        <v/>
      </c>
    </row>
    <row r="44" ht="19.95" customHeight="1" s="227">
      <c r="A44" s="137" t="n">
        <v>27</v>
      </c>
      <c r="B44" s="140" t="inlineStr">
        <is>
          <t>BM-030</t>
        </is>
      </c>
      <c r="C44" s="140" t="n">
        <v>48</v>
      </c>
      <c r="D44" s="139" t="inlineStr">
        <is>
          <t>Ing. Sophia López Ramírez</t>
        </is>
      </c>
      <c r="E44" s="138" t="inlineStr">
        <is>
          <t>● ROSA</t>
        </is>
      </c>
      <c r="F44" s="154" t="inlineStr">
        <is>
          <t>H.M.E.O. Constituyentes</t>
        </is>
      </c>
      <c r="G44" s="155" t="inlineStr">
        <is>
          <t>CDMX</t>
        </is>
      </c>
      <c r="H44" s="154" t="inlineStr">
        <is>
          <t>Autorrefractómetro, marca SUOER, modelo Ocular Screening SW-800</t>
        </is>
      </c>
      <c r="I44" s="154" t="inlineStr">
        <is>
          <t>SUOER</t>
        </is>
      </c>
      <c r="J44" s="154" t="inlineStr">
        <is>
          <t>Ocular Screening SW-800</t>
        </is>
      </c>
      <c r="K44" s="137" t="inlineStr">
        <is>
          <t>BB0043GY1C</t>
        </is>
      </c>
      <c r="L44" s="137" t="inlineStr">
        <is>
          <t>OFTALMO</t>
        </is>
      </c>
      <c r="M44" s="154" t="inlineStr">
        <is>
          <t>MD</t>
        </is>
      </c>
      <c r="N44" s="137" t="n">
        <v>1</v>
      </c>
      <c r="O44" s="137" t="n">
        <v>2</v>
      </c>
      <c r="P44" s="140">
        <f>N44+O44</f>
        <v/>
      </c>
    </row>
    <row r="45" ht="19.95" customHeight="1" s="227">
      <c r="A45" s="142" t="n">
        <v>28</v>
      </c>
      <c r="B45" s="145" t="inlineStr">
        <is>
          <t>BM-031</t>
        </is>
      </c>
      <c r="C45" s="145" t="n">
        <v>49</v>
      </c>
      <c r="D45" s="144" t="inlineStr">
        <is>
          <t>Ing. Sophia López Ramírez</t>
        </is>
      </c>
      <c r="E45" s="138" t="inlineStr">
        <is>
          <t>● ROSA</t>
        </is>
      </c>
      <c r="F45" s="156" t="inlineStr">
        <is>
          <t>H.M.E.O. Constituyentes</t>
        </is>
      </c>
      <c r="G45" s="155" t="inlineStr">
        <is>
          <t>CDMX</t>
        </is>
      </c>
      <c r="H45" s="156" t="inlineStr">
        <is>
          <t>Autoqueratorrefractor, marca Nidek, modelo ARK-F</t>
        </is>
      </c>
      <c r="I45" s="156" t="inlineStr">
        <is>
          <t>Nidek</t>
        </is>
      </c>
      <c r="J45" s="156" t="inlineStr">
        <is>
          <t>ARK-F</t>
        </is>
      </c>
      <c r="K45" s="142" t="inlineStr">
        <is>
          <t>270021</t>
        </is>
      </c>
      <c r="L45" s="142" t="inlineStr">
        <is>
          <t>OFTALMO</t>
        </is>
      </c>
      <c r="M45" s="156" t="inlineStr">
        <is>
          <t>S4</t>
        </is>
      </c>
      <c r="N45" s="142" t="n">
        <v>1</v>
      </c>
      <c r="O45" s="142" t="n">
        <v>2</v>
      </c>
      <c r="P45" s="145">
        <f>N45+O45</f>
        <v/>
      </c>
    </row>
    <row r="46" ht="19.95" customHeight="1" s="227">
      <c r="A46" s="137" t="n">
        <v>29</v>
      </c>
      <c r="B46" s="140" t="inlineStr">
        <is>
          <t>BM-032</t>
        </is>
      </c>
      <c r="C46" s="140" t="n">
        <v>50</v>
      </c>
      <c r="D46" s="139" t="inlineStr">
        <is>
          <t>Ing. Sophia López Ramírez</t>
        </is>
      </c>
      <c r="E46" s="138" t="inlineStr">
        <is>
          <t>● ROSA</t>
        </is>
      </c>
      <c r="F46" s="154" t="inlineStr">
        <is>
          <t>H.M.E.O. Constituyentes</t>
        </is>
      </c>
      <c r="G46" s="155" t="inlineStr">
        <is>
          <t>CDMX</t>
        </is>
      </c>
      <c r="H46" s="154" t="inlineStr">
        <is>
          <t>Autoqueratorrefractor, marca Nidek, modelo ARK-F</t>
        </is>
      </c>
      <c r="I46" s="154" t="inlineStr">
        <is>
          <t>Nidek</t>
        </is>
      </c>
      <c r="J46" s="154" t="inlineStr">
        <is>
          <t>ARK-F</t>
        </is>
      </c>
      <c r="K46" s="137" t="inlineStr">
        <is>
          <t>270029</t>
        </is>
      </c>
      <c r="L46" s="137" t="inlineStr">
        <is>
          <t>OFTALMO</t>
        </is>
      </c>
      <c r="M46" s="154" t="inlineStr">
        <is>
          <t>S4</t>
        </is>
      </c>
      <c r="N46" s="137" t="n">
        <v>1</v>
      </c>
      <c r="O46" s="137" t="n">
        <v>2</v>
      </c>
      <c r="P46" s="140">
        <f>N46+O46</f>
        <v/>
      </c>
    </row>
    <row r="47" ht="19.95" customHeight="1" s="227">
      <c r="A47" s="142" t="n">
        <v>30</v>
      </c>
      <c r="B47" s="145" t="inlineStr">
        <is>
          <t>BM-033</t>
        </is>
      </c>
      <c r="C47" s="145" t="n">
        <v>51</v>
      </c>
      <c r="D47" s="144" t="inlineStr">
        <is>
          <t>Ing. Sophia López Ramírez</t>
        </is>
      </c>
      <c r="E47" s="138" t="inlineStr">
        <is>
          <t>● ROSA</t>
        </is>
      </c>
      <c r="F47" s="156" t="inlineStr">
        <is>
          <t>H.M.E.O. Constituyentes</t>
        </is>
      </c>
      <c r="G47" s="155" t="inlineStr">
        <is>
          <t>CDMX</t>
        </is>
      </c>
      <c r="H47" s="156" t="inlineStr">
        <is>
          <t>Autoqueratorrefractor, marca Nidek, modelo ARK-F</t>
        </is>
      </c>
      <c r="I47" s="156" t="inlineStr">
        <is>
          <t>Nidek</t>
        </is>
      </c>
      <c r="J47" s="156" t="inlineStr">
        <is>
          <t>ARK-F</t>
        </is>
      </c>
      <c r="K47" s="142" t="inlineStr">
        <is>
          <t>270031</t>
        </is>
      </c>
      <c r="L47" s="142" t="inlineStr">
        <is>
          <t>OFTALMO</t>
        </is>
      </c>
      <c r="M47" s="156" t="inlineStr">
        <is>
          <t>S4</t>
        </is>
      </c>
      <c r="N47" s="142" t="n">
        <v>1</v>
      </c>
      <c r="O47" s="142" t="n">
        <v>2</v>
      </c>
      <c r="P47" s="145">
        <f>N47+O47</f>
        <v/>
      </c>
    </row>
    <row r="48" ht="19.95" customHeight="1" s="227">
      <c r="A48" s="137" t="n">
        <v>31</v>
      </c>
      <c r="B48" s="140" t="inlineStr">
        <is>
          <t>BM-034</t>
        </is>
      </c>
      <c r="C48" s="140" t="n">
        <v>52</v>
      </c>
      <c r="D48" s="139" t="inlineStr">
        <is>
          <t>Ing. Sophia López Ramírez</t>
        </is>
      </c>
      <c r="E48" s="138" t="inlineStr">
        <is>
          <t>● ROSA</t>
        </is>
      </c>
      <c r="F48" s="154" t="inlineStr">
        <is>
          <t>H.M.E.O. Constituyentes</t>
        </is>
      </c>
      <c r="G48" s="155" t="inlineStr">
        <is>
          <t>CDMX</t>
        </is>
      </c>
      <c r="H48" s="154" t="inlineStr">
        <is>
          <t>Autoqueratorrefractor, marca Nidek, modelo ARK-F</t>
        </is>
      </c>
      <c r="I48" s="154" t="inlineStr">
        <is>
          <t>Nidek</t>
        </is>
      </c>
      <c r="J48" s="154" t="inlineStr">
        <is>
          <t>ARK-F</t>
        </is>
      </c>
      <c r="K48" s="137" t="inlineStr">
        <is>
          <t>270032</t>
        </is>
      </c>
      <c r="L48" s="137" t="inlineStr">
        <is>
          <t>OFTALMO</t>
        </is>
      </c>
      <c r="M48" s="154" t="inlineStr">
        <is>
          <t>S4</t>
        </is>
      </c>
      <c r="N48" s="137" t="n">
        <v>1</v>
      </c>
      <c r="O48" s="137" t="n">
        <v>2</v>
      </c>
      <c r="P48" s="140">
        <f>N48+O48</f>
        <v/>
      </c>
    </row>
    <row r="49" ht="19.95" customHeight="1" s="227">
      <c r="A49" s="142" t="n">
        <v>32</v>
      </c>
      <c r="B49" s="145" t="inlineStr">
        <is>
          <t>BM-035</t>
        </is>
      </c>
      <c r="C49" s="145" t="n">
        <v>53</v>
      </c>
      <c r="D49" s="144" t="inlineStr">
        <is>
          <t>Ing. Sophia López Ramírez</t>
        </is>
      </c>
      <c r="E49" s="138" t="inlineStr">
        <is>
          <t>● ROSA</t>
        </is>
      </c>
      <c r="F49" s="156" t="inlineStr">
        <is>
          <t>H.M.E.O. Constituyentes</t>
        </is>
      </c>
      <c r="G49" s="155" t="inlineStr">
        <is>
          <t>CDMX</t>
        </is>
      </c>
      <c r="H49" s="156" t="inlineStr">
        <is>
          <t>Autoqueratorrefractor, marca Nidek, modelo ARK-F</t>
        </is>
      </c>
      <c r="I49" s="156" t="inlineStr">
        <is>
          <t>Nidek</t>
        </is>
      </c>
      <c r="J49" s="156" t="inlineStr">
        <is>
          <t>ARK-F</t>
        </is>
      </c>
      <c r="K49" s="142" t="inlineStr">
        <is>
          <t>270023</t>
        </is>
      </c>
      <c r="L49" s="142" t="inlineStr">
        <is>
          <t>OFTALMO</t>
        </is>
      </c>
      <c r="M49" s="156" t="inlineStr">
        <is>
          <t>S4</t>
        </is>
      </c>
      <c r="N49" s="142" t="n">
        <v>1</v>
      </c>
      <c r="O49" s="142" t="n">
        <v>2</v>
      </c>
      <c r="P49" s="145">
        <f>N49+O49</f>
        <v/>
      </c>
    </row>
    <row r="50" ht="19.95" customHeight="1" s="227">
      <c r="A50" s="137" t="n">
        <v>33</v>
      </c>
      <c r="B50" s="140" t="inlineStr">
        <is>
          <t>BM-036</t>
        </is>
      </c>
      <c r="C50" s="140" t="n">
        <v>54</v>
      </c>
      <c r="D50" s="139" t="inlineStr">
        <is>
          <t>Ing. Sophia López Ramírez</t>
        </is>
      </c>
      <c r="E50" s="138" t="inlineStr">
        <is>
          <t>● ROSA</t>
        </is>
      </c>
      <c r="F50" s="154" t="inlineStr">
        <is>
          <t>H.M.E.O. Constituyentes</t>
        </is>
      </c>
      <c r="G50" s="155" t="inlineStr">
        <is>
          <t>CDMX</t>
        </is>
      </c>
      <c r="H50" s="154" t="inlineStr">
        <is>
          <t>Autoqueratorrefractor, marca Nidek, modelo ARK-F</t>
        </is>
      </c>
      <c r="I50" s="154" t="inlineStr">
        <is>
          <t>Nidek</t>
        </is>
      </c>
      <c r="J50" s="154" t="inlineStr">
        <is>
          <t>ARK-F</t>
        </is>
      </c>
      <c r="K50" s="137" t="inlineStr">
        <is>
          <t>270034</t>
        </is>
      </c>
      <c r="L50" s="137" t="inlineStr">
        <is>
          <t>OFTALMO</t>
        </is>
      </c>
      <c r="M50" s="154" t="inlineStr">
        <is>
          <t>S4</t>
        </is>
      </c>
      <c r="N50" s="137" t="n">
        <v>1</v>
      </c>
      <c r="O50" s="137" t="n">
        <v>2</v>
      </c>
      <c r="P50" s="140">
        <f>N50+O50</f>
        <v/>
      </c>
    </row>
    <row r="51" ht="19.95" customHeight="1" s="227">
      <c r="A51" s="142" t="n">
        <v>34</v>
      </c>
      <c r="B51" s="145" t="inlineStr">
        <is>
          <t>BM-037</t>
        </is>
      </c>
      <c r="C51" s="145" t="n">
        <v>55</v>
      </c>
      <c r="D51" s="144" t="inlineStr">
        <is>
          <t>Ing. Sophia López Ramírez</t>
        </is>
      </c>
      <c r="E51" s="138" t="inlineStr">
        <is>
          <t>● ROSA</t>
        </is>
      </c>
      <c r="F51" s="156" t="inlineStr">
        <is>
          <t>H.M.E.O. Constituyentes</t>
        </is>
      </c>
      <c r="G51" s="155" t="inlineStr">
        <is>
          <t>CDMX</t>
        </is>
      </c>
      <c r="H51" s="156" t="inlineStr">
        <is>
          <t>Autoqueratorrefractor, marca Nidek, modelo ARK-F</t>
        </is>
      </c>
      <c r="I51" s="156" t="inlineStr">
        <is>
          <t>Nidek</t>
        </is>
      </c>
      <c r="J51" s="156" t="inlineStr">
        <is>
          <t>ARK-F</t>
        </is>
      </c>
      <c r="K51" s="142" t="inlineStr">
        <is>
          <t>270035</t>
        </is>
      </c>
      <c r="L51" s="142" t="inlineStr">
        <is>
          <t>OFTALMO</t>
        </is>
      </c>
      <c r="M51" s="156" t="inlineStr">
        <is>
          <t>S4</t>
        </is>
      </c>
      <c r="N51" s="142" t="n">
        <v>1</v>
      </c>
      <c r="O51" s="142" t="n">
        <v>2</v>
      </c>
      <c r="P51" s="145">
        <f>N51+O51</f>
        <v/>
      </c>
    </row>
    <row r="52" ht="19.95" customHeight="1" s="227">
      <c r="A52" s="137" t="n">
        <v>35</v>
      </c>
      <c r="B52" s="140" t="inlineStr">
        <is>
          <t>BM-038</t>
        </is>
      </c>
      <c r="C52" s="140" t="n">
        <v>56</v>
      </c>
      <c r="D52" s="139" t="inlineStr">
        <is>
          <t>Ing. Sophia López Ramírez</t>
        </is>
      </c>
      <c r="E52" s="138" t="inlineStr">
        <is>
          <t>● ROSA</t>
        </is>
      </c>
      <c r="F52" s="154" t="inlineStr">
        <is>
          <t>H.M.E.O. Constituyentes</t>
        </is>
      </c>
      <c r="G52" s="155" t="inlineStr">
        <is>
          <t>CDMX</t>
        </is>
      </c>
      <c r="H52" s="154" t="inlineStr">
        <is>
          <t>Autoqueratorrefractor, marca Nidek, modelo ARK-F</t>
        </is>
      </c>
      <c r="I52" s="154" t="inlineStr">
        <is>
          <t>Nidek</t>
        </is>
      </c>
      <c r="J52" s="154" t="inlineStr">
        <is>
          <t>ARK-F</t>
        </is>
      </c>
      <c r="K52" s="137" t="inlineStr">
        <is>
          <t>270036</t>
        </is>
      </c>
      <c r="L52" s="137" t="inlineStr">
        <is>
          <t>OFTALMO</t>
        </is>
      </c>
      <c r="M52" s="154" t="inlineStr">
        <is>
          <t>S4</t>
        </is>
      </c>
      <c r="N52" s="137" t="n">
        <v>1</v>
      </c>
      <c r="O52" s="137" t="n">
        <v>2</v>
      </c>
      <c r="P52" s="140">
        <f>N52+O52</f>
        <v/>
      </c>
    </row>
    <row r="53" ht="19.95" customHeight="1" s="227">
      <c r="A53" s="142" t="n">
        <v>36</v>
      </c>
      <c r="B53" s="145" t="inlineStr">
        <is>
          <t>BM-039</t>
        </is>
      </c>
      <c r="C53" s="145" t="n">
        <v>57</v>
      </c>
      <c r="D53" s="144" t="inlineStr">
        <is>
          <t>Ing. Sophia López Ramírez</t>
        </is>
      </c>
      <c r="E53" s="138" t="inlineStr">
        <is>
          <t>● ROSA</t>
        </is>
      </c>
      <c r="F53" s="156" t="inlineStr">
        <is>
          <t>H.M.E.O. Constituyentes</t>
        </is>
      </c>
      <c r="G53" s="155" t="inlineStr">
        <is>
          <t>CDMX</t>
        </is>
      </c>
      <c r="H53" s="156" t="inlineStr">
        <is>
          <t>Autoqueratorrefractor, marca Nidek, modelo ARK-F</t>
        </is>
      </c>
      <c r="I53" s="156" t="inlineStr">
        <is>
          <t>Nidek</t>
        </is>
      </c>
      <c r="J53" s="156" t="inlineStr">
        <is>
          <t>ARK-F</t>
        </is>
      </c>
      <c r="K53" s="142" t="inlineStr">
        <is>
          <t>270037</t>
        </is>
      </c>
      <c r="L53" s="142" t="inlineStr">
        <is>
          <t>OFTALMO</t>
        </is>
      </c>
      <c r="M53" s="156" t="inlineStr">
        <is>
          <t>S4</t>
        </is>
      </c>
      <c r="N53" s="142" t="n">
        <v>1</v>
      </c>
      <c r="O53" s="142" t="n">
        <v>2</v>
      </c>
      <c r="P53" s="145">
        <f>N53+O53</f>
        <v/>
      </c>
    </row>
    <row r="54" ht="19.95" customHeight="1" s="227">
      <c r="A54" s="137" t="n">
        <v>37</v>
      </c>
      <c r="B54" s="140" t="inlineStr">
        <is>
          <t>BM-040</t>
        </is>
      </c>
      <c r="C54" s="140" t="n">
        <v>58</v>
      </c>
      <c r="D54" s="139" t="inlineStr">
        <is>
          <t>Ing. Sophia López Ramírez</t>
        </is>
      </c>
      <c r="E54" s="138" t="inlineStr">
        <is>
          <t>● ROSA</t>
        </is>
      </c>
      <c r="F54" s="154" t="inlineStr">
        <is>
          <t>H.M.E.O. Constituyentes</t>
        </is>
      </c>
      <c r="G54" s="155" t="inlineStr">
        <is>
          <t>CDMX</t>
        </is>
      </c>
      <c r="H54" s="154" t="inlineStr">
        <is>
          <t>Autoqueratorrefractor, marca Nidek, modelo ARK-F</t>
        </is>
      </c>
      <c r="I54" s="154" t="inlineStr">
        <is>
          <t>Nidek</t>
        </is>
      </c>
      <c r="J54" s="154" t="inlineStr">
        <is>
          <t>ARK-F</t>
        </is>
      </c>
      <c r="K54" s="137" t="inlineStr">
        <is>
          <t>270038</t>
        </is>
      </c>
      <c r="L54" s="137" t="inlineStr">
        <is>
          <t>OFTALMO</t>
        </is>
      </c>
      <c r="M54" s="154" t="inlineStr">
        <is>
          <t>S4</t>
        </is>
      </c>
      <c r="N54" s="137" t="n">
        <v>1</v>
      </c>
      <c r="O54" s="137" t="n">
        <v>2</v>
      </c>
      <c r="P54" s="140">
        <f>N54+O54</f>
        <v/>
      </c>
    </row>
    <row r="55" ht="19.95" customHeight="1" s="227">
      <c r="A55" s="142" t="n">
        <v>38</v>
      </c>
      <c r="B55" s="145" t="inlineStr">
        <is>
          <t>BM-041</t>
        </is>
      </c>
      <c r="C55" s="145" t="n">
        <v>59</v>
      </c>
      <c r="D55" s="144" t="inlineStr">
        <is>
          <t>Ing. Sophia López Ramírez</t>
        </is>
      </c>
      <c r="E55" s="138" t="inlineStr">
        <is>
          <t>● ROSA</t>
        </is>
      </c>
      <c r="F55" s="156" t="inlineStr">
        <is>
          <t>H.M.E.O. Constituyentes</t>
        </is>
      </c>
      <c r="G55" s="155" t="inlineStr">
        <is>
          <t>CDMX</t>
        </is>
      </c>
      <c r="H55" s="156" t="inlineStr">
        <is>
          <t>Autoqueratorrefractor, marca Nidek, modelo ARK-F</t>
        </is>
      </c>
      <c r="I55" s="156" t="inlineStr">
        <is>
          <t>Nidek</t>
        </is>
      </c>
      <c r="J55" s="156" t="inlineStr">
        <is>
          <t>ARK-F</t>
        </is>
      </c>
      <c r="K55" s="142" t="inlineStr">
        <is>
          <t>270033</t>
        </is>
      </c>
      <c r="L55" s="142" t="inlineStr">
        <is>
          <t>OFTALMO</t>
        </is>
      </c>
      <c r="M55" s="156" t="inlineStr">
        <is>
          <t>S4</t>
        </is>
      </c>
      <c r="N55" s="142" t="n">
        <v>1</v>
      </c>
      <c r="O55" s="142" t="n">
        <v>2</v>
      </c>
      <c r="P55" s="145">
        <f>N55+O55</f>
        <v/>
      </c>
    </row>
    <row r="56" ht="19.95" customHeight="1" s="227">
      <c r="A56" s="137" t="n">
        <v>39</v>
      </c>
      <c r="B56" s="140" t="inlineStr">
        <is>
          <t>BM-042</t>
        </is>
      </c>
      <c r="C56" s="140" t="n">
        <v>60</v>
      </c>
      <c r="D56" s="139" t="inlineStr">
        <is>
          <t>Ing. Sophia López Ramírez</t>
        </is>
      </c>
      <c r="E56" s="138" t="inlineStr">
        <is>
          <t>● ROSA</t>
        </is>
      </c>
      <c r="F56" s="154" t="inlineStr">
        <is>
          <t>H.M.E.O. Constituyentes</t>
        </is>
      </c>
      <c r="G56" s="155" t="inlineStr">
        <is>
          <t>CDMX</t>
        </is>
      </c>
      <c r="H56" s="154" t="inlineStr">
        <is>
          <t>Autoqueratorrefractor, marca Nidek, modelo ARK-F</t>
        </is>
      </c>
      <c r="I56" s="154" t="inlineStr">
        <is>
          <t>Nidek</t>
        </is>
      </c>
      <c r="J56" s="154" t="inlineStr">
        <is>
          <t>ARK-F</t>
        </is>
      </c>
      <c r="K56" s="137" t="inlineStr">
        <is>
          <t>270025</t>
        </is>
      </c>
      <c r="L56" s="137" t="inlineStr">
        <is>
          <t>OFTALMO</t>
        </is>
      </c>
      <c r="M56" s="154" t="inlineStr">
        <is>
          <t>S4</t>
        </is>
      </c>
      <c r="N56" s="137" t="n">
        <v>1</v>
      </c>
      <c r="O56" s="137" t="n">
        <v>2</v>
      </c>
      <c r="P56" s="140">
        <f>N56+O56</f>
        <v/>
      </c>
    </row>
    <row r="57" ht="19.95" customHeight="1" s="227">
      <c r="A57" s="142" t="n">
        <v>40</v>
      </c>
      <c r="B57" s="145" t="inlineStr">
        <is>
          <t>BM-043</t>
        </is>
      </c>
      <c r="C57" s="145" t="n">
        <v>61</v>
      </c>
      <c r="D57" s="144" t="inlineStr">
        <is>
          <t>Ing. Sophia López Ramírez</t>
        </is>
      </c>
      <c r="E57" s="138" t="inlineStr">
        <is>
          <t>● ROSA</t>
        </is>
      </c>
      <c r="F57" s="156" t="inlineStr">
        <is>
          <t>H.M.E.O. Constituyentes</t>
        </is>
      </c>
      <c r="G57" s="155" t="inlineStr">
        <is>
          <t>CDMX</t>
        </is>
      </c>
      <c r="H57" s="156" t="inlineStr">
        <is>
          <t>Sistema de diagnóstico oftálmico avanzado, marca Nidek, modelo TONOREF III</t>
        </is>
      </c>
      <c r="I57" s="156" t="inlineStr">
        <is>
          <t>Nidek</t>
        </is>
      </c>
      <c r="J57" s="156" t="inlineStr">
        <is>
          <t>TONOREF III</t>
        </is>
      </c>
      <c r="K57" s="142" t="inlineStr">
        <is>
          <t>170692</t>
        </is>
      </c>
      <c r="L57" s="142" t="inlineStr">
        <is>
          <t>OFTALMO</t>
        </is>
      </c>
      <c r="M57" s="156" t="inlineStr">
        <is>
          <t>S4</t>
        </is>
      </c>
      <c r="N57" s="142" t="n">
        <v>1</v>
      </c>
      <c r="O57" s="142" t="n">
        <v>2</v>
      </c>
      <c r="P57" s="145">
        <f>N57+O57</f>
        <v/>
      </c>
    </row>
    <row r="58" ht="19.95" customHeight="1" s="227">
      <c r="A58" s="137" t="n">
        <v>41</v>
      </c>
      <c r="B58" s="140" t="inlineStr">
        <is>
          <t>BM-044</t>
        </is>
      </c>
      <c r="C58" s="140" t="n">
        <v>62</v>
      </c>
      <c r="D58" s="139" t="inlineStr">
        <is>
          <t>Ing. Sophia López Ramírez</t>
        </is>
      </c>
      <c r="E58" s="138" t="inlineStr">
        <is>
          <t>● ROSA</t>
        </is>
      </c>
      <c r="F58" s="154" t="inlineStr">
        <is>
          <t>H.M.E.O. Constituyentes</t>
        </is>
      </c>
      <c r="G58" s="155" t="inlineStr">
        <is>
          <t>CDMX</t>
        </is>
      </c>
      <c r="H58" s="154" t="inlineStr">
        <is>
          <t>Sistema de diagnóstico oftálmico avanzado, marca Nidek, modelo TONOREF III</t>
        </is>
      </c>
      <c r="I58" s="154" t="inlineStr">
        <is>
          <t>Nidek</t>
        </is>
      </c>
      <c r="J58" s="154" t="inlineStr">
        <is>
          <t>TONOREF III</t>
        </is>
      </c>
      <c r="K58" s="137" t="inlineStr">
        <is>
          <t>170696</t>
        </is>
      </c>
      <c r="L58" s="137" t="inlineStr">
        <is>
          <t>OFTALMO</t>
        </is>
      </c>
      <c r="M58" s="154" t="inlineStr">
        <is>
          <t>S4</t>
        </is>
      </c>
      <c r="N58" s="137" t="n">
        <v>1</v>
      </c>
      <c r="O58" s="137" t="n">
        <v>2</v>
      </c>
      <c r="P58" s="140">
        <f>N58+O58</f>
        <v/>
      </c>
    </row>
    <row r="59" ht="19.95" customHeight="1" s="227">
      <c r="A59" s="142" t="n">
        <v>42</v>
      </c>
      <c r="B59" s="145" t="inlineStr">
        <is>
          <t>BM-045</t>
        </is>
      </c>
      <c r="C59" s="145" t="n">
        <v>63</v>
      </c>
      <c r="D59" s="144" t="inlineStr">
        <is>
          <t>Ing. Sophia López Ramírez</t>
        </is>
      </c>
      <c r="E59" s="138" t="inlineStr">
        <is>
          <t>● ROSA</t>
        </is>
      </c>
      <c r="F59" s="156" t="inlineStr">
        <is>
          <t>H.M.E.O. Constituyentes</t>
        </is>
      </c>
      <c r="G59" s="155" t="inlineStr">
        <is>
          <t>CDMX</t>
        </is>
      </c>
      <c r="H59" s="156" t="inlineStr">
        <is>
          <t>Sistema de diagnóstico oftálmico avanzado, marca Nidek, modelo TONOREF III</t>
        </is>
      </c>
      <c r="I59" s="156" t="inlineStr">
        <is>
          <t>Nidek</t>
        </is>
      </c>
      <c r="J59" s="156" t="inlineStr">
        <is>
          <t>TONOREF III</t>
        </is>
      </c>
      <c r="K59" s="142" t="inlineStr">
        <is>
          <t>170711</t>
        </is>
      </c>
      <c r="L59" s="142" t="inlineStr">
        <is>
          <t>OFTALMO</t>
        </is>
      </c>
      <c r="M59" s="156" t="inlineStr">
        <is>
          <t>S4</t>
        </is>
      </c>
      <c r="N59" s="142" t="n">
        <v>1</v>
      </c>
      <c r="O59" s="142" t="n">
        <v>2</v>
      </c>
      <c r="P59" s="145">
        <f>N59+O59</f>
        <v/>
      </c>
    </row>
    <row r="60" ht="19.95" customHeight="1" s="227">
      <c r="A60" s="137" t="n">
        <v>43</v>
      </c>
      <c r="B60" s="140" t="inlineStr">
        <is>
          <t>BM-046</t>
        </is>
      </c>
      <c r="C60" s="140" t="n">
        <v>64</v>
      </c>
      <c r="D60" s="139" t="inlineStr">
        <is>
          <t>Ing. Sophia López Ramírez</t>
        </is>
      </c>
      <c r="E60" s="138" t="inlineStr">
        <is>
          <t>● ROSA</t>
        </is>
      </c>
      <c r="F60" s="154" t="inlineStr">
        <is>
          <t>H.M.E.O. Constituyentes</t>
        </is>
      </c>
      <c r="G60" s="155" t="inlineStr">
        <is>
          <t>CDMX</t>
        </is>
      </c>
      <c r="H60" s="154" t="inlineStr">
        <is>
          <t>Sistema de diagnóstico oftálmico avanzado, marca Nidek, modelo TONOREF III</t>
        </is>
      </c>
      <c r="I60" s="154" t="inlineStr">
        <is>
          <t>Nidek</t>
        </is>
      </c>
      <c r="J60" s="154" t="inlineStr">
        <is>
          <t>TONOREF III</t>
        </is>
      </c>
      <c r="K60" s="137" t="inlineStr">
        <is>
          <t>170712</t>
        </is>
      </c>
      <c r="L60" s="137" t="inlineStr">
        <is>
          <t>OFTALMO</t>
        </is>
      </c>
      <c r="M60" s="154" t="inlineStr">
        <is>
          <t>S4</t>
        </is>
      </c>
      <c r="N60" s="137" t="n">
        <v>1</v>
      </c>
      <c r="O60" s="137" t="n">
        <v>2</v>
      </c>
      <c r="P60" s="140">
        <f>N60+O60</f>
        <v/>
      </c>
    </row>
    <row r="61" ht="19.95" customHeight="1" s="227">
      <c r="A61" s="142" t="n">
        <v>44</v>
      </c>
      <c r="B61" s="145" t="inlineStr">
        <is>
          <t>BM-047</t>
        </is>
      </c>
      <c r="C61" s="145" t="n">
        <v>65</v>
      </c>
      <c r="D61" s="144" t="inlineStr">
        <is>
          <t>Ing. Sophia López Ramírez</t>
        </is>
      </c>
      <c r="E61" s="138" t="inlineStr">
        <is>
          <t>● ROSA</t>
        </is>
      </c>
      <c r="F61" s="156" t="inlineStr">
        <is>
          <t>H.M.E.O. Constituyentes</t>
        </is>
      </c>
      <c r="G61" s="155" t="inlineStr">
        <is>
          <t>CDMX</t>
        </is>
      </c>
      <c r="H61" s="156" t="inlineStr">
        <is>
          <t>Sistema de diagnóstico oftálmico avanzado, marca Nidek, modelo TONOREF III</t>
        </is>
      </c>
      <c r="I61" s="156" t="inlineStr">
        <is>
          <t>Nidek</t>
        </is>
      </c>
      <c r="J61" s="156" t="inlineStr">
        <is>
          <t>TONOREF III</t>
        </is>
      </c>
      <c r="K61" s="142" t="inlineStr">
        <is>
          <t>170715</t>
        </is>
      </c>
      <c r="L61" s="142" t="inlineStr">
        <is>
          <t>OFTALMO</t>
        </is>
      </c>
      <c r="M61" s="156" t="inlineStr">
        <is>
          <t>S4</t>
        </is>
      </c>
      <c r="N61" s="142" t="n">
        <v>1</v>
      </c>
      <c r="O61" s="142" t="n">
        <v>2</v>
      </c>
      <c r="P61" s="145">
        <f>N61+O61</f>
        <v/>
      </c>
    </row>
    <row r="62" ht="19.95" customHeight="1" s="227">
      <c r="A62" s="137" t="n">
        <v>45</v>
      </c>
      <c r="B62" s="140" t="inlineStr">
        <is>
          <t>BM-048</t>
        </is>
      </c>
      <c r="C62" s="140" t="n">
        <v>68</v>
      </c>
      <c r="D62" s="139" t="inlineStr">
        <is>
          <t>Ing. Sophia López Ramírez</t>
        </is>
      </c>
      <c r="E62" s="138" t="inlineStr">
        <is>
          <t>● ROSA</t>
        </is>
      </c>
      <c r="F62" s="154" t="inlineStr">
        <is>
          <t>H.M.E.O. Constituyentes</t>
        </is>
      </c>
      <c r="G62" s="155" t="inlineStr">
        <is>
          <t>CDMX</t>
        </is>
      </c>
      <c r="H62" s="154" t="inlineStr">
        <is>
          <t>Sistema de diagnóstico oftálmico avanzado, marca Nidek, modelo OPD-Scan III</t>
        </is>
      </c>
      <c r="I62" s="154" t="inlineStr">
        <is>
          <t>Nidek</t>
        </is>
      </c>
      <c r="J62" s="154" t="inlineStr">
        <is>
          <t>OPD-Scan III</t>
        </is>
      </c>
      <c r="K62" s="137" t="inlineStr">
        <is>
          <t>470112</t>
        </is>
      </c>
      <c r="L62" s="137" t="inlineStr">
        <is>
          <t>OFTALMO</t>
        </is>
      </c>
      <c r="M62" s="154" t="inlineStr">
        <is>
          <t>S4</t>
        </is>
      </c>
      <c r="N62" s="137" t="n">
        <v>1</v>
      </c>
      <c r="O62" s="137" t="n">
        <v>2</v>
      </c>
      <c r="P62" s="140">
        <f>N62+O62</f>
        <v/>
      </c>
    </row>
    <row r="63" ht="19.95" customHeight="1" s="227">
      <c r="A63" s="142" t="n">
        <v>46</v>
      </c>
      <c r="B63" s="145" t="inlineStr">
        <is>
          <t>BM-049</t>
        </is>
      </c>
      <c r="C63" s="145" t="n">
        <v>69</v>
      </c>
      <c r="D63" s="144" t="inlineStr">
        <is>
          <t>Ing. Sophia López Ramírez</t>
        </is>
      </c>
      <c r="E63" s="138" t="inlineStr">
        <is>
          <t>● ROSA</t>
        </is>
      </c>
      <c r="F63" s="156" t="inlineStr">
        <is>
          <t>H.M.E.O. Constituyentes</t>
        </is>
      </c>
      <c r="G63" s="155" t="inlineStr">
        <is>
          <t>CDMX</t>
        </is>
      </c>
      <c r="H63" s="156" t="inlineStr">
        <is>
          <t>Sistema de diagnóstico oftálmico avanzado, marca Nidek, modelo OPD-Scan III</t>
        </is>
      </c>
      <c r="I63" s="156" t="inlineStr">
        <is>
          <t>Nidek</t>
        </is>
      </c>
      <c r="J63" s="156" t="inlineStr">
        <is>
          <t>OPD-Scan III</t>
        </is>
      </c>
      <c r="K63" s="142" t="inlineStr">
        <is>
          <t>470113</t>
        </is>
      </c>
      <c r="L63" s="142" t="inlineStr">
        <is>
          <t>OFTALMO</t>
        </is>
      </c>
      <c r="M63" s="156" t="inlineStr">
        <is>
          <t>S4</t>
        </is>
      </c>
      <c r="N63" s="142" t="n">
        <v>1</v>
      </c>
      <c r="O63" s="142" t="n">
        <v>2</v>
      </c>
      <c r="P63" s="145">
        <f>N63+O63</f>
        <v/>
      </c>
    </row>
    <row r="64" ht="19.95" customHeight="1" s="227">
      <c r="A64" s="137" t="n">
        <v>47</v>
      </c>
      <c r="B64" s="140" t="inlineStr">
        <is>
          <t>BM-050</t>
        </is>
      </c>
      <c r="C64" s="140" t="n">
        <v>70</v>
      </c>
      <c r="D64" s="139" t="inlineStr">
        <is>
          <t>Ing. Sophia López Ramírez</t>
        </is>
      </c>
      <c r="E64" s="138" t="inlineStr">
        <is>
          <t>● ROSA</t>
        </is>
      </c>
      <c r="F64" s="154" t="inlineStr">
        <is>
          <t>H.M.E.O. Constituyentes</t>
        </is>
      </c>
      <c r="G64" s="155" t="inlineStr">
        <is>
          <t>CDMX</t>
        </is>
      </c>
      <c r="H64" s="154" t="inlineStr">
        <is>
          <t>Plataforma láser oftálmica combinada YAG/SLT, marca Quantel Medical, modelo Optimis Fusion</t>
        </is>
      </c>
      <c r="I64" s="154" t="inlineStr">
        <is>
          <t>Quantel Medical</t>
        </is>
      </c>
      <c r="J64" s="154" t="inlineStr">
        <is>
          <t>Optimis Fusion</t>
        </is>
      </c>
      <c r="K64" s="137" t="inlineStr">
        <is>
          <t>62-10-135</t>
        </is>
      </c>
      <c r="L64" s="137" t="inlineStr">
        <is>
          <t>OFTALMO</t>
        </is>
      </c>
      <c r="M64" s="154" t="inlineStr">
        <is>
          <t>ARFAMEX</t>
        </is>
      </c>
      <c r="N64" s="137" t="n">
        <v>1</v>
      </c>
      <c r="O64" s="137" t="n">
        <v>2</v>
      </c>
      <c r="P64" s="140">
        <f>N64+O64</f>
        <v/>
      </c>
    </row>
    <row r="65" ht="19.95" customHeight="1" s="227">
      <c r="A65" s="142" t="n">
        <v>48</v>
      </c>
      <c r="B65" s="145" t="inlineStr">
        <is>
          <t>BM-051</t>
        </is>
      </c>
      <c r="C65" s="145" t="n">
        <v>71</v>
      </c>
      <c r="D65" s="144" t="inlineStr">
        <is>
          <t>Ing. Sophia López Ramírez</t>
        </is>
      </c>
      <c r="E65" s="138" t="inlineStr">
        <is>
          <t>● ROSA</t>
        </is>
      </c>
      <c r="F65" s="156" t="inlineStr">
        <is>
          <t>H.M.E.O. Constituyentes</t>
        </is>
      </c>
      <c r="G65" s="155" t="inlineStr">
        <is>
          <t>CDMX</t>
        </is>
      </c>
      <c r="H65" s="156" t="inlineStr">
        <is>
          <t>Láser excimer, marca Alcon, modelo Wavelight</t>
        </is>
      </c>
      <c r="I65" s="156" t="inlineStr">
        <is>
          <t>Alcon</t>
        </is>
      </c>
      <c r="J65" s="156" t="inlineStr">
        <is>
          <t>Wavelight</t>
        </is>
      </c>
      <c r="K65" s="142" t="inlineStr">
        <is>
          <t>1016-4-3384</t>
        </is>
      </c>
      <c r="L65" s="142" t="inlineStr">
        <is>
          <t>OFTALMO</t>
        </is>
      </c>
      <c r="M65" s="156" t="inlineStr">
        <is>
          <t>ALCON</t>
        </is>
      </c>
      <c r="N65" s="142" t="n">
        <v>1</v>
      </c>
      <c r="O65" s="142" t="n">
        <v>2</v>
      </c>
      <c r="P65" s="145">
        <f>N65+O65</f>
        <v/>
      </c>
    </row>
    <row r="66" ht="19.95" customHeight="1" s="227">
      <c r="A66" s="137" t="n">
        <v>49</v>
      </c>
      <c r="B66" s="140" t="inlineStr">
        <is>
          <t>BM-052</t>
        </is>
      </c>
      <c r="C66" s="140" t="n">
        <v>72</v>
      </c>
      <c r="D66" s="139" t="inlineStr">
        <is>
          <t>Ing. Sophia López Ramírez</t>
        </is>
      </c>
      <c r="E66" s="138" t="inlineStr">
        <is>
          <t>● ROSA</t>
        </is>
      </c>
      <c r="F66" s="154" t="inlineStr">
        <is>
          <t>H.M.E.O. Constituyentes</t>
        </is>
      </c>
      <c r="G66" s="155" t="inlineStr">
        <is>
          <t>CDMX</t>
        </is>
      </c>
      <c r="H66" s="154" t="inlineStr">
        <is>
          <t>Láser oftálmico, marca Quantel Medical, modelo Easyret</t>
        </is>
      </c>
      <c r="I66" s="154" t="inlineStr">
        <is>
          <t>Quantel Medical</t>
        </is>
      </c>
      <c r="J66" s="154" t="inlineStr">
        <is>
          <t>Easyret</t>
        </is>
      </c>
      <c r="K66" s="137" t="inlineStr">
        <is>
          <t>2209031</t>
        </is>
      </c>
      <c r="L66" s="137" t="inlineStr">
        <is>
          <t>OFTALMO</t>
        </is>
      </c>
      <c r="M66" s="154" t="inlineStr">
        <is>
          <t>ARFAMEX</t>
        </is>
      </c>
      <c r="N66" s="137" t="n">
        <v>1</v>
      </c>
      <c r="O66" s="137" t="n">
        <v>2</v>
      </c>
      <c r="P66" s="140">
        <f>N66+O66</f>
        <v/>
      </c>
    </row>
    <row r="67" ht="19.95" customHeight="1" s="227">
      <c r="A67" s="142" t="n">
        <v>50</v>
      </c>
      <c r="B67" s="145" t="inlineStr">
        <is>
          <t>BM-053</t>
        </is>
      </c>
      <c r="C67" s="145" t="n">
        <v>73</v>
      </c>
      <c r="D67" s="144" t="inlineStr">
        <is>
          <t>Ing. Sophia López Ramírez</t>
        </is>
      </c>
      <c r="E67" s="138" t="inlineStr">
        <is>
          <t>● ROSA</t>
        </is>
      </c>
      <c r="F67" s="156" t="inlineStr">
        <is>
          <t>H.M.E.O. Constituyentes</t>
        </is>
      </c>
      <c r="G67" s="155" t="inlineStr">
        <is>
          <t>CDMX</t>
        </is>
      </c>
      <c r="H67" s="156" t="inlineStr">
        <is>
          <t>Láser oftálmico, marca Quantel Medical, modelo Easyret</t>
        </is>
      </c>
      <c r="I67" s="156" t="inlineStr">
        <is>
          <t>Quantel Medical</t>
        </is>
      </c>
      <c r="J67" s="156" t="inlineStr">
        <is>
          <t>Easyret</t>
        </is>
      </c>
      <c r="K67" s="142" t="inlineStr">
        <is>
          <t>2209032</t>
        </is>
      </c>
      <c r="L67" s="142" t="inlineStr">
        <is>
          <t>OFTALMO</t>
        </is>
      </c>
      <c r="M67" s="156" t="inlineStr">
        <is>
          <t>ARFAMEX</t>
        </is>
      </c>
      <c r="N67" s="142" t="n">
        <v>1</v>
      </c>
      <c r="O67" s="142" t="n">
        <v>2</v>
      </c>
      <c r="P67" s="145">
        <f>N67+O67</f>
        <v/>
      </c>
    </row>
    <row r="68" ht="19.95" customHeight="1" s="227">
      <c r="A68" s="137" t="n">
        <v>51</v>
      </c>
      <c r="B68" s="140" t="inlineStr">
        <is>
          <t>BM-054</t>
        </is>
      </c>
      <c r="C68" s="140" t="n">
        <v>74</v>
      </c>
      <c r="D68" s="139" t="inlineStr">
        <is>
          <t>Ing. Sophia López Ramírez</t>
        </is>
      </c>
      <c r="E68" s="138" t="inlineStr">
        <is>
          <t>● ROSA</t>
        </is>
      </c>
      <c r="F68" s="154" t="inlineStr">
        <is>
          <t>H.M.E.O. Constituyentes</t>
        </is>
      </c>
      <c r="G68" s="155" t="inlineStr">
        <is>
          <t>CDMX</t>
        </is>
      </c>
      <c r="H68" s="154" t="inlineStr">
        <is>
          <t>Equipo para crosslinking ocular, marca KXL, modelo Avedro</t>
        </is>
      </c>
      <c r="I68" s="154" t="inlineStr">
        <is>
          <t>KXL</t>
        </is>
      </c>
      <c r="J68" s="154" t="inlineStr">
        <is>
          <t>Avedro</t>
        </is>
      </c>
      <c r="K68" s="137" t="inlineStr">
        <is>
          <t>KXL221005</t>
        </is>
      </c>
      <c r="L68" s="137" t="inlineStr">
        <is>
          <t>OFTALMO</t>
        </is>
      </c>
      <c r="M68" s="154" t="inlineStr">
        <is>
          <t>ARFAMEX</t>
        </is>
      </c>
      <c r="N68" s="137" t="n">
        <v>1</v>
      </c>
      <c r="O68" s="137" t="n">
        <v>2</v>
      </c>
      <c r="P68" s="140">
        <f>N68+O68</f>
        <v/>
      </c>
    </row>
    <row r="69" ht="19.95" customHeight="1" s="227">
      <c r="A69" s="142" t="n">
        <v>52</v>
      </c>
      <c r="B69" s="145" t="inlineStr">
        <is>
          <t>BM-055</t>
        </is>
      </c>
      <c r="C69" s="145" t="n">
        <v>75</v>
      </c>
      <c r="D69" s="144" t="inlineStr">
        <is>
          <t>Ing. Sophia López Ramírez</t>
        </is>
      </c>
      <c r="E69" s="138" t="inlineStr">
        <is>
          <t>● ROSA</t>
        </is>
      </c>
      <c r="F69" s="156" t="inlineStr">
        <is>
          <t>H.M.E.O. Constituyentes</t>
        </is>
      </c>
      <c r="G69" s="155" t="inlineStr">
        <is>
          <t>CDMX</t>
        </is>
      </c>
      <c r="H69" s="156" t="inlineStr">
        <is>
          <t>OCT con retinógrafo integrado, marca Nidek, modelo Retina Scan DUO-2 (RS-300)</t>
        </is>
      </c>
      <c r="I69" s="156" t="inlineStr">
        <is>
          <t>Nidek</t>
        </is>
      </c>
      <c r="J69" s="156" t="inlineStr">
        <is>
          <t>Retina Scan DUO-2 (RS-300)</t>
        </is>
      </c>
      <c r="K69" s="142" t="inlineStr">
        <is>
          <t>742223</t>
        </is>
      </c>
      <c r="L69" s="142" t="inlineStr">
        <is>
          <t>OFTALMO</t>
        </is>
      </c>
      <c r="M69" s="156" t="inlineStr">
        <is>
          <t>S4</t>
        </is>
      </c>
      <c r="N69" s="142" t="n">
        <v>2</v>
      </c>
      <c r="O69" s="142" t="n">
        <v>4</v>
      </c>
      <c r="P69" s="145">
        <f>N69+O69</f>
        <v/>
      </c>
    </row>
    <row r="70" ht="19.95" customHeight="1" s="227">
      <c r="A70" s="137" t="n">
        <v>53</v>
      </c>
      <c r="B70" s="140" t="inlineStr">
        <is>
          <t>BM-056</t>
        </is>
      </c>
      <c r="C70" s="140" t="n">
        <v>76</v>
      </c>
      <c r="D70" s="139" t="inlineStr">
        <is>
          <t>Ing. Sophia López Ramírez</t>
        </is>
      </c>
      <c r="E70" s="138" t="inlineStr">
        <is>
          <t>● ROSA</t>
        </is>
      </c>
      <c r="F70" s="154" t="inlineStr">
        <is>
          <t>H.M.E.O. Constituyentes</t>
        </is>
      </c>
      <c r="G70" s="155" t="inlineStr">
        <is>
          <t>CDMX</t>
        </is>
      </c>
      <c r="H70" s="154" t="inlineStr">
        <is>
          <t>OCT con retinógrafo integrado, marca Nidek, modelo Retina Scan DUO-2 (RS-300)</t>
        </is>
      </c>
      <c r="I70" s="154" t="inlineStr">
        <is>
          <t>Nidek</t>
        </is>
      </c>
      <c r="J70" s="154" t="inlineStr">
        <is>
          <t>Retina Scan DUO-2 (RS-300)</t>
        </is>
      </c>
      <c r="K70" s="137" t="inlineStr">
        <is>
          <t>741879</t>
        </is>
      </c>
      <c r="L70" s="137" t="inlineStr">
        <is>
          <t>OFTALMO</t>
        </is>
      </c>
      <c r="M70" s="154" t="inlineStr">
        <is>
          <t>S4</t>
        </is>
      </c>
      <c r="N70" s="137" t="n">
        <v>1</v>
      </c>
      <c r="O70" s="137" t="n">
        <v>2</v>
      </c>
      <c r="P70" s="140">
        <f>N70+O70</f>
        <v/>
      </c>
    </row>
    <row r="71" ht="19.95" customHeight="1" s="227">
      <c r="A71" s="142" t="n">
        <v>54</v>
      </c>
      <c r="B71" s="145" t="inlineStr">
        <is>
          <t>BM-057</t>
        </is>
      </c>
      <c r="C71" s="145" t="n">
        <v>77</v>
      </c>
      <c r="D71" s="144" t="inlineStr">
        <is>
          <t>Ing. Sophia López Ramírez</t>
        </is>
      </c>
      <c r="E71" s="138" t="inlineStr">
        <is>
          <t>● ROSA</t>
        </is>
      </c>
      <c r="F71" s="156" t="inlineStr">
        <is>
          <t>H.M.E.O. Constituyentes</t>
        </is>
      </c>
      <c r="G71" s="155" t="inlineStr">
        <is>
          <t>CDMX</t>
        </is>
      </c>
      <c r="H71" s="156" t="inlineStr">
        <is>
          <t>OCT con retinógrafo integrado, marca Nidek, modelo Retina Scan DUO-2 (RS-300)</t>
        </is>
      </c>
      <c r="I71" s="156" t="inlineStr">
        <is>
          <t>Nidek</t>
        </is>
      </c>
      <c r="J71" s="156" t="inlineStr">
        <is>
          <t>Retina Scan DUO-2 (RS-300)</t>
        </is>
      </c>
      <c r="K71" s="142" t="inlineStr">
        <is>
          <t>742356</t>
        </is>
      </c>
      <c r="L71" s="142" t="inlineStr">
        <is>
          <t>OFTALMO</t>
        </is>
      </c>
      <c r="M71" s="156" t="inlineStr">
        <is>
          <t>S4</t>
        </is>
      </c>
      <c r="N71" s="142" t="n">
        <v>1</v>
      </c>
      <c r="O71" s="142" t="n">
        <v>2</v>
      </c>
      <c r="P71" s="145">
        <f>N71+O71</f>
        <v/>
      </c>
    </row>
    <row r="72" ht="19.95" customHeight="1" s="227">
      <c r="A72" s="137" t="n">
        <v>55</v>
      </c>
      <c r="B72" s="140" t="inlineStr">
        <is>
          <t>BM-058</t>
        </is>
      </c>
      <c r="C72" s="140" t="n">
        <v>78</v>
      </c>
      <c r="D72" s="139" t="inlineStr">
        <is>
          <t>Ing. Sophia López Ramírez</t>
        </is>
      </c>
      <c r="E72" s="138" t="inlineStr">
        <is>
          <t>● ROSA</t>
        </is>
      </c>
      <c r="F72" s="154" t="inlineStr">
        <is>
          <t>H.M.E.O. Constituyentes</t>
        </is>
      </c>
      <c r="G72" s="155" t="inlineStr">
        <is>
          <t>CDMX</t>
        </is>
      </c>
      <c r="H72" s="154" t="inlineStr">
        <is>
          <t>OCT con retinógrafo integrado, marca Nidek, modelo Retina Scan DUO-2 (RS-300)</t>
        </is>
      </c>
      <c r="I72" s="154" t="inlineStr">
        <is>
          <t>Nidek</t>
        </is>
      </c>
      <c r="J72" s="154" t="inlineStr">
        <is>
          <t>Retina Scan DUO-2 (RS-300)</t>
        </is>
      </c>
      <c r="K72" s="137" t="inlineStr">
        <is>
          <t>741940</t>
        </is>
      </c>
      <c r="L72" s="137" t="inlineStr">
        <is>
          <t>OFTALMO</t>
        </is>
      </c>
      <c r="M72" s="154" t="inlineStr">
        <is>
          <t>S4</t>
        </is>
      </c>
      <c r="N72" s="137" t="n">
        <v>2</v>
      </c>
      <c r="O72" s="137" t="n">
        <v>4</v>
      </c>
      <c r="P72" s="140">
        <f>N72+O72</f>
        <v/>
      </c>
    </row>
    <row r="73" ht="19.95" customHeight="1" s="227">
      <c r="A73" s="142" t="n">
        <v>56</v>
      </c>
      <c r="B73" s="145" t="inlineStr">
        <is>
          <t>BM-059</t>
        </is>
      </c>
      <c r="C73" s="145" t="n">
        <v>79</v>
      </c>
      <c r="D73" s="144" t="inlineStr">
        <is>
          <t>Ing. Sophia López Ramírez</t>
        </is>
      </c>
      <c r="E73" s="138" t="inlineStr">
        <is>
          <t>● ROSA</t>
        </is>
      </c>
      <c r="F73" s="156" t="inlineStr">
        <is>
          <t>H.M.E.O. Constituyentes</t>
        </is>
      </c>
      <c r="G73" s="155" t="inlineStr">
        <is>
          <t>CDMX</t>
        </is>
      </c>
      <c r="H73" s="156" t="inlineStr">
        <is>
          <t>Sistema de diagnóstico oftálmico avanzado, marca Heidelberg Engineering, modelo Spectralis</t>
        </is>
      </c>
      <c r="I73" s="156" t="inlineStr">
        <is>
          <t>Heidelberg Engineering</t>
        </is>
      </c>
      <c r="J73" s="156" t="inlineStr">
        <is>
          <t>Spectralis</t>
        </is>
      </c>
      <c r="K73" s="142" t="inlineStr">
        <is>
          <t>SPEC-CAM-21931-53610</t>
        </is>
      </c>
      <c r="L73" s="142" t="inlineStr">
        <is>
          <t>OFTALMO</t>
        </is>
      </c>
      <c r="M73" s="156" t="inlineStr">
        <is>
          <t>ARFAMEX</t>
        </is>
      </c>
      <c r="N73" s="142" t="n">
        <v>2</v>
      </c>
      <c r="O73" s="142" t="n">
        <v>4</v>
      </c>
      <c r="P73" s="145">
        <f>N73+O73</f>
        <v/>
      </c>
    </row>
    <row r="74" ht="19.95" customHeight="1" s="227">
      <c r="A74" s="137" t="n">
        <v>57</v>
      </c>
      <c r="B74" s="140" t="inlineStr">
        <is>
          <t>BM-060</t>
        </is>
      </c>
      <c r="C74" s="140" t="n">
        <v>80</v>
      </c>
      <c r="D74" s="139" t="inlineStr">
        <is>
          <t>Ing. Sophia López Ramírez</t>
        </is>
      </c>
      <c r="E74" s="138" t="inlineStr">
        <is>
          <t>● ROSA</t>
        </is>
      </c>
      <c r="F74" s="154" t="inlineStr">
        <is>
          <t>H.M.E.O. Constituyentes</t>
        </is>
      </c>
      <c r="G74" s="155" t="inlineStr">
        <is>
          <t>CDMX</t>
        </is>
      </c>
      <c r="H74" s="154" t="inlineStr">
        <is>
          <t>Sistema de diagnóstico oftálmico avanzado, marca Heidelberg Engineering, modelo Spectralis</t>
        </is>
      </c>
      <c r="I74" s="154" t="inlineStr">
        <is>
          <t>Heidelberg Engineering</t>
        </is>
      </c>
      <c r="J74" s="154" t="inlineStr">
        <is>
          <t>Spectralis</t>
        </is>
      </c>
      <c r="K74" s="137" t="inlineStr">
        <is>
          <t>SPEC-CAM-21920-53610</t>
        </is>
      </c>
      <c r="L74" s="137" t="inlineStr">
        <is>
          <t>OFTALMO</t>
        </is>
      </c>
      <c r="M74" s="154" t="inlineStr">
        <is>
          <t>ARFAMEX</t>
        </is>
      </c>
      <c r="N74" s="137" t="n">
        <v>2</v>
      </c>
      <c r="O74" s="137" t="n">
        <v>4</v>
      </c>
      <c r="P74" s="140">
        <f>N74+O74</f>
        <v/>
      </c>
    </row>
    <row r="75" ht="19.95" customHeight="1" s="227">
      <c r="A75" s="142" t="n">
        <v>58</v>
      </c>
      <c r="B75" s="145" t="inlineStr">
        <is>
          <t>BM-061</t>
        </is>
      </c>
      <c r="C75" s="145" t="n">
        <v>81</v>
      </c>
      <c r="D75" s="144" t="inlineStr">
        <is>
          <t>Ing. Sophia López Ramírez</t>
        </is>
      </c>
      <c r="E75" s="138" t="inlineStr">
        <is>
          <t>● ROSA</t>
        </is>
      </c>
      <c r="F75" s="156" t="inlineStr">
        <is>
          <t>H.M.E.O. Constituyentes</t>
        </is>
      </c>
      <c r="G75" s="155" t="inlineStr">
        <is>
          <t>CDMX</t>
        </is>
      </c>
      <c r="H75" s="156" t="inlineStr">
        <is>
          <t>Sistema de diagnóstico oftálmico avanzado, marca Heidelberg Engineering, modelo Spectralis</t>
        </is>
      </c>
      <c r="I75" s="156" t="inlineStr">
        <is>
          <t>Heidelberg Engineering</t>
        </is>
      </c>
      <c r="J75" s="156" t="inlineStr">
        <is>
          <t>Spectralis</t>
        </is>
      </c>
      <c r="K75" s="142" t="inlineStr">
        <is>
          <t>SPEC-CAM-21928-53610</t>
        </is>
      </c>
      <c r="L75" s="142" t="inlineStr">
        <is>
          <t>OFTALMO</t>
        </is>
      </c>
      <c r="M75" s="156" t="inlineStr">
        <is>
          <t>ARFAMEX</t>
        </is>
      </c>
      <c r="N75" s="142" t="n">
        <v>2</v>
      </c>
      <c r="O75" s="142" t="n">
        <v>4</v>
      </c>
      <c r="P75" s="145">
        <f>N75+O75</f>
        <v/>
      </c>
    </row>
    <row r="76" ht="19.95" customHeight="1" s="227">
      <c r="A76" s="137" t="n">
        <v>59</v>
      </c>
      <c r="B76" s="140" t="inlineStr">
        <is>
          <t>BM-062</t>
        </is>
      </c>
      <c r="C76" s="140" t="n">
        <v>82</v>
      </c>
      <c r="D76" s="139" t="inlineStr">
        <is>
          <t>Ing. Sophia López Ramírez</t>
        </is>
      </c>
      <c r="E76" s="138" t="inlineStr">
        <is>
          <t>● ROSA</t>
        </is>
      </c>
      <c r="F76" s="154" t="inlineStr">
        <is>
          <t>H.M.E.O. Constituyentes</t>
        </is>
      </c>
      <c r="G76" s="155" t="inlineStr">
        <is>
          <t>CDMX</t>
        </is>
      </c>
      <c r="H76" s="154" t="inlineStr">
        <is>
          <t>Retinógrafo de campo ultra amplio, marca Optos, modelo California</t>
        </is>
      </c>
      <c r="I76" s="154" t="inlineStr">
        <is>
          <t>Optos</t>
        </is>
      </c>
      <c r="J76" s="154" t="inlineStr">
        <is>
          <t>California</t>
        </is>
      </c>
      <c r="K76" s="137" t="inlineStr">
        <is>
          <t>41652</t>
        </is>
      </c>
      <c r="L76" s="137" t="inlineStr">
        <is>
          <t>OFTALMO</t>
        </is>
      </c>
      <c r="M76" s="154" t="inlineStr">
        <is>
          <t>DEWIMED</t>
        </is>
      </c>
      <c r="N76" s="137" t="n">
        <v>1</v>
      </c>
      <c r="O76" s="137" t="n">
        <v>2</v>
      </c>
      <c r="P76" s="140">
        <f>N76+O76</f>
        <v/>
      </c>
    </row>
    <row r="77" ht="19.95" customHeight="1" s="227">
      <c r="A77" s="142" t="n">
        <v>60</v>
      </c>
      <c r="B77" s="145" t="inlineStr">
        <is>
          <t>BM-063</t>
        </is>
      </c>
      <c r="C77" s="145" t="n">
        <v>83</v>
      </c>
      <c r="D77" s="144" t="inlineStr">
        <is>
          <t>Ing. Sophia López Ramírez</t>
        </is>
      </c>
      <c r="E77" s="138" t="inlineStr">
        <is>
          <t>● ROSA</t>
        </is>
      </c>
      <c r="F77" s="156" t="inlineStr">
        <is>
          <t>H.M.E.O. Constituyentes</t>
        </is>
      </c>
      <c r="G77" s="155" t="inlineStr">
        <is>
          <t>CDMX</t>
        </is>
      </c>
      <c r="H77" s="156" t="inlineStr">
        <is>
          <t>Retinógrafo de campo ultra amplio, marca Optos, modelo California</t>
        </is>
      </c>
      <c r="I77" s="156" t="inlineStr">
        <is>
          <t>Optos</t>
        </is>
      </c>
      <c r="J77" s="156" t="inlineStr">
        <is>
          <t>California</t>
        </is>
      </c>
      <c r="K77" s="142" t="inlineStr">
        <is>
          <t>41656</t>
        </is>
      </c>
      <c r="L77" s="142" t="inlineStr">
        <is>
          <t>OFTALMO</t>
        </is>
      </c>
      <c r="M77" s="156" t="inlineStr">
        <is>
          <t>DEWIMED</t>
        </is>
      </c>
      <c r="N77" s="142" t="n">
        <v>1</v>
      </c>
      <c r="O77" s="142" t="n">
        <v>2</v>
      </c>
      <c r="P77" s="145">
        <f>N77+O77</f>
        <v/>
      </c>
    </row>
    <row r="78" ht="19.95" customHeight="1" s="227">
      <c r="A78" s="157" t="n">
        <v>61</v>
      </c>
      <c r="B78" s="158" t="inlineStr">
        <is>
          <t>BM-127</t>
        </is>
      </c>
      <c r="C78" s="158" t="n">
        <v>213</v>
      </c>
      <c r="D78" s="159" t="inlineStr">
        <is>
          <t>Ing. Sophia López Ramírez</t>
        </is>
      </c>
      <c r="E78" s="138" t="inlineStr">
        <is>
          <t>● ROSA</t>
        </is>
      </c>
      <c r="F78" s="160" t="inlineStr">
        <is>
          <t>H.M.E.O. Constituyentes</t>
        </is>
      </c>
      <c r="G78" s="155" t="inlineStr">
        <is>
          <t>CDMX</t>
        </is>
      </c>
      <c r="H78" s="160" t="inlineStr">
        <is>
          <t>Ultrasonido modo A-B y UBM, marca Quantel Medical, modelo Compact Touch</t>
        </is>
      </c>
      <c r="I78" s="160" t="inlineStr">
        <is>
          <t>Quantel Medical</t>
        </is>
      </c>
      <c r="J78" s="160" t="inlineStr">
        <is>
          <t>Compact Touch</t>
        </is>
      </c>
      <c r="K78" s="157" t="inlineStr">
        <is>
          <t>2746</t>
        </is>
      </c>
      <c r="L78" s="157" t="inlineStr">
        <is>
          <t>OFTALMO</t>
        </is>
      </c>
      <c r="M78" s="160" t="inlineStr">
        <is>
          <t>ARFAMEX</t>
        </is>
      </c>
      <c r="N78" s="157" t="n">
        <v>1</v>
      </c>
      <c r="O78" s="157" t="n">
        <v>2</v>
      </c>
      <c r="P78" s="158">
        <f>N78+O78</f>
        <v/>
      </c>
    </row>
    <row r="79" ht="19.95" customHeight="1" s="227">
      <c r="A79" s="142" t="n">
        <v>62</v>
      </c>
      <c r="B79" s="145" t="inlineStr">
        <is>
          <t>BM-074</t>
        </is>
      </c>
      <c r="C79" s="145" t="n">
        <v>214</v>
      </c>
      <c r="D79" s="144" t="inlineStr">
        <is>
          <t>Ing. Sophia López Ramírez</t>
        </is>
      </c>
      <c r="E79" s="138" t="inlineStr">
        <is>
          <t>● ROSA</t>
        </is>
      </c>
      <c r="F79" s="156" t="inlineStr">
        <is>
          <t>H.M.E.O. Constituyentes</t>
        </is>
      </c>
      <c r="G79" s="155" t="inlineStr">
        <is>
          <t>CDMX</t>
        </is>
      </c>
      <c r="H79" s="156" t="inlineStr">
        <is>
          <t>Cámara de Scheimpflug, marca Oculus, modelo Pentacam HR</t>
        </is>
      </c>
      <c r="I79" s="156" t="inlineStr">
        <is>
          <t>Oculus</t>
        </is>
      </c>
      <c r="J79" s="156" t="inlineStr">
        <is>
          <t>Pentacam HR</t>
        </is>
      </c>
      <c r="K79" s="142" t="inlineStr">
        <is>
          <t>64835160</t>
        </is>
      </c>
      <c r="L79" s="142" t="inlineStr">
        <is>
          <t>OFTALMO</t>
        </is>
      </c>
      <c r="M79" s="156" t="inlineStr">
        <is>
          <t>CYAN</t>
        </is>
      </c>
      <c r="N79" s="142" t="n">
        <v>1</v>
      </c>
      <c r="O79" s="142" t="n">
        <v>2</v>
      </c>
      <c r="P79" s="145">
        <f>N79+O79</f>
        <v/>
      </c>
    </row>
    <row r="80" ht="19.95" customHeight="1" s="227">
      <c r="A80" s="137" t="n">
        <v>63</v>
      </c>
      <c r="B80" s="140" t="inlineStr">
        <is>
          <t>BM-075</t>
        </is>
      </c>
      <c r="C80" s="140" t="n">
        <v>215</v>
      </c>
      <c r="D80" s="139" t="inlineStr">
        <is>
          <t>Ing. Sophia López Ramírez</t>
        </is>
      </c>
      <c r="E80" s="138" t="inlineStr">
        <is>
          <t>● ROSA</t>
        </is>
      </c>
      <c r="F80" s="154" t="inlineStr">
        <is>
          <t>H.M.E.O. Constituyentes</t>
        </is>
      </c>
      <c r="G80" s="155" t="inlineStr">
        <is>
          <t>CDMX</t>
        </is>
      </c>
      <c r="H80" s="154" t="inlineStr">
        <is>
          <t>Unidad de banco de ojos, marca Varios, modelo Varios</t>
        </is>
      </c>
      <c r="I80" s="154" t="inlineStr">
        <is>
          <t>Varios</t>
        </is>
      </c>
      <c r="J80" s="154" t="inlineStr">
        <is>
          <t>Varios</t>
        </is>
      </c>
      <c r="K80" s="137" t="inlineStr">
        <is>
          <t>Varios</t>
        </is>
      </c>
      <c r="L80" s="137" t="inlineStr">
        <is>
          <t>OFTALMO</t>
        </is>
      </c>
      <c r="M80" s="154" t="inlineStr">
        <is>
          <t>MD</t>
        </is>
      </c>
      <c r="N80" s="137" t="n">
        <v>1</v>
      </c>
      <c r="O80" s="137" t="n">
        <v>2</v>
      </c>
      <c r="P80" s="140">
        <f>N80+O80</f>
        <v/>
      </c>
    </row>
    <row r="81" ht="19.95" customHeight="1" s="227">
      <c r="A81" s="142" t="n">
        <v>64</v>
      </c>
      <c r="B81" s="145" t="inlineStr">
        <is>
          <t>BM-085</t>
        </is>
      </c>
      <c r="C81" s="145" t="n">
        <v>283</v>
      </c>
      <c r="D81" s="144" t="inlineStr">
        <is>
          <t>Ing. Sophia López Ramírez</t>
        </is>
      </c>
      <c r="E81" s="138" t="inlineStr">
        <is>
          <t>● ROSA</t>
        </is>
      </c>
      <c r="F81" s="156" t="inlineStr">
        <is>
          <t>H.M.E.O. Constituyentes</t>
        </is>
      </c>
      <c r="G81" s="155" t="inlineStr">
        <is>
          <t>CDMX</t>
        </is>
      </c>
      <c r="H81" s="156" t="inlineStr">
        <is>
          <t>Láser excimer, marca Bausch &amp; Lomb, modelo Zyoptix XP</t>
        </is>
      </c>
      <c r="I81" s="156" t="inlineStr">
        <is>
          <t>Bausch &amp; Lomb</t>
        </is>
      </c>
      <c r="J81" s="156" t="inlineStr">
        <is>
          <t>Zyoptix XP</t>
        </is>
      </c>
      <c r="K81" s="142" t="inlineStr">
        <is>
          <t>2805</t>
        </is>
      </c>
      <c r="L81" s="142" t="inlineStr">
        <is>
          <t>OFTALMO</t>
        </is>
      </c>
      <c r="M81" s="156" t="inlineStr">
        <is>
          <t>BAUSH</t>
        </is>
      </c>
      <c r="N81" s="142" t="n">
        <v>1</v>
      </c>
      <c r="O81" s="142" t="n">
        <v>2</v>
      </c>
      <c r="P81" s="145">
        <f>N81+O81</f>
        <v/>
      </c>
    </row>
    <row r="82" ht="19.95" customHeight="1" s="227">
      <c r="A82" s="137" t="n">
        <v>65</v>
      </c>
      <c r="B82" s="140" t="inlineStr">
        <is>
          <t>BM-086</t>
        </is>
      </c>
      <c r="C82" s="140" t="n">
        <v>291</v>
      </c>
      <c r="D82" s="139" t="inlineStr">
        <is>
          <t>Ing. Sophia López Ramírez</t>
        </is>
      </c>
      <c r="E82" s="138" t="inlineStr">
        <is>
          <t>● ROSA</t>
        </is>
      </c>
      <c r="F82" s="154" t="inlineStr">
        <is>
          <t>H.M.E.O. Constituyentes</t>
        </is>
      </c>
      <c r="G82" s="155" t="inlineStr">
        <is>
          <t>CDMX</t>
        </is>
      </c>
      <c r="H82" s="154" t="inlineStr">
        <is>
          <t>Láser excimer, marca Bausch &amp; Lomb, modelo Zyoptix XP</t>
        </is>
      </c>
      <c r="I82" s="154" t="inlineStr">
        <is>
          <t>Bausch &amp; Lomb</t>
        </is>
      </c>
      <c r="J82" s="154" t="inlineStr">
        <is>
          <t>Zyoptix XP</t>
        </is>
      </c>
      <c r="K82" s="137" t="inlineStr">
        <is>
          <t>XL500322</t>
        </is>
      </c>
      <c r="L82" s="137" t="inlineStr">
        <is>
          <t>OFTALMO</t>
        </is>
      </c>
      <c r="M82" s="154" t="inlineStr">
        <is>
          <t>BAUSH</t>
        </is>
      </c>
      <c r="N82" s="137" t="n">
        <v>1</v>
      </c>
      <c r="O82" s="137" t="n">
        <v>2</v>
      </c>
      <c r="P82" s="140">
        <f>N82+O82</f>
        <v/>
      </c>
    </row>
    <row r="83" ht="19.95" customHeight="1" s="227">
      <c r="A83" s="142" t="n">
        <v>66</v>
      </c>
      <c r="B83" s="145" t="inlineStr">
        <is>
          <t>BM-087</t>
        </is>
      </c>
      <c r="C83" s="145" t="n">
        <v>292</v>
      </c>
      <c r="D83" s="144" t="inlineStr">
        <is>
          <t>Ing. Sophia López Ramírez</t>
        </is>
      </c>
      <c r="E83" s="138" t="inlineStr">
        <is>
          <t>● ROSA</t>
        </is>
      </c>
      <c r="F83" s="156" t="inlineStr">
        <is>
          <t>H.M.E.O. Constituyentes</t>
        </is>
      </c>
      <c r="G83" s="155" t="inlineStr">
        <is>
          <t>CDMX</t>
        </is>
      </c>
      <c r="H83" s="156" t="inlineStr">
        <is>
          <t>Microscopio especular, marca Konan, modelo CellChek XL NSP9900</t>
        </is>
      </c>
      <c r="I83" s="156" t="inlineStr">
        <is>
          <t>Konan</t>
        </is>
      </c>
      <c r="J83" s="156" t="inlineStr">
        <is>
          <t>CellChek XL NSP9900</t>
        </is>
      </c>
      <c r="K83" s="142" t="inlineStr">
        <is>
          <t>NPA-3-1816</t>
        </is>
      </c>
      <c r="L83" s="142" t="inlineStr">
        <is>
          <t>OFTALMO</t>
        </is>
      </c>
      <c r="M83" s="156" t="inlineStr">
        <is>
          <t>TECHNOMIX</t>
        </is>
      </c>
      <c r="N83" s="142" t="n">
        <v>1</v>
      </c>
      <c r="O83" s="142" t="n">
        <v>2</v>
      </c>
      <c r="P83" s="145">
        <f>N83+O83</f>
        <v/>
      </c>
    </row>
    <row r="84" ht="19.95" customHeight="1" s="227">
      <c r="A84" s="137" t="n">
        <v>67</v>
      </c>
      <c r="B84" s="140" t="inlineStr">
        <is>
          <t>BM-096</t>
        </is>
      </c>
      <c r="C84" s="140" t="n">
        <v>338</v>
      </c>
      <c r="D84" s="139" t="inlineStr">
        <is>
          <t>Ing. Sophia López Ramírez</t>
        </is>
      </c>
      <c r="E84" s="138" t="inlineStr">
        <is>
          <t>● ROSA</t>
        </is>
      </c>
      <c r="F84" s="154" t="inlineStr">
        <is>
          <t>H.M.E.O. Constituyentes</t>
        </is>
      </c>
      <c r="G84" s="155" t="inlineStr">
        <is>
          <t>CDMX</t>
        </is>
      </c>
      <c r="H84" s="154" t="inlineStr">
        <is>
          <t>Láser de femtosegundo, marca Alcon, modelo LenSx</t>
        </is>
      </c>
      <c r="I84" s="154" t="inlineStr">
        <is>
          <t>Alcon</t>
        </is>
      </c>
      <c r="J84" s="154" t="inlineStr">
        <is>
          <t>LenSx</t>
        </is>
      </c>
      <c r="K84" s="137" t="inlineStr">
        <is>
          <t>2102004501X</t>
        </is>
      </c>
      <c r="L84" s="137" t="inlineStr">
        <is>
          <t>OFTALMO</t>
        </is>
      </c>
      <c r="M84" s="154" t="inlineStr">
        <is>
          <t>ALCON</t>
        </is>
      </c>
      <c r="N84" s="137" t="n">
        <v>1</v>
      </c>
      <c r="O84" s="137" t="n">
        <v>2</v>
      </c>
      <c r="P84" s="140">
        <f>N84+O84</f>
        <v/>
      </c>
    </row>
    <row r="85" ht="19.95" customHeight="1" s="227">
      <c r="A85" s="142" t="n">
        <v>68</v>
      </c>
      <c r="B85" s="145" t="inlineStr">
        <is>
          <t>BM-097</t>
        </is>
      </c>
      <c r="C85" s="145" t="n">
        <v>351</v>
      </c>
      <c r="D85" s="144" t="inlineStr">
        <is>
          <t>Ing. Sophia López Ramírez</t>
        </is>
      </c>
      <c r="E85" s="138" t="inlineStr">
        <is>
          <t>● ROSA</t>
        </is>
      </c>
      <c r="F85" s="156" t="inlineStr">
        <is>
          <t>H.M.E.O. Constituyentes</t>
        </is>
      </c>
      <c r="G85" s="155" t="inlineStr">
        <is>
          <t>CDMX</t>
        </is>
      </c>
      <c r="H85" s="156" t="inlineStr">
        <is>
          <t>Sistema de diagnóstico oftálmico avanzado, marca Nidek, modelo OPD-Scan III</t>
        </is>
      </c>
      <c r="I85" s="156" t="inlineStr">
        <is>
          <t>Nidek</t>
        </is>
      </c>
      <c r="J85" s="156" t="inlineStr">
        <is>
          <t>OPD-Scan III</t>
        </is>
      </c>
      <c r="K85" s="142" t="inlineStr">
        <is>
          <t>470023</t>
        </is>
      </c>
      <c r="L85" s="142" t="inlineStr">
        <is>
          <t>OFTALMO</t>
        </is>
      </c>
      <c r="M85" s="156" t="inlineStr">
        <is>
          <t>S4</t>
        </is>
      </c>
      <c r="N85" s="142" t="n">
        <v>1</v>
      </c>
      <c r="O85" s="142" t="n">
        <v>2</v>
      </c>
      <c r="P85" s="145">
        <f>N85+O85</f>
        <v/>
      </c>
    </row>
    <row r="86" ht="19.95" customHeight="1" s="227">
      <c r="A86" s="137" t="n">
        <v>69</v>
      </c>
      <c r="B86" s="140" t="inlineStr">
        <is>
          <t>BM-001</t>
        </is>
      </c>
      <c r="C86" s="140" t="n">
        <v>6</v>
      </c>
      <c r="D86" s="139" t="inlineStr">
        <is>
          <t>Ing. Axel Evangelista Salinas</t>
        </is>
      </c>
      <c r="E86" s="143" t="inlineStr">
        <is>
          <t>● ROJO</t>
        </is>
      </c>
      <c r="F86" s="154" t="inlineStr">
        <is>
          <t>H.C.M. Lomas de Sotelo</t>
        </is>
      </c>
      <c r="G86" s="161" t="inlineStr">
        <is>
          <t>CDMX</t>
        </is>
      </c>
      <c r="H86" s="154" t="inlineStr">
        <is>
          <t>Microscopio avanzado, marca Leica, modelo M320F12</t>
        </is>
      </c>
      <c r="I86" s="154" t="inlineStr">
        <is>
          <t>Leica</t>
        </is>
      </c>
      <c r="J86" s="154" t="inlineStr">
        <is>
          <t>M320F12</t>
        </is>
      </c>
      <c r="K86" s="137" t="inlineStr">
        <is>
          <t>10724001</t>
        </is>
      </c>
      <c r="L86" s="137" t="inlineStr">
        <is>
          <t>OFTALMO</t>
        </is>
      </c>
      <c r="M86" s="154" t="inlineStr">
        <is>
          <t>COINDISA</t>
        </is>
      </c>
      <c r="N86" s="137" t="n">
        <v>1</v>
      </c>
      <c r="O86" s="137" t="n">
        <v>2</v>
      </c>
      <c r="P86" s="140">
        <f>N86+O86</f>
        <v/>
      </c>
    </row>
    <row r="87" ht="19.95" customHeight="1" s="227">
      <c r="A87" s="157" t="n">
        <v>70</v>
      </c>
      <c r="B87" s="158" t="inlineStr">
        <is>
          <t>BM-103</t>
        </is>
      </c>
      <c r="C87" s="158" t="n">
        <v>107</v>
      </c>
      <c r="D87" s="159" t="inlineStr">
        <is>
          <t>Ing. Axel Evangelista Salinas</t>
        </is>
      </c>
      <c r="E87" s="143" t="inlineStr">
        <is>
          <t>● ROJO</t>
        </is>
      </c>
      <c r="F87" s="160" t="inlineStr">
        <is>
          <t>H.C.M. Lomas de Sotelo</t>
        </is>
      </c>
      <c r="G87" s="161" t="inlineStr">
        <is>
          <t>CDMX</t>
        </is>
      </c>
      <c r="H87" s="160" t="inlineStr">
        <is>
          <t>Rayos X móvil, marca Fujifilm, modelo DR-XD 1000</t>
        </is>
      </c>
      <c r="I87" s="160" t="inlineStr">
        <is>
          <t>Fujifilm</t>
        </is>
      </c>
      <c r="J87" s="160" t="inlineStr">
        <is>
          <t>DR-XD 1000</t>
        </is>
      </c>
      <c r="K87" s="157" t="inlineStr">
        <is>
          <t>77250288</t>
        </is>
      </c>
      <c r="L87" s="157" t="inlineStr">
        <is>
          <t>IMAGEN</t>
        </is>
      </c>
      <c r="M87" s="160" t="inlineStr">
        <is>
          <t>Médica Dimegar</t>
        </is>
      </c>
      <c r="N87" s="157" t="n">
        <v>1</v>
      </c>
      <c r="O87" s="157" t="n">
        <v>2</v>
      </c>
      <c r="P87" s="158">
        <f>N87+O87</f>
        <v/>
      </c>
    </row>
    <row r="88" ht="19.95" customHeight="1" s="227">
      <c r="A88" s="137" t="n">
        <v>71</v>
      </c>
      <c r="B88" s="140" t="inlineStr">
        <is>
          <t>BM-069</t>
        </is>
      </c>
      <c r="C88" s="140" t="n">
        <v>156</v>
      </c>
      <c r="D88" s="139" t="inlineStr">
        <is>
          <t>Ing. Axel Evangelista Salinas</t>
        </is>
      </c>
      <c r="E88" s="143" t="inlineStr">
        <is>
          <t>● ROJO</t>
        </is>
      </c>
      <c r="F88" s="154" t="inlineStr">
        <is>
          <t>H.C.M. Lomas de Sotelo</t>
        </is>
      </c>
      <c r="G88" s="161" t="inlineStr">
        <is>
          <t>CDMX</t>
        </is>
      </c>
      <c r="H88" s="154" t="inlineStr">
        <is>
          <t>Equipo de rayos X móvil, marca Technix, modelo TMS 320</t>
        </is>
      </c>
      <c r="I88" s="154" t="inlineStr">
        <is>
          <t>Technix</t>
        </is>
      </c>
      <c r="J88" s="154" t="inlineStr">
        <is>
          <t>TMS 320</t>
        </is>
      </c>
      <c r="K88" s="137" t="inlineStr">
        <is>
          <t>80-16-79-150</t>
        </is>
      </c>
      <c r="L88" s="137" t="inlineStr">
        <is>
          <t>IMAGEN</t>
        </is>
      </c>
      <c r="M88" s="154" t="inlineStr">
        <is>
          <t>Médica Dimegar</t>
        </is>
      </c>
      <c r="N88" s="137" t="n">
        <v>1</v>
      </c>
      <c r="O88" s="137" t="n">
        <v>2</v>
      </c>
      <c r="P88" s="140">
        <f>N88+O88</f>
        <v/>
      </c>
    </row>
    <row r="89" ht="19.95" customHeight="1" s="227">
      <c r="A89" s="142" t="n">
        <v>72</v>
      </c>
      <c r="B89" s="145" t="inlineStr">
        <is>
          <t>BM-071</t>
        </is>
      </c>
      <c r="C89" s="145" t="n">
        <v>185</v>
      </c>
      <c r="D89" s="144" t="inlineStr">
        <is>
          <t>Ing. Axel Evangelista Salinas</t>
        </is>
      </c>
      <c r="E89" s="143" t="inlineStr">
        <is>
          <t>● ROJO</t>
        </is>
      </c>
      <c r="F89" s="156" t="inlineStr">
        <is>
          <t>H.C.M. Lomas de Sotelo</t>
        </is>
      </c>
      <c r="G89" s="161" t="inlineStr">
        <is>
          <t>CDMX</t>
        </is>
      </c>
      <c r="H89" s="156" t="inlineStr">
        <is>
          <t>Sistema de diagnóstico oftálmico avanzado, marca Heidelberg Engineering, modelo Spectralis</t>
        </is>
      </c>
      <c r="I89" s="156" t="inlineStr">
        <is>
          <t>Heidelberg Engineering</t>
        </is>
      </c>
      <c r="J89" s="156" t="inlineStr">
        <is>
          <t>Spectralis</t>
        </is>
      </c>
      <c r="K89" s="142" t="inlineStr">
        <is>
          <t>SPECT-KT-05789</t>
        </is>
      </c>
      <c r="L89" s="142" t="inlineStr">
        <is>
          <t>OFTALMO</t>
        </is>
      </c>
      <c r="M89" s="156" t="inlineStr">
        <is>
          <t>ARFAMEX</t>
        </is>
      </c>
      <c r="N89" s="142" t="n">
        <v>2</v>
      </c>
      <c r="O89" s="142" t="n">
        <v>4</v>
      </c>
      <c r="P89" s="145">
        <f>N89+O89</f>
        <v/>
      </c>
    </row>
    <row r="90" ht="19.95" customHeight="1" s="227">
      <c r="A90" s="157" t="n">
        <v>73</v>
      </c>
      <c r="B90" s="158" t="inlineStr">
        <is>
          <t>BM-104</t>
        </is>
      </c>
      <c r="C90" s="158" t="n">
        <v>111</v>
      </c>
      <c r="D90" s="159" t="inlineStr">
        <is>
          <t>Ing. Axel Evangelista Salinas</t>
        </is>
      </c>
      <c r="E90" s="143" t="inlineStr">
        <is>
          <t>● ROJO</t>
        </is>
      </c>
      <c r="F90" s="160" t="inlineStr">
        <is>
          <t>H.M.E.M. Y N. Lomas de Sotelo</t>
        </is>
      </c>
      <c r="G90" s="161" t="inlineStr">
        <is>
          <t>CDMX</t>
        </is>
      </c>
      <c r="H90" s="160" t="inlineStr">
        <is>
          <t>Rayos X móvil, marca Fujifilm, modelo FDR Go</t>
        </is>
      </c>
      <c r="I90" s="160" t="inlineStr">
        <is>
          <t>Fujifilm</t>
        </is>
      </c>
      <c r="J90" s="160" t="inlineStr">
        <is>
          <t>FDR Go</t>
        </is>
      </c>
      <c r="K90" s="157" t="inlineStr">
        <is>
          <t>566-19888-11</t>
        </is>
      </c>
      <c r="L90" s="157" t="inlineStr">
        <is>
          <t>IMAGEN</t>
        </is>
      </c>
      <c r="M90" s="160" t="inlineStr">
        <is>
          <t>Médica Dimegar</t>
        </is>
      </c>
      <c r="N90" s="157" t="n">
        <v>1</v>
      </c>
      <c r="O90" s="157" t="n">
        <v>2</v>
      </c>
      <c r="P90" s="158">
        <f>N90+O90</f>
        <v/>
      </c>
    </row>
    <row r="91" ht="19.95" customHeight="1" s="227">
      <c r="A91" s="142" t="n">
        <v>74</v>
      </c>
      <c r="B91" s="145" t="inlineStr">
        <is>
          <t>BM-067</t>
        </is>
      </c>
      <c r="C91" s="145" t="n">
        <v>112</v>
      </c>
      <c r="D91" s="144" t="inlineStr">
        <is>
          <t>Ing. Axel Evangelista Salinas</t>
        </is>
      </c>
      <c r="E91" s="143" t="inlineStr">
        <is>
          <t>● ROJO</t>
        </is>
      </c>
      <c r="F91" s="156" t="inlineStr">
        <is>
          <t>H.M.E.M. Y N. Lomas de Sotelo</t>
        </is>
      </c>
      <c r="G91" s="161" t="inlineStr">
        <is>
          <t>CDMX</t>
        </is>
      </c>
      <c r="H91" s="156" t="inlineStr">
        <is>
          <t>Sistema digital de imagen de campo amplio, marca Clarity Medical Systems, modelo RetCam 3</t>
        </is>
      </c>
      <c r="I91" s="156" t="inlineStr">
        <is>
          <t>Clarity Medical Systems</t>
        </is>
      </c>
      <c r="J91" s="156" t="inlineStr">
        <is>
          <t>RetCam 3</t>
        </is>
      </c>
      <c r="K91" s="142" t="inlineStr">
        <is>
          <t>RC7406</t>
        </is>
      </c>
      <c r="L91" s="142" t="inlineStr">
        <is>
          <t>OFTALMO</t>
        </is>
      </c>
      <c r="M91" s="156" t="inlineStr">
        <is>
          <t>Médica Dimegar</t>
        </is>
      </c>
      <c r="N91" s="142" t="n">
        <v>1</v>
      </c>
      <c r="O91" s="142" t="n">
        <v>2</v>
      </c>
      <c r="P91" s="145">
        <f>N91+O91</f>
        <v/>
      </c>
    </row>
    <row r="92" ht="19.95" customHeight="1" s="227">
      <c r="A92" s="137" t="n">
        <v>75</v>
      </c>
      <c r="B92" s="140" t="inlineStr">
        <is>
          <t>BM-076</t>
        </is>
      </c>
      <c r="C92" s="140" t="n">
        <v>218</v>
      </c>
      <c r="D92" s="139" t="inlineStr">
        <is>
          <t>Ing. Axel Evangelista Salinas</t>
        </is>
      </c>
      <c r="E92" s="143" t="inlineStr">
        <is>
          <t>● ROJO</t>
        </is>
      </c>
      <c r="F92" s="154" t="inlineStr">
        <is>
          <t>H.M.E.M. Y N. Lomas de Sotelo</t>
        </is>
      </c>
      <c r="G92" s="161" t="inlineStr">
        <is>
          <t>CDMX</t>
        </is>
      </c>
      <c r="H92" s="154" t="inlineStr">
        <is>
          <t>Impresora para placas radiográficas, marca Codonics, modelo Horizon Ci</t>
        </is>
      </c>
      <c r="I92" s="154" t="inlineStr">
        <is>
          <t>Codonics</t>
        </is>
      </c>
      <c r="J92" s="154" t="inlineStr">
        <is>
          <t>Horizon Ci</t>
        </is>
      </c>
      <c r="K92" s="137" t="inlineStr">
        <is>
          <t>50C00394C</t>
        </is>
      </c>
      <c r="L92" s="137" t="inlineStr">
        <is>
          <t>IMAGEN</t>
        </is>
      </c>
      <c r="M92" s="154" t="inlineStr">
        <is>
          <t>Médica Dimegar</t>
        </is>
      </c>
      <c r="N92" s="137" t="n">
        <v>1</v>
      </c>
      <c r="O92" s="137" t="n">
        <v>2</v>
      </c>
      <c r="P92" s="140">
        <f>N92+O92</f>
        <v/>
      </c>
    </row>
    <row r="93" ht="19.95" customHeight="1" s="227">
      <c r="A93" s="157" t="n">
        <v>76</v>
      </c>
      <c r="B93" s="158" t="inlineStr">
        <is>
          <t>BM-140</t>
        </is>
      </c>
      <c r="C93" s="158" t="n">
        <v>335</v>
      </c>
      <c r="D93" s="159" t="inlineStr">
        <is>
          <t>Ing. Axel Evangelista Salinas</t>
        </is>
      </c>
      <c r="E93" s="143" t="inlineStr">
        <is>
          <t>● ROJO</t>
        </is>
      </c>
      <c r="F93" s="160" t="inlineStr">
        <is>
          <t>H.M.E.M. Y N. Lomas de Sotelo</t>
        </is>
      </c>
      <c r="G93" s="161" t="inlineStr">
        <is>
          <t>CDMX</t>
        </is>
      </c>
      <c r="H93" s="160" t="inlineStr">
        <is>
          <t>Rayos X móvil, marca Philips, modelo MobileDiagnost wDR Release 2</t>
        </is>
      </c>
      <c r="I93" s="160" t="inlineStr">
        <is>
          <t>Philips</t>
        </is>
      </c>
      <c r="J93" s="160" t="inlineStr">
        <is>
          <t>MobileDiagnost wDR Release 2</t>
        </is>
      </c>
      <c r="K93" s="157" t="inlineStr">
        <is>
          <t>15100252</t>
        </is>
      </c>
      <c r="L93" s="157" t="inlineStr">
        <is>
          <t>IMAGEN</t>
        </is>
      </c>
      <c r="M93" s="160" t="inlineStr">
        <is>
          <t>Médica Dimegar</t>
        </is>
      </c>
      <c r="N93" s="157" t="n">
        <v>1</v>
      </c>
      <c r="O93" s="157" t="n">
        <v>2</v>
      </c>
      <c r="P93" s="158">
        <f>N93+O93</f>
        <v/>
      </c>
    </row>
    <row r="94" ht="19.95" customHeight="1" s="227">
      <c r="A94" s="157" t="n">
        <v>77</v>
      </c>
      <c r="B94" s="158" t="inlineStr">
        <is>
          <t>BM-105</t>
        </is>
      </c>
      <c r="C94" s="158" t="n">
        <v>134</v>
      </c>
      <c r="D94" s="159" t="inlineStr">
        <is>
          <t>Ing. Axel Evangelista Salinas</t>
        </is>
      </c>
      <c r="E94" s="143" t="inlineStr">
        <is>
          <t>● ROJO</t>
        </is>
      </c>
      <c r="F94" s="160" t="inlineStr">
        <is>
          <t>H.M.R. Tuxpan</t>
        </is>
      </c>
      <c r="G94" s="162" t="inlineStr">
        <is>
          <t>VERACRUZ</t>
        </is>
      </c>
      <c r="H94" s="160" t="inlineStr">
        <is>
          <t>Rayos X móvil, marca Fujifilm, modelo FDR Go</t>
        </is>
      </c>
      <c r="I94" s="160" t="inlineStr">
        <is>
          <t>Fujifilm</t>
        </is>
      </c>
      <c r="J94" s="160" t="inlineStr">
        <is>
          <t>FDR Go</t>
        </is>
      </c>
      <c r="K94" s="157" t="inlineStr">
        <is>
          <t>41DBBA14A019</t>
        </is>
      </c>
      <c r="L94" s="157" t="inlineStr">
        <is>
          <t>IMAGEN</t>
        </is>
      </c>
      <c r="M94" s="160" t="inlineStr">
        <is>
          <t>Médica Dimegar</t>
        </is>
      </c>
      <c r="N94" s="157" t="n">
        <v>1</v>
      </c>
      <c r="O94" s="157" t="n">
        <v>2</v>
      </c>
      <c r="P94" s="158">
        <f>N94+O94</f>
        <v/>
      </c>
    </row>
    <row r="95" ht="19.95" customHeight="1" s="227">
      <c r="A95" s="142" t="n">
        <v>78</v>
      </c>
      <c r="B95" s="145" t="inlineStr">
        <is>
          <t>BM-070</t>
        </is>
      </c>
      <c r="C95" s="145" t="n">
        <v>159</v>
      </c>
      <c r="D95" s="144" t="inlineStr">
        <is>
          <t>Ing. Axel Evangelista Salinas</t>
        </is>
      </c>
      <c r="E95" s="143" t="inlineStr">
        <is>
          <t>● ROJO</t>
        </is>
      </c>
      <c r="F95" s="156" t="inlineStr">
        <is>
          <t>H.M.R.E. Monterrey</t>
        </is>
      </c>
      <c r="G95" s="143" t="inlineStr">
        <is>
          <t>NUEVO LEON</t>
        </is>
      </c>
      <c r="H95" s="156" t="inlineStr">
        <is>
          <t>Microscopio para cirugía, marca Haag-Streit Surgical, modelo HS Hi-R 700</t>
        </is>
      </c>
      <c r="I95" s="156" t="inlineStr">
        <is>
          <t>Haag-Streit Surgical</t>
        </is>
      </c>
      <c r="J95" s="156" t="inlineStr">
        <is>
          <t>HS Hi-R 700</t>
        </is>
      </c>
      <c r="K95" s="142" t="inlineStr">
        <is>
          <t>1303</t>
        </is>
      </c>
      <c r="L95" s="142" t="inlineStr">
        <is>
          <t>OFTALMO</t>
        </is>
      </c>
      <c r="M95" s="156" t="inlineStr">
        <is>
          <t>DEWIMED</t>
        </is>
      </c>
      <c r="N95" s="142" t="n">
        <v>1</v>
      </c>
      <c r="O95" s="142" t="n">
        <v>2</v>
      </c>
      <c r="P95" s="145">
        <f>N95+O95</f>
        <v/>
      </c>
    </row>
    <row r="96" ht="19.95" customHeight="1" s="227">
      <c r="A96" s="137" t="n">
        <v>79</v>
      </c>
      <c r="B96" s="140" t="inlineStr">
        <is>
          <t>BM-072</t>
        </is>
      </c>
      <c r="C96" s="140" t="n">
        <v>196</v>
      </c>
      <c r="D96" s="139" t="inlineStr">
        <is>
          <t>Ing. Axel Evangelista Salinas</t>
        </is>
      </c>
      <c r="E96" s="143" t="inlineStr">
        <is>
          <t>● ROJO</t>
        </is>
      </c>
      <c r="F96" s="154" t="inlineStr">
        <is>
          <t>H.M.R.E. Monterrey</t>
        </is>
      </c>
      <c r="G96" s="143" t="inlineStr">
        <is>
          <t>NUEVO LEON</t>
        </is>
      </c>
      <c r="H96" s="154" t="inlineStr">
        <is>
          <t>Sistema de digitalización de imágenes, marca SUNI, modelo SUNI</t>
        </is>
      </c>
      <c r="I96" s="154" t="inlineStr">
        <is>
          <t>SUNI</t>
        </is>
      </c>
      <c r="J96" s="154" t="inlineStr">
        <is>
          <t>SUNI</t>
        </is>
      </c>
      <c r="K96" s="137" t="inlineStr">
        <is>
          <t>DI2014106149</t>
        </is>
      </c>
      <c r="L96" s="137" t="inlineStr">
        <is>
          <t>IMAGEN</t>
        </is>
      </c>
      <c r="M96" s="154" t="inlineStr">
        <is>
          <t>Médica Dimegar</t>
        </is>
      </c>
      <c r="N96" s="137" t="n">
        <v>1</v>
      </c>
      <c r="O96" s="137" t="n">
        <v>2</v>
      </c>
      <c r="P96" s="140">
        <f>N96+O96</f>
        <v/>
      </c>
    </row>
    <row r="97" ht="19.95" customHeight="1" s="227">
      <c r="A97" s="157" t="n">
        <v>80</v>
      </c>
      <c r="B97" s="158" t="inlineStr">
        <is>
          <t>BM-141</t>
        </is>
      </c>
      <c r="C97" s="158" t="n">
        <v>336</v>
      </c>
      <c r="D97" s="159" t="inlineStr">
        <is>
          <t>Ing. Axel Evangelista Salinas</t>
        </is>
      </c>
      <c r="E97" s="143" t="inlineStr">
        <is>
          <t>● ROJO</t>
        </is>
      </c>
      <c r="F97" s="160" t="inlineStr">
        <is>
          <t>H.M.R.E. Monterrey</t>
        </is>
      </c>
      <c r="G97" s="143" t="inlineStr">
        <is>
          <t>NUEVO LEON</t>
        </is>
      </c>
      <c r="H97" s="160" t="inlineStr">
        <is>
          <t>Rayos X móvil, marca Philips, modelo MobileDiagnost wDR Release 2</t>
        </is>
      </c>
      <c r="I97" s="160" t="inlineStr">
        <is>
          <t>Philips</t>
        </is>
      </c>
      <c r="J97" s="160" t="inlineStr">
        <is>
          <t>MobileDiagnost wDR Release 2</t>
        </is>
      </c>
      <c r="K97" s="157" t="inlineStr">
        <is>
          <t>16200158</t>
        </is>
      </c>
      <c r="L97" s="157" t="inlineStr">
        <is>
          <t>IMAGEN</t>
        </is>
      </c>
      <c r="M97" s="160" t="inlineStr">
        <is>
          <t>Médica Dimegar</t>
        </is>
      </c>
      <c r="N97" s="157" t="n">
        <v>1</v>
      </c>
      <c r="O97" s="157" t="n">
        <v>2</v>
      </c>
      <c r="P97" s="158">
        <f>N97+O97</f>
        <v/>
      </c>
    </row>
    <row r="98" ht="19.95" customHeight="1" s="227">
      <c r="A98" s="137" t="n">
        <v>81</v>
      </c>
      <c r="B98" s="140" t="inlineStr">
        <is>
          <t>BM-098</t>
        </is>
      </c>
      <c r="C98" s="140" t="n">
        <v>357</v>
      </c>
      <c r="D98" s="139" t="inlineStr">
        <is>
          <t>Ing. Axel Evangelista Salinas</t>
        </is>
      </c>
      <c r="E98" s="143" t="inlineStr">
        <is>
          <t>● ROJO</t>
        </is>
      </c>
      <c r="F98" s="154" t="inlineStr">
        <is>
          <t>H.M.R.E. Monterrey</t>
        </is>
      </c>
      <c r="G98" s="143" t="inlineStr">
        <is>
          <t>NUEVO LEON</t>
        </is>
      </c>
      <c r="H98" s="154" t="inlineStr">
        <is>
          <t>Topógrafo corneal, marca Zeiss, modelo Atlas 9000</t>
        </is>
      </c>
      <c r="I98" s="154" t="inlineStr">
        <is>
          <t>Zeiss</t>
        </is>
      </c>
      <c r="J98" s="154" t="inlineStr">
        <is>
          <t>Atlas 9000</t>
        </is>
      </c>
      <c r="K98" s="137" t="inlineStr">
        <is>
          <t>9000-2972</t>
        </is>
      </c>
      <c r="L98" s="137" t="inlineStr">
        <is>
          <t>OFTALMO</t>
        </is>
      </c>
      <c r="M98" s="154" t="inlineStr">
        <is>
          <t>ZEISS</t>
        </is>
      </c>
      <c r="N98" s="137" t="n">
        <v>1</v>
      </c>
      <c r="O98" s="137" t="n">
        <v>2</v>
      </c>
      <c r="P98" s="140">
        <f>N98+O98</f>
        <v/>
      </c>
    </row>
    <row r="99" ht="19.95" customHeight="1" s="227">
      <c r="A99" s="142" t="n">
        <v>82</v>
      </c>
      <c r="B99" s="145" t="inlineStr">
        <is>
          <t>BM-094</t>
        </is>
      </c>
      <c r="C99" s="145" t="n">
        <v>319</v>
      </c>
      <c r="D99" s="144" t="inlineStr">
        <is>
          <t>Ing. Axel Evangelista Salinas</t>
        </is>
      </c>
      <c r="E99" s="143" t="inlineStr">
        <is>
          <t>● ROJO</t>
        </is>
      </c>
      <c r="F99" s="156" t="inlineStr">
        <is>
          <t>H.M.Z. Campo Militar No. 1-A</t>
        </is>
      </c>
      <c r="G99" s="163" t="inlineStr">
        <is>
          <t>CDMX</t>
        </is>
      </c>
      <c r="H99" s="156" t="inlineStr">
        <is>
          <t>Arco en C, marca Ziehm Imaging, modelo Vision R</t>
        </is>
      </c>
      <c r="I99" s="156" t="inlineStr">
        <is>
          <t>Ziehm Imaging</t>
        </is>
      </c>
      <c r="J99" s="156" t="inlineStr">
        <is>
          <t>Vision R</t>
        </is>
      </c>
      <c r="K99" s="142" t="inlineStr">
        <is>
          <t>10705</t>
        </is>
      </c>
      <c r="L99" s="142" t="inlineStr">
        <is>
          <t>IMAGEN</t>
        </is>
      </c>
      <c r="M99" s="156" t="inlineStr">
        <is>
          <t>Médica Dimegar</t>
        </is>
      </c>
      <c r="N99" s="142" t="n">
        <v>1</v>
      </c>
      <c r="O99" s="142" t="n">
        <v>2</v>
      </c>
      <c r="P99" s="145">
        <f>N99+O99</f>
        <v/>
      </c>
    </row>
    <row r="100" ht="19.95" customHeight="1" s="227">
      <c r="A100" s="157" t="n">
        <v>83</v>
      </c>
      <c r="B100" s="158" t="inlineStr">
        <is>
          <t>BM-124</t>
        </is>
      </c>
      <c r="C100" s="158" t="n">
        <v>198</v>
      </c>
      <c r="D100" s="159" t="inlineStr">
        <is>
          <t>Ing. Axel Evangelista Salinas</t>
        </is>
      </c>
      <c r="E100" s="143" t="inlineStr">
        <is>
          <t>● ROJO</t>
        </is>
      </c>
      <c r="F100" s="160" t="inlineStr">
        <is>
          <t>H.M.Z. La Boticaría</t>
        </is>
      </c>
      <c r="G100" s="161" t="inlineStr">
        <is>
          <t>VERACRUZ</t>
        </is>
      </c>
      <c r="H100" s="160" t="inlineStr">
        <is>
          <t>Arco en C, marca Ziehm Imaging, modelo Vision R</t>
        </is>
      </c>
      <c r="I100" s="160" t="inlineStr">
        <is>
          <t>Ziehm Imaging</t>
        </is>
      </c>
      <c r="J100" s="160" t="inlineStr">
        <is>
          <t>Vision R</t>
        </is>
      </c>
      <c r="K100" s="157" t="inlineStr">
        <is>
          <t>10704</t>
        </is>
      </c>
      <c r="L100" s="157" t="inlineStr">
        <is>
          <t>IMAGEN</t>
        </is>
      </c>
      <c r="M100" s="160" t="inlineStr">
        <is>
          <t>Médica Dimegar</t>
        </is>
      </c>
      <c r="N100" s="157" t="n">
        <v>1</v>
      </c>
      <c r="O100" s="157" t="n">
        <v>2</v>
      </c>
      <c r="P100" s="158">
        <f>N100+O100</f>
        <v/>
      </c>
    </row>
    <row r="101" ht="19.95" customHeight="1" s="227">
      <c r="A101" s="142" t="n">
        <v>84</v>
      </c>
      <c r="B101" s="145" t="inlineStr">
        <is>
          <t>BM-077</t>
        </is>
      </c>
      <c r="C101" s="145" t="n">
        <v>221</v>
      </c>
      <c r="D101" s="144" t="inlineStr">
        <is>
          <t>Ing. Axel Evangelista Salinas</t>
        </is>
      </c>
      <c r="E101" s="143" t="inlineStr">
        <is>
          <t>● ROJO</t>
        </is>
      </c>
      <c r="F101" s="156" t="inlineStr">
        <is>
          <t>H.M.Z. La Boticaría</t>
        </is>
      </c>
      <c r="G101" s="161" t="inlineStr">
        <is>
          <t>VERACRUZ</t>
        </is>
      </c>
      <c r="H101" s="156" t="inlineStr">
        <is>
          <t>Sistema de digitalización de imágenes, marca Fujifilm, modelo Digitalizador: FCR Capsula XLII (CR-IR 359) Impresora: Drypix Plus</t>
        </is>
      </c>
      <c r="I101" s="156" t="inlineStr">
        <is>
          <t>Fujifilm</t>
        </is>
      </c>
      <c r="J101" s="156" t="inlineStr">
        <is>
          <t>Digitalizador: FCR Capsula XLII (CR-IR 359) Impresora: Drypix Plus</t>
        </is>
      </c>
      <c r="K101" s="142" t="inlineStr">
        <is>
          <t>Digitalizador: 46770610 Impresora: 36753809</t>
        </is>
      </c>
      <c r="L101" s="142" t="inlineStr">
        <is>
          <t>IMAGEN</t>
        </is>
      </c>
      <c r="M101" s="156" t="inlineStr">
        <is>
          <t>Médica Dimegar</t>
        </is>
      </c>
      <c r="N101" s="142" t="n">
        <v>1</v>
      </c>
      <c r="O101" s="142" t="n">
        <v>2</v>
      </c>
      <c r="P101" s="145">
        <f>N101+O101</f>
        <v/>
      </c>
    </row>
    <row r="102" ht="19.95" customHeight="1" s="227">
      <c r="A102" s="137" t="n">
        <v>85</v>
      </c>
      <c r="B102" s="140" t="inlineStr">
        <is>
          <t>BM-078</t>
        </is>
      </c>
      <c r="C102" s="140" t="n">
        <v>222</v>
      </c>
      <c r="D102" s="139" t="inlineStr">
        <is>
          <t>Ing. Axel Evangelista Salinas</t>
        </is>
      </c>
      <c r="E102" s="143" t="inlineStr">
        <is>
          <t>● ROJO</t>
        </is>
      </c>
      <c r="F102" s="154" t="inlineStr">
        <is>
          <t>H.M.Z. La Boticaría</t>
        </is>
      </c>
      <c r="G102" s="161" t="inlineStr">
        <is>
          <t>VERACRUZ</t>
        </is>
      </c>
      <c r="H102" s="154" t="inlineStr">
        <is>
          <t>Ultrasonido oftálmico, marca OPTIKON, modelo HiScan</t>
        </is>
      </c>
      <c r="I102" s="154" t="inlineStr">
        <is>
          <t>OPTIKON</t>
        </is>
      </c>
      <c r="J102" s="154" t="inlineStr">
        <is>
          <t>HiScan</t>
        </is>
      </c>
      <c r="K102" s="137" t="inlineStr">
        <is>
          <t>387BC</t>
        </is>
      </c>
      <c r="L102" s="137" t="inlineStr">
        <is>
          <t>OFTALMO</t>
        </is>
      </c>
      <c r="M102" s="154" t="inlineStr">
        <is>
          <t>OPTIKON</t>
        </is>
      </c>
      <c r="N102" s="137" t="n">
        <v>1</v>
      </c>
      <c r="O102" s="137" t="n">
        <v>2</v>
      </c>
      <c r="P102" s="140">
        <f>N102+O102</f>
        <v/>
      </c>
    </row>
    <row r="103" ht="19.95" customHeight="1" s="227">
      <c r="A103" s="157" t="n">
        <v>86</v>
      </c>
      <c r="B103" s="158" t="inlineStr">
        <is>
          <t>BM-133</t>
        </is>
      </c>
      <c r="C103" s="158" t="n">
        <v>301</v>
      </c>
      <c r="D103" s="159" t="inlineStr">
        <is>
          <t>Ing. Axel Evangelista Salinas</t>
        </is>
      </c>
      <c r="E103" s="143" t="inlineStr">
        <is>
          <t>● ROJO</t>
        </is>
      </c>
      <c r="F103" s="160" t="inlineStr">
        <is>
          <t>Subcentro de Evaluación Médica, Campo Militar 1-A</t>
        </is>
      </c>
      <c r="G103" s="163" t="inlineStr">
        <is>
          <t>CDMX</t>
        </is>
      </c>
      <c r="H103" s="160" t="inlineStr">
        <is>
          <t>Rayos X fijo, marca Osko, modelo XR5</t>
        </is>
      </c>
      <c r="I103" s="160" t="inlineStr">
        <is>
          <t>Osko</t>
        </is>
      </c>
      <c r="J103" s="160" t="inlineStr">
        <is>
          <t>XR5</t>
        </is>
      </c>
      <c r="K103" s="157" t="inlineStr">
        <is>
          <t>XRC1094990MX</t>
        </is>
      </c>
      <c r="L103" s="157" t="inlineStr">
        <is>
          <t>IMAGEN</t>
        </is>
      </c>
      <c r="M103" s="160" t="inlineStr">
        <is>
          <t>Médica Dimegar</t>
        </is>
      </c>
      <c r="N103" s="157" t="n">
        <v>1</v>
      </c>
      <c r="O103" s="157" t="n">
        <v>2</v>
      </c>
      <c r="P103" s="158">
        <f>N103+O103</f>
        <v/>
      </c>
    </row>
    <row r="104" ht="19.95" customHeight="1" s="227">
      <c r="A104" s="157" t="n">
        <v>87</v>
      </c>
      <c r="B104" s="158" t="inlineStr">
        <is>
          <t>BM-134</t>
        </is>
      </c>
      <c r="C104" s="158" t="n">
        <v>302</v>
      </c>
      <c r="D104" s="159" t="inlineStr">
        <is>
          <t>Ing. Axel Evangelista Salinas</t>
        </is>
      </c>
      <c r="E104" s="143" t="inlineStr">
        <is>
          <t>● ROJO</t>
        </is>
      </c>
      <c r="F104" s="160" t="inlineStr">
        <is>
          <t>Subcentro de Evaluación Médica, Campo Militar 1-A</t>
        </is>
      </c>
      <c r="G104" s="163" t="inlineStr">
        <is>
          <t>CDMX</t>
        </is>
      </c>
      <c r="H104" s="160" t="inlineStr">
        <is>
          <t>Rayos X fijo, marca Osko, modelo XR5</t>
        </is>
      </c>
      <c r="I104" s="160" t="inlineStr">
        <is>
          <t>Osko</t>
        </is>
      </c>
      <c r="J104" s="160" t="inlineStr">
        <is>
          <t>XR5</t>
        </is>
      </c>
      <c r="K104" s="157" t="inlineStr">
        <is>
          <t>XRC1095095MX</t>
        </is>
      </c>
      <c r="L104" s="157" t="inlineStr">
        <is>
          <t>IMAGEN</t>
        </is>
      </c>
      <c r="M104" s="160" t="inlineStr">
        <is>
          <t>Médica Dimegar</t>
        </is>
      </c>
      <c r="N104" s="157" t="n">
        <v>1</v>
      </c>
      <c r="O104" s="157" t="n">
        <v>2</v>
      </c>
      <c r="P104" s="158">
        <f>N104+O104</f>
        <v/>
      </c>
    </row>
    <row r="105" ht="19.95" customHeight="1" s="227">
      <c r="A105" s="157" t="n">
        <v>88</v>
      </c>
      <c r="B105" s="158" t="inlineStr">
        <is>
          <t>BM-135</t>
        </is>
      </c>
      <c r="C105" s="158" t="n">
        <v>303</v>
      </c>
      <c r="D105" s="159" t="inlineStr">
        <is>
          <t>Ing. Axel Evangelista Salinas</t>
        </is>
      </c>
      <c r="E105" s="143" t="inlineStr">
        <is>
          <t>● ROJO</t>
        </is>
      </c>
      <c r="F105" s="160" t="inlineStr">
        <is>
          <t>Subcentro de Evaluación Médica, Campo Militar 1-A</t>
        </is>
      </c>
      <c r="G105" s="163" t="inlineStr">
        <is>
          <t>CDMX</t>
        </is>
      </c>
      <c r="H105" s="160" t="inlineStr">
        <is>
          <t>Rayos X fijo, marca Osko, modelo XR5</t>
        </is>
      </c>
      <c r="I105" s="160" t="inlineStr">
        <is>
          <t>Osko</t>
        </is>
      </c>
      <c r="J105" s="160" t="inlineStr">
        <is>
          <t>XR5</t>
        </is>
      </c>
      <c r="K105" s="157" t="inlineStr">
        <is>
          <t>XRC1094988MX</t>
        </is>
      </c>
      <c r="L105" s="157" t="inlineStr">
        <is>
          <t>IMAGEN</t>
        </is>
      </c>
      <c r="M105" s="160" t="inlineStr">
        <is>
          <t>Médica Dimegar</t>
        </is>
      </c>
      <c r="N105" s="157" t="n">
        <v>1</v>
      </c>
      <c r="O105" s="157" t="n">
        <v>2</v>
      </c>
      <c r="P105" s="158">
        <f>N105+O105</f>
        <v/>
      </c>
    </row>
    <row r="106" ht="19.95" customHeight="1" s="227">
      <c r="A106" s="137" t="n">
        <v>89</v>
      </c>
      <c r="B106" s="140" t="inlineStr">
        <is>
          <t>BM-089</t>
        </is>
      </c>
      <c r="C106" s="140" t="n">
        <v>304</v>
      </c>
      <c r="D106" s="139" t="inlineStr">
        <is>
          <t>Ing. Axel Evangelista Salinas</t>
        </is>
      </c>
      <c r="E106" s="143" t="inlineStr">
        <is>
          <t>● ROJO</t>
        </is>
      </c>
      <c r="F106" s="154" t="inlineStr">
        <is>
          <t>Subcentro de Evaluación Médica, Campo Militar 1-A</t>
        </is>
      </c>
      <c r="G106" s="163" t="inlineStr">
        <is>
          <t>CDMX</t>
        </is>
      </c>
      <c r="H106" s="154" t="inlineStr">
        <is>
          <t>Impresora para placas radiográficas, marca Fujifilm, modelo Drypix 8000</t>
        </is>
      </c>
      <c r="I106" s="154" t="inlineStr">
        <is>
          <t>Fujifilm</t>
        </is>
      </c>
      <c r="J106" s="154" t="inlineStr">
        <is>
          <t>Drypix 8000</t>
        </is>
      </c>
      <c r="K106" s="137" t="inlineStr">
        <is>
          <t>17130510</t>
        </is>
      </c>
      <c r="L106" s="137" t="inlineStr">
        <is>
          <t>IMAGEN</t>
        </is>
      </c>
      <c r="M106" s="154" t="inlineStr">
        <is>
          <t>Médica Dimegar</t>
        </is>
      </c>
      <c r="N106" s="137" t="n">
        <v>1</v>
      </c>
      <c r="O106" s="137" t="n">
        <v>2</v>
      </c>
      <c r="P106" s="140">
        <f>N106+O106</f>
        <v/>
      </c>
    </row>
    <row r="107" ht="19.95" customHeight="1" s="227">
      <c r="A107" s="142" t="n">
        <v>90</v>
      </c>
      <c r="B107" s="145" t="inlineStr">
        <is>
          <t>BM-090</t>
        </is>
      </c>
      <c r="C107" s="145" t="n">
        <v>305</v>
      </c>
      <c r="D107" s="144" t="inlineStr">
        <is>
          <t>Ing. Axel Evangelista Salinas</t>
        </is>
      </c>
      <c r="E107" s="143" t="inlineStr">
        <is>
          <t>● ROJO</t>
        </is>
      </c>
      <c r="F107" s="156" t="inlineStr">
        <is>
          <t>Subcentro de Evaluación Médica, Campo Militar 1-A</t>
        </is>
      </c>
      <c r="G107" s="163" t="inlineStr">
        <is>
          <t>CDMX</t>
        </is>
      </c>
      <c r="H107" s="156" t="inlineStr">
        <is>
          <t>Impresora para placas radiográficas, marca Fujifilm, modelo Drypix 8000</t>
        </is>
      </c>
      <c r="I107" s="156" t="inlineStr">
        <is>
          <t>Fujifilm</t>
        </is>
      </c>
      <c r="J107" s="156" t="inlineStr">
        <is>
          <t>Drypix 8000</t>
        </is>
      </c>
      <c r="K107" s="142" t="inlineStr">
        <is>
          <t>17130513</t>
        </is>
      </c>
      <c r="L107" s="142" t="inlineStr">
        <is>
          <t>IMAGEN</t>
        </is>
      </c>
      <c r="M107" s="156" t="inlineStr">
        <is>
          <t>Médica Dimegar</t>
        </is>
      </c>
      <c r="N107" s="142" t="n">
        <v>1</v>
      </c>
      <c r="O107" s="142" t="n">
        <v>2</v>
      </c>
      <c r="P107" s="145">
        <f>N107+O107</f>
        <v/>
      </c>
    </row>
    <row r="108" ht="19.95" customHeight="1" s="227">
      <c r="A108" s="137" t="n">
        <v>91</v>
      </c>
      <c r="B108" s="140" t="inlineStr">
        <is>
          <t>BM-091</t>
        </is>
      </c>
      <c r="C108" s="140" t="n">
        <v>306</v>
      </c>
      <c r="D108" s="139" t="inlineStr">
        <is>
          <t>Ing. Axel Evangelista Salinas</t>
        </is>
      </c>
      <c r="E108" s="143" t="inlineStr">
        <is>
          <t>● ROJO</t>
        </is>
      </c>
      <c r="F108" s="154" t="inlineStr">
        <is>
          <t>Subcentro de Evaluación Médica, Campo Militar 1-A</t>
        </is>
      </c>
      <c r="G108" s="163" t="inlineStr">
        <is>
          <t>CDMX</t>
        </is>
      </c>
      <c r="H108" s="154" t="inlineStr">
        <is>
          <t>Impresora para placas radiográficas, marca Fujifilm, modelo Drypix 8000</t>
        </is>
      </c>
      <c r="I108" s="154" t="inlineStr">
        <is>
          <t>Fujifilm</t>
        </is>
      </c>
      <c r="J108" s="154" t="inlineStr">
        <is>
          <t>Drypix 8000</t>
        </is>
      </c>
      <c r="K108" s="137" t="inlineStr">
        <is>
          <t>17130554</t>
        </is>
      </c>
      <c r="L108" s="137" t="inlineStr">
        <is>
          <t>IMAGEN</t>
        </is>
      </c>
      <c r="M108" s="154" t="inlineStr">
        <is>
          <t>Médica Dimegar</t>
        </is>
      </c>
      <c r="N108" s="137" t="n">
        <v>1</v>
      </c>
      <c r="O108" s="137" t="n">
        <v>2</v>
      </c>
      <c r="P108" s="140">
        <f>N108+O108</f>
        <v/>
      </c>
    </row>
    <row r="109" ht="19.95" customHeight="1" s="227">
      <c r="A109" s="142" t="n">
        <v>92</v>
      </c>
      <c r="B109" s="145" t="inlineStr">
        <is>
          <t>BM-092</t>
        </is>
      </c>
      <c r="C109" s="145" t="n">
        <v>307</v>
      </c>
      <c r="D109" s="144" t="inlineStr">
        <is>
          <t>Ing. Axel Evangelista Salinas</t>
        </is>
      </c>
      <c r="E109" s="143" t="inlineStr">
        <is>
          <t>● ROJO</t>
        </is>
      </c>
      <c r="F109" s="156" t="inlineStr">
        <is>
          <t>Subcentro de Evaluación Médica, Campo Militar 1-A</t>
        </is>
      </c>
      <c r="G109" s="163" t="inlineStr">
        <is>
          <t>CDMX</t>
        </is>
      </c>
      <c r="H109" s="156" t="inlineStr">
        <is>
          <t>Cámara de Scheimpflug, marca Oculus, modelo Pentacam HR</t>
        </is>
      </c>
      <c r="I109" s="156" t="inlineStr">
        <is>
          <t>Oculus</t>
        </is>
      </c>
      <c r="J109" s="156" t="inlineStr">
        <is>
          <t>Pentacam HR</t>
        </is>
      </c>
      <c r="K109" s="142" t="inlineStr">
        <is>
          <t>70900 2455 1210</t>
        </is>
      </c>
      <c r="L109" s="142" t="inlineStr">
        <is>
          <t>OFTALMO</t>
        </is>
      </c>
      <c r="M109" s="156" t="inlineStr">
        <is>
          <t>CYAN</t>
        </is>
      </c>
      <c r="N109" s="142" t="n">
        <v>1</v>
      </c>
      <c r="O109" s="142" t="n">
        <v>2</v>
      </c>
      <c r="P109" s="145">
        <f>N109+O109</f>
        <v/>
      </c>
    </row>
    <row r="110" ht="19.95" customHeight="1" s="227">
      <c r="A110" s="157" t="n">
        <v>93</v>
      </c>
      <c r="B110" s="158" t="inlineStr">
        <is>
          <t>BM-120</t>
        </is>
      </c>
      <c r="C110" s="158" t="n">
        <v>175</v>
      </c>
      <c r="D110" s="159" t="inlineStr">
        <is>
          <t>Ing. Rogelio Ramos Centeno</t>
        </is>
      </c>
      <c r="E110" s="147" t="inlineStr">
        <is>
          <t>● DORADO</t>
        </is>
      </c>
      <c r="F110" s="160" t="inlineStr">
        <is>
          <t>H.M.R. El Ciprés</t>
        </is>
      </c>
      <c r="G110" s="164" t="inlineStr">
        <is>
          <t>BAJA CALIFORNIA</t>
        </is>
      </c>
      <c r="H110" s="160" t="inlineStr">
        <is>
          <t>Equipo de rayos X móvil, marca Technix, modelo TMS 320</t>
        </is>
      </c>
      <c r="I110" s="160" t="inlineStr">
        <is>
          <t>Technix</t>
        </is>
      </c>
      <c r="J110" s="160" t="inlineStr">
        <is>
          <t>TMS 320</t>
        </is>
      </c>
      <c r="K110" s="157" t="inlineStr">
        <is>
          <t>80-16-81-152</t>
        </is>
      </c>
      <c r="L110" s="157" t="inlineStr">
        <is>
          <t>IMAGEN</t>
        </is>
      </c>
      <c r="M110" s="160" t="inlineStr">
        <is>
          <t>Médica Dimegar</t>
        </is>
      </c>
      <c r="N110" s="157" t="n">
        <v>1</v>
      </c>
      <c r="O110" s="157" t="n">
        <v>2</v>
      </c>
      <c r="P110" s="158">
        <f>N110+O110</f>
        <v/>
      </c>
    </row>
    <row r="111" ht="19.95" customHeight="1" s="227">
      <c r="A111" s="157" t="n">
        <v>94</v>
      </c>
      <c r="B111" s="158" t="inlineStr">
        <is>
          <t>BM-116</t>
        </is>
      </c>
      <c r="C111" s="158" t="n">
        <v>167</v>
      </c>
      <c r="D111" s="159" t="inlineStr">
        <is>
          <t>Ing. Rogelio Ramos Centeno</t>
        </is>
      </c>
      <c r="E111" s="147" t="inlineStr">
        <is>
          <t>● DORADO</t>
        </is>
      </c>
      <c r="F111" s="160" t="inlineStr">
        <is>
          <t>H.M.R. Hermosillo</t>
        </is>
      </c>
      <c r="G111" s="164" t="inlineStr">
        <is>
          <t>SONORA</t>
        </is>
      </c>
      <c r="H111" s="160" t="inlineStr">
        <is>
          <t>Equipo de rayos X móvil, marca Technix, modelo TMS 320</t>
        </is>
      </c>
      <c r="I111" s="160" t="inlineStr">
        <is>
          <t>Technix</t>
        </is>
      </c>
      <c r="J111" s="160" t="inlineStr">
        <is>
          <t>TMS 320</t>
        </is>
      </c>
      <c r="K111" s="157" t="inlineStr">
        <is>
          <t>80-16-80-151</t>
        </is>
      </c>
      <c r="L111" s="157" t="inlineStr">
        <is>
          <t>IMAGEN</t>
        </is>
      </c>
      <c r="M111" s="160" t="inlineStr">
        <is>
          <t>Médica Dimegar</t>
        </is>
      </c>
      <c r="N111" s="157" t="n">
        <v>1</v>
      </c>
      <c r="O111" s="157" t="n">
        <v>2</v>
      </c>
      <c r="P111" s="158">
        <f>N111+O111</f>
        <v/>
      </c>
    </row>
    <row r="112" ht="19.95" customHeight="1" s="227">
      <c r="A112" s="157" t="n">
        <v>95</v>
      </c>
      <c r="B112" s="158" t="inlineStr">
        <is>
          <t>BM-136</t>
        </is>
      </c>
      <c r="C112" s="158" t="n">
        <v>309</v>
      </c>
      <c r="D112" s="159" t="inlineStr">
        <is>
          <t>Ing. Rogelio Ramos Centeno</t>
        </is>
      </c>
      <c r="E112" s="147" t="inlineStr">
        <is>
          <t>● DORADO</t>
        </is>
      </c>
      <c r="F112" s="160" t="inlineStr">
        <is>
          <t>H.M.R. La Paz</t>
        </is>
      </c>
      <c r="G112" s="165" t="inlineStr">
        <is>
          <t>BAJA CALIFORNIA</t>
        </is>
      </c>
      <c r="H112" s="160" t="inlineStr">
        <is>
          <t>Equipo de rayos X móvil, marca Technix, modelo TMS 320</t>
        </is>
      </c>
      <c r="I112" s="160" t="inlineStr">
        <is>
          <t>Technix</t>
        </is>
      </c>
      <c r="J112" s="160" t="inlineStr">
        <is>
          <t>TMS 320</t>
        </is>
      </c>
      <c r="K112" s="157" t="inlineStr">
        <is>
          <t>80-16-82-153</t>
        </is>
      </c>
      <c r="L112" s="157" t="inlineStr">
        <is>
          <t>IMAGEN</t>
        </is>
      </c>
      <c r="M112" s="160" t="inlineStr">
        <is>
          <t>Médica Dimegar</t>
        </is>
      </c>
      <c r="N112" s="157" t="n">
        <v>1</v>
      </c>
      <c r="O112" s="157" t="n">
        <v>2</v>
      </c>
      <c r="P112" s="158">
        <f>N112+O112</f>
        <v/>
      </c>
    </row>
    <row r="113" ht="19.95" customHeight="1" s="227">
      <c r="A113" s="142" t="n">
        <v>96</v>
      </c>
      <c r="B113" s="145" t="inlineStr">
        <is>
          <t>BM-093</t>
        </is>
      </c>
      <c r="C113" s="145" t="n">
        <v>310</v>
      </c>
      <c r="D113" s="144" t="inlineStr">
        <is>
          <t>Ing. Rogelio Ramos Centeno</t>
        </is>
      </c>
      <c r="E113" s="147" t="inlineStr">
        <is>
          <t>● DORADO</t>
        </is>
      </c>
      <c r="F113" s="156" t="inlineStr">
        <is>
          <t>H.M.R. La Paz</t>
        </is>
      </c>
      <c r="G113" s="165" t="inlineStr">
        <is>
          <t>BAJA CALIFORNIA</t>
        </is>
      </c>
      <c r="H113" s="156" t="inlineStr">
        <is>
          <t>Fotocoagulador láser , marca Quantel Medical, modelo Supra Scan</t>
        </is>
      </c>
      <c r="I113" s="156" t="inlineStr">
        <is>
          <t>Quantel Medical</t>
        </is>
      </c>
      <c r="J113" s="156" t="inlineStr">
        <is>
          <t>Supra Scan</t>
        </is>
      </c>
      <c r="K113" s="142" t="inlineStr">
        <is>
          <t>454</t>
        </is>
      </c>
      <c r="L113" s="142" t="inlineStr">
        <is>
          <t>OFTALMO</t>
        </is>
      </c>
      <c r="M113" s="156" t="inlineStr">
        <is>
          <t>ARFAMEX</t>
        </is>
      </c>
      <c r="N113" s="142" t="n">
        <v>1</v>
      </c>
      <c r="O113" s="142" t="n">
        <v>2</v>
      </c>
      <c r="P113" s="145">
        <f>N113+O113</f>
        <v/>
      </c>
    </row>
    <row r="114" ht="19.95" customHeight="1" s="227">
      <c r="A114" s="157" t="n">
        <v>97</v>
      </c>
      <c r="B114" s="158" t="inlineStr">
        <is>
          <t>BM-121</t>
        </is>
      </c>
      <c r="C114" s="158" t="n">
        <v>179</v>
      </c>
      <c r="D114" s="159" t="inlineStr">
        <is>
          <t>Ing. Rogelio Ramos Centeno</t>
        </is>
      </c>
      <c r="E114" s="147" t="inlineStr">
        <is>
          <t>● DORADO</t>
        </is>
      </c>
      <c r="F114" s="160" t="inlineStr">
        <is>
          <t>H.M.R.E. Guadalajara</t>
        </is>
      </c>
      <c r="G114" s="165" t="inlineStr">
        <is>
          <t>JALISCO</t>
        </is>
      </c>
      <c r="H114" s="160" t="inlineStr">
        <is>
          <t>Equipo de rayos X móvil, marca Technix, modelo TMS 320</t>
        </is>
      </c>
      <c r="I114" s="160" t="inlineStr">
        <is>
          <t>Technix</t>
        </is>
      </c>
      <c r="J114" s="160" t="inlineStr">
        <is>
          <t>TMS 320</t>
        </is>
      </c>
      <c r="K114" s="157" t="inlineStr">
        <is>
          <t>80-16-91-162</t>
        </is>
      </c>
      <c r="L114" s="157" t="inlineStr">
        <is>
          <t>IMAGEN</t>
        </is>
      </c>
      <c r="M114" s="160" t="inlineStr">
        <is>
          <t>Médica Dimegar</t>
        </is>
      </c>
      <c r="N114" s="157" t="n">
        <v>1</v>
      </c>
      <c r="O114" s="157" t="n">
        <v>2</v>
      </c>
      <c r="P114" s="158">
        <f>N114+O114</f>
        <v/>
      </c>
    </row>
    <row r="115" ht="19.95" customHeight="1" s="227">
      <c r="A115" s="142" t="n">
        <v>98</v>
      </c>
      <c r="B115" s="145" t="inlineStr">
        <is>
          <t>BM-099</t>
        </is>
      </c>
      <c r="C115" s="145" t="n">
        <v>358</v>
      </c>
      <c r="D115" s="144" t="inlineStr">
        <is>
          <t>Ing. Rogelio Ramos Centeno</t>
        </is>
      </c>
      <c r="E115" s="147" t="inlineStr">
        <is>
          <t>● DORADO</t>
        </is>
      </c>
      <c r="F115" s="156" t="inlineStr">
        <is>
          <t>H.M.R.E. Guadalajara</t>
        </is>
      </c>
      <c r="G115" s="165" t="inlineStr">
        <is>
          <t>JALISCO</t>
        </is>
      </c>
      <c r="H115" s="156" t="inlineStr">
        <is>
          <t>Microscopio, marca Carl Zeiss, modelo OPMI Visu 160</t>
        </is>
      </c>
      <c r="I115" s="156" t="inlineStr">
        <is>
          <t>Carl Zeiss</t>
        </is>
      </c>
      <c r="J115" s="156" t="inlineStr">
        <is>
          <t>OPMI Visu 160</t>
        </is>
      </c>
      <c r="K115" s="142" t="inlineStr">
        <is>
          <t>6213404030</t>
        </is>
      </c>
      <c r="L115" s="142" t="inlineStr">
        <is>
          <t>OFTALMO</t>
        </is>
      </c>
      <c r="M115" s="156" t="inlineStr">
        <is>
          <t>ZEISS</t>
        </is>
      </c>
      <c r="N115" s="142" t="n">
        <v>1</v>
      </c>
      <c r="O115" s="142" t="n">
        <v>2</v>
      </c>
      <c r="P115" s="145">
        <f>N115+O115</f>
        <v/>
      </c>
    </row>
    <row r="116" ht="19.95" customHeight="1" s="227">
      <c r="A116" s="157" t="n">
        <v>99</v>
      </c>
      <c r="B116" s="158" t="inlineStr">
        <is>
          <t>BM-110</t>
        </is>
      </c>
      <c r="C116" s="158" t="n">
        <v>152</v>
      </c>
      <c r="D116" s="159" t="inlineStr">
        <is>
          <t>Ing. Rogelio Ramos Centeno</t>
        </is>
      </c>
      <c r="E116" s="147" t="inlineStr">
        <is>
          <t>● DORADO</t>
        </is>
      </c>
      <c r="F116" s="160" t="inlineStr">
        <is>
          <t>H.M.R.E. Mazatlán</t>
        </is>
      </c>
      <c r="G116" s="166" t="inlineStr">
        <is>
          <t>SINALOA</t>
        </is>
      </c>
      <c r="H116" s="160" t="inlineStr">
        <is>
          <t>Impresora para placas radiográficas, marca Codonics, modelo Horizon Ci</t>
        </is>
      </c>
      <c r="I116" s="160" t="inlineStr">
        <is>
          <t>Codonics</t>
        </is>
      </c>
      <c r="J116" s="160" t="inlineStr">
        <is>
          <t>Horizon Ci</t>
        </is>
      </c>
      <c r="K116" s="157" t="inlineStr">
        <is>
          <t>50C00404C</t>
        </is>
      </c>
      <c r="L116" s="157" t="inlineStr">
        <is>
          <t>IMAGEN</t>
        </is>
      </c>
      <c r="M116" s="160" t="inlineStr">
        <is>
          <t>Médica Dimegar</t>
        </is>
      </c>
      <c r="N116" s="157" t="n">
        <v>1</v>
      </c>
      <c r="O116" s="157" t="n">
        <v>2</v>
      </c>
      <c r="P116" s="158">
        <f>N116+O116</f>
        <v/>
      </c>
    </row>
    <row r="117" ht="19.95" customHeight="1" s="227">
      <c r="A117" s="142" t="n">
        <v>100</v>
      </c>
      <c r="B117" s="145" t="inlineStr">
        <is>
          <t>BM-068</t>
        </is>
      </c>
      <c r="C117" s="145" t="n">
        <v>154</v>
      </c>
      <c r="D117" s="144" t="inlineStr">
        <is>
          <t>Ing. Rogelio Ramos Centeno</t>
        </is>
      </c>
      <c r="E117" s="147" t="inlineStr">
        <is>
          <t>● DORADO</t>
        </is>
      </c>
      <c r="F117" s="156" t="inlineStr">
        <is>
          <t>H.M.R.E. Mazatlán</t>
        </is>
      </c>
      <c r="G117" s="166" t="inlineStr">
        <is>
          <t>SINALOA</t>
        </is>
      </c>
      <c r="H117" s="156" t="inlineStr">
        <is>
          <t>Microscopio para cirugía, marca Haag-Streit Surgical, modelo Moller Wedel</t>
        </is>
      </c>
      <c r="I117" s="156" t="inlineStr">
        <is>
          <t>Haag-Streit Surgical</t>
        </is>
      </c>
      <c r="J117" s="156" t="inlineStr">
        <is>
          <t>Moller Wedel</t>
        </is>
      </c>
      <c r="K117" s="142" t="inlineStr">
        <is>
          <t>30155514</t>
        </is>
      </c>
      <c r="L117" s="142" t="inlineStr">
        <is>
          <t>OFTALMO</t>
        </is>
      </c>
      <c r="M117" s="156" t="inlineStr">
        <is>
          <t>DEWIMED</t>
        </is>
      </c>
      <c r="N117" s="142" t="n">
        <v>1</v>
      </c>
      <c r="O117" s="142" t="n">
        <v>2</v>
      </c>
      <c r="P117" s="145">
        <f>N117+O117</f>
        <v/>
      </c>
    </row>
    <row r="118" ht="19.95" customHeight="1" s="227">
      <c r="A118" s="157" t="n">
        <v>101</v>
      </c>
      <c r="B118" s="158" t="inlineStr">
        <is>
          <t>BM-122</t>
        </is>
      </c>
      <c r="C118" s="158" t="n">
        <v>183</v>
      </c>
      <c r="D118" s="159" t="inlineStr">
        <is>
          <t>Ing. Rogelio Ramos Centeno</t>
        </is>
      </c>
      <c r="E118" s="147" t="inlineStr">
        <is>
          <t>● DORADO</t>
        </is>
      </c>
      <c r="F118" s="160" t="inlineStr">
        <is>
          <t>H.M.R.E. Mazatlán</t>
        </is>
      </c>
      <c r="G118" s="166" t="inlineStr">
        <is>
          <t>SINALOA</t>
        </is>
      </c>
      <c r="H118" s="160" t="inlineStr">
        <is>
          <t>Impresora para placas radiográficas, marca Fujifilm, modelo Drypix Smart</t>
        </is>
      </c>
      <c r="I118" s="160" t="inlineStr">
        <is>
          <t>Fujifilm</t>
        </is>
      </c>
      <c r="J118" s="160" t="inlineStr">
        <is>
          <t>Drypix Smart</t>
        </is>
      </c>
      <c r="K118" s="157" t="inlineStr">
        <is>
          <t>56728475</t>
        </is>
      </c>
      <c r="L118" s="157" t="inlineStr">
        <is>
          <t>IMAGEN</t>
        </is>
      </c>
      <c r="M118" s="160" t="inlineStr">
        <is>
          <t>Médica Dimegar</t>
        </is>
      </c>
      <c r="N118" s="157" t="n">
        <v>1</v>
      </c>
      <c r="O118" s="157" t="n">
        <v>2</v>
      </c>
      <c r="P118" s="158">
        <f>N118+O118</f>
        <v/>
      </c>
    </row>
    <row r="119" ht="19.95" customHeight="1" s="227">
      <c r="A119" s="157" t="n">
        <v>102</v>
      </c>
      <c r="B119" s="158" t="inlineStr">
        <is>
          <t>BM-123</t>
        </is>
      </c>
      <c r="C119" s="158" t="n">
        <v>184</v>
      </c>
      <c r="D119" s="159" t="inlineStr">
        <is>
          <t>Ing. Rogelio Ramos Centeno</t>
        </is>
      </c>
      <c r="E119" s="147" t="inlineStr">
        <is>
          <t>● DORADO</t>
        </is>
      </c>
      <c r="F119" s="160" t="inlineStr">
        <is>
          <t>H.M.R.E. Mazatlán</t>
        </is>
      </c>
      <c r="G119" s="166" t="inlineStr">
        <is>
          <t>SINALOA</t>
        </is>
      </c>
      <c r="H119" s="160" t="inlineStr">
        <is>
          <t>Impresora para placas radiográficas, marca Fujifilm, modelo Drypix Smart</t>
        </is>
      </c>
      <c r="I119" s="160" t="inlineStr">
        <is>
          <t>Fujifilm</t>
        </is>
      </c>
      <c r="J119" s="160" t="inlineStr">
        <is>
          <t>Drypix Smart</t>
        </is>
      </c>
      <c r="K119" s="157" t="inlineStr">
        <is>
          <t>66131122</t>
        </is>
      </c>
      <c r="L119" s="157" t="inlineStr">
        <is>
          <t>IMAGEN</t>
        </is>
      </c>
      <c r="M119" s="160" t="inlineStr">
        <is>
          <t>Médica Dimegar</t>
        </is>
      </c>
      <c r="N119" s="157" t="n">
        <v>1</v>
      </c>
      <c r="O119" s="157" t="n">
        <v>2</v>
      </c>
      <c r="P119" s="158">
        <f>N119+O119</f>
        <v/>
      </c>
    </row>
    <row r="120" ht="19.95" customHeight="1" s="227">
      <c r="A120" s="157" t="n">
        <v>103</v>
      </c>
      <c r="B120" s="158" t="inlineStr">
        <is>
          <t>BM-137</t>
        </is>
      </c>
      <c r="C120" s="158" t="n">
        <v>313</v>
      </c>
      <c r="D120" s="159" t="inlineStr">
        <is>
          <t>Ing. Rogelio Ramos Centeno</t>
        </is>
      </c>
      <c r="E120" s="147" t="inlineStr">
        <is>
          <t>● DORADO</t>
        </is>
      </c>
      <c r="F120" s="160" t="inlineStr">
        <is>
          <t>H.M.R.E. Mazatlán</t>
        </is>
      </c>
      <c r="G120" s="166" t="inlineStr">
        <is>
          <t>SINALOA</t>
        </is>
      </c>
      <c r="H120" s="160" t="inlineStr">
        <is>
          <t>Rayos X móvil, marca Villa Sistemi Medicali, modelo Visitor T30 M-DR</t>
        </is>
      </c>
      <c r="I120" s="160" t="inlineStr">
        <is>
          <t>Villa Sistemi Medicali</t>
        </is>
      </c>
      <c r="J120" s="160" t="inlineStr">
        <is>
          <t>Visitor T30 M-DR</t>
        </is>
      </c>
      <c r="K120" s="157" t="inlineStr">
        <is>
          <t>14-11-1038</t>
        </is>
      </c>
      <c r="L120" s="157" t="inlineStr">
        <is>
          <t>IMAGEN</t>
        </is>
      </c>
      <c r="M120" s="160" t="inlineStr">
        <is>
          <t>Médica Dimegar</t>
        </is>
      </c>
      <c r="N120" s="157" t="n">
        <v>1</v>
      </c>
      <c r="O120" s="157" t="n">
        <v>2</v>
      </c>
      <c r="P120" s="158">
        <f>N120+O120</f>
        <v/>
      </c>
    </row>
    <row r="121" ht="19.95" customHeight="1" s="227">
      <c r="A121" s="157" t="n">
        <v>104</v>
      </c>
      <c r="B121" s="158" t="inlineStr">
        <is>
          <t>BM-119</t>
        </is>
      </c>
      <c r="C121" s="158" t="n">
        <v>172</v>
      </c>
      <c r="D121" s="159" t="inlineStr">
        <is>
          <t>Ing. Rogelio Ramos Centeno</t>
        </is>
      </c>
      <c r="E121" s="147" t="inlineStr">
        <is>
          <t>● DORADO</t>
        </is>
      </c>
      <c r="F121" s="160" t="inlineStr">
        <is>
          <t>H.M.Z. Mexicali</t>
        </is>
      </c>
      <c r="G121" s="164" t="inlineStr">
        <is>
          <t>BAJA CALIFORNIA</t>
        </is>
      </c>
      <c r="H121" s="160" t="inlineStr">
        <is>
          <t>Equipo de rayos X móvil, marca Technix, modelo TMS 320</t>
        </is>
      </c>
      <c r="I121" s="160" t="inlineStr">
        <is>
          <t>Technix</t>
        </is>
      </c>
      <c r="J121" s="160" t="inlineStr">
        <is>
          <t>TMS 320</t>
        </is>
      </c>
      <c r="K121" s="157" t="inlineStr">
        <is>
          <t>80-16-83-154</t>
        </is>
      </c>
      <c r="L121" s="157" t="inlineStr">
        <is>
          <t>IMAGEN</t>
        </is>
      </c>
      <c r="M121" s="160" t="inlineStr">
        <is>
          <t>Médica Dimegar</t>
        </is>
      </c>
      <c r="N121" s="157" t="n">
        <v>1</v>
      </c>
      <c r="O121" s="157" t="n">
        <v>2</v>
      </c>
      <c r="P121" s="158">
        <f>N121+O121</f>
        <v/>
      </c>
    </row>
    <row r="122" ht="19.95" customHeight="1" s="227">
      <c r="A122" s="157" t="n">
        <v>105</v>
      </c>
      <c r="B122" s="158" t="inlineStr">
        <is>
          <t>BM-113</t>
        </is>
      </c>
      <c r="C122" s="158" t="n">
        <v>164</v>
      </c>
      <c r="D122" s="159" t="inlineStr">
        <is>
          <t>Ing. Rogelio Ramos Centeno</t>
        </is>
      </c>
      <c r="E122" s="147" t="inlineStr">
        <is>
          <t>● DORADO</t>
        </is>
      </c>
      <c r="F122" s="160" t="inlineStr">
        <is>
          <t>H.M.Z. Zapopan</t>
        </is>
      </c>
      <c r="G122" s="166" t="inlineStr">
        <is>
          <t>JALISCO</t>
        </is>
      </c>
      <c r="H122" s="160" t="inlineStr">
        <is>
          <t>Equipo de rayos X móvil, marca Technix, modelo TMS 320</t>
        </is>
      </c>
      <c r="I122" s="160" t="inlineStr">
        <is>
          <t>Technix</t>
        </is>
      </c>
      <c r="J122" s="160" t="inlineStr">
        <is>
          <t>TMS 320</t>
        </is>
      </c>
      <c r="K122" s="157" t="inlineStr">
        <is>
          <t>80-16-95-166</t>
        </is>
      </c>
      <c r="L122" s="157" t="inlineStr">
        <is>
          <t>IMAGEN</t>
        </is>
      </c>
      <c r="M122" s="160" t="inlineStr">
        <is>
          <t>Médica Dimegar</t>
        </is>
      </c>
      <c r="N122" s="157" t="n">
        <v>1</v>
      </c>
      <c r="O122" s="157" t="n">
        <v>2</v>
      </c>
      <c r="P122" s="158">
        <f>N122+O122</f>
        <v/>
      </c>
    </row>
    <row r="123" ht="19.95" customHeight="1" s="227">
      <c r="A123" s="142" t="n">
        <v>106</v>
      </c>
      <c r="B123" s="145" t="inlineStr">
        <is>
          <t>BM-095</t>
        </is>
      </c>
      <c r="C123" s="145" t="n">
        <v>321</v>
      </c>
      <c r="D123" s="144" t="inlineStr">
        <is>
          <t>Ing. Rogelio Ramos Centeno</t>
        </is>
      </c>
      <c r="E123" s="147" t="inlineStr">
        <is>
          <t>● DORADO</t>
        </is>
      </c>
      <c r="F123" s="156" t="inlineStr">
        <is>
          <t>H.M.Z. Zapopan</t>
        </is>
      </c>
      <c r="G123" s="166" t="inlineStr">
        <is>
          <t>JALISCO</t>
        </is>
      </c>
      <c r="H123" s="156" t="inlineStr">
        <is>
          <t>Microscopio quirúrgico oftalmológico, marca Leica, modelo M822 F40</t>
        </is>
      </c>
      <c r="I123" s="156" t="inlineStr">
        <is>
          <t>Leica</t>
        </is>
      </c>
      <c r="J123" s="156" t="inlineStr">
        <is>
          <t>M822 F40</t>
        </is>
      </c>
      <c r="K123" s="142" t="inlineStr">
        <is>
          <t>160219002</t>
        </is>
      </c>
      <c r="L123" s="142" t="inlineStr">
        <is>
          <t>OFTALMO</t>
        </is>
      </c>
      <c r="M123" s="156" t="inlineStr">
        <is>
          <t>COINDISA</t>
        </is>
      </c>
      <c r="N123" s="142" t="n">
        <v>1</v>
      </c>
      <c r="O123" s="142" t="n">
        <v>2</v>
      </c>
      <c r="P123" s="145">
        <f>N123+O123</f>
        <v/>
      </c>
    </row>
    <row r="124" ht="19.95" customHeight="1" s="227">
      <c r="A124" s="137" t="n">
        <v>107</v>
      </c>
      <c r="B124" s="140" t="inlineStr">
        <is>
          <t>BM-082</t>
        </is>
      </c>
      <c r="C124" s="140" t="n">
        <v>232</v>
      </c>
      <c r="D124" s="139" t="inlineStr">
        <is>
          <t>Ing. Jose Jorge Olivares Velazquez</t>
        </is>
      </c>
      <c r="E124" s="148" t="inlineStr">
        <is>
          <t>● AZUL</t>
        </is>
      </c>
      <c r="F124" s="154" t="inlineStr">
        <is>
          <t>H.M.R. Acapulco</t>
        </is>
      </c>
      <c r="G124" s="167" t="inlineStr">
        <is>
          <t>GUERRERO</t>
        </is>
      </c>
      <c r="H124" s="154" t="inlineStr">
        <is>
          <t>Digitalizador de placas radiográficas, marca Fujifilm, modelo CR-IR359</t>
        </is>
      </c>
      <c r="I124" s="154" t="inlineStr">
        <is>
          <t>Fujifilm</t>
        </is>
      </c>
      <c r="J124" s="154" t="inlineStr">
        <is>
          <t>CR-IR359</t>
        </is>
      </c>
      <c r="K124" s="137" t="inlineStr">
        <is>
          <t>46270262</t>
        </is>
      </c>
      <c r="L124" s="137" t="inlineStr">
        <is>
          <t>IMAGEN</t>
        </is>
      </c>
      <c r="M124" s="154" t="inlineStr">
        <is>
          <t>Médica Dimegar</t>
        </is>
      </c>
      <c r="N124" s="137" t="n">
        <v>1</v>
      </c>
      <c r="O124" s="137" t="n">
        <v>2</v>
      </c>
      <c r="P124" s="140">
        <f>N124+O124</f>
        <v/>
      </c>
    </row>
    <row r="125" ht="19.95" customHeight="1" s="227">
      <c r="A125" s="157" t="n">
        <v>108</v>
      </c>
      <c r="B125" s="158" t="inlineStr">
        <is>
          <t>BM-128</t>
        </is>
      </c>
      <c r="C125" s="158" t="n">
        <v>223</v>
      </c>
      <c r="D125" s="159" t="inlineStr">
        <is>
          <t>Ing. Jose Jorge Olivares Velazquez</t>
        </is>
      </c>
      <c r="E125" s="148" t="inlineStr">
        <is>
          <t>● AZUL</t>
        </is>
      </c>
      <c r="F125" s="160" t="inlineStr">
        <is>
          <t>H.M.R. Chilpancingo</t>
        </is>
      </c>
      <c r="G125" s="168" t="inlineStr">
        <is>
          <t>GUERRERO</t>
        </is>
      </c>
      <c r="H125" s="160" t="inlineStr">
        <is>
          <t>Rayos X móvil, marca Shimadzu, modelo MobileArt Evolution</t>
        </is>
      </c>
      <c r="I125" s="160" t="inlineStr">
        <is>
          <t>Shimadzu</t>
        </is>
      </c>
      <c r="J125" s="160" t="inlineStr">
        <is>
          <t>MobileArt Evolution</t>
        </is>
      </c>
      <c r="K125" s="157" t="inlineStr">
        <is>
          <t>41000333B017</t>
        </is>
      </c>
      <c r="L125" s="157" t="inlineStr">
        <is>
          <t>IMAGEN</t>
        </is>
      </c>
      <c r="M125" s="160" t="inlineStr">
        <is>
          <t>Médica Dimegar</t>
        </is>
      </c>
      <c r="N125" s="157" t="n">
        <v>1</v>
      </c>
      <c r="O125" s="157" t="n">
        <v>2</v>
      </c>
      <c r="P125" s="158">
        <f>N125+O125</f>
        <v/>
      </c>
    </row>
    <row r="126" ht="19.95" customHeight="1" s="227">
      <c r="A126" s="137" t="n">
        <v>109</v>
      </c>
      <c r="B126" s="140" t="inlineStr">
        <is>
          <t>BM-064</t>
        </is>
      </c>
      <c r="C126" s="140" t="n">
        <v>87</v>
      </c>
      <c r="D126" s="139" t="inlineStr">
        <is>
          <t>Ing. Jose Jorge Olivares Velazquez</t>
        </is>
      </c>
      <c r="E126" s="148" t="inlineStr">
        <is>
          <t>● AZUL</t>
        </is>
      </c>
      <c r="F126" s="154" t="inlineStr">
        <is>
          <t>H.M.R. Santa Lucía</t>
        </is>
      </c>
      <c r="G126" s="167" t="inlineStr">
        <is>
          <t>EDO DE MEX</t>
        </is>
      </c>
      <c r="H126" s="154" t="inlineStr">
        <is>
          <t>Autoqueratorrefractor, marca Nidek, modelo ARK-F</t>
        </is>
      </c>
      <c r="I126" s="154" t="inlineStr">
        <is>
          <t>Nidek</t>
        </is>
      </c>
      <c r="J126" s="154" t="inlineStr">
        <is>
          <t>ARK-F</t>
        </is>
      </c>
      <c r="K126" s="137" t="inlineStr">
        <is>
          <t>270010</t>
        </is>
      </c>
      <c r="L126" s="137" t="inlineStr">
        <is>
          <t>OFTALMO</t>
        </is>
      </c>
      <c r="M126" s="154" t="inlineStr">
        <is>
          <t>S4</t>
        </is>
      </c>
      <c r="N126" s="137" t="n">
        <v>1</v>
      </c>
      <c r="O126" s="137" t="n">
        <v>2</v>
      </c>
      <c r="P126" s="140">
        <f>N126+O126</f>
        <v/>
      </c>
    </row>
    <row r="127" ht="19.95" customHeight="1" s="227">
      <c r="A127" s="142" t="n">
        <v>110</v>
      </c>
      <c r="B127" s="145" t="inlineStr">
        <is>
          <t>BM-065</t>
        </is>
      </c>
      <c r="C127" s="145" t="n">
        <v>88</v>
      </c>
      <c r="D127" s="144" t="inlineStr">
        <is>
          <t>Ing. Jose Jorge Olivares Velazquez</t>
        </is>
      </c>
      <c r="E127" s="148" t="inlineStr">
        <is>
          <t>● AZUL</t>
        </is>
      </c>
      <c r="F127" s="156" t="inlineStr">
        <is>
          <t>H.M.R. Santa Lucía</t>
        </is>
      </c>
      <c r="G127" s="167" t="inlineStr">
        <is>
          <t>EDO DE MEX</t>
        </is>
      </c>
      <c r="H127" s="156" t="inlineStr">
        <is>
          <t>Tomógrafo-topógrafo corneal, marca CSO, modelo Sirius</t>
        </is>
      </c>
      <c r="I127" s="156" t="inlineStr">
        <is>
          <t>CSO</t>
        </is>
      </c>
      <c r="J127" s="156" t="inlineStr">
        <is>
          <t>Sirius</t>
        </is>
      </c>
      <c r="K127" s="142" t="inlineStr">
        <is>
          <t>21091186</t>
        </is>
      </c>
      <c r="L127" s="142" t="inlineStr">
        <is>
          <t>OFTALMO</t>
        </is>
      </c>
      <c r="M127" s="156" t="inlineStr">
        <is>
          <t>S4</t>
        </is>
      </c>
      <c r="N127" s="142" t="n">
        <v>1</v>
      </c>
      <c r="O127" s="142" t="n">
        <v>2</v>
      </c>
      <c r="P127" s="145">
        <f>N127+O127</f>
        <v/>
      </c>
    </row>
    <row r="128" ht="19.95" customHeight="1" s="227">
      <c r="A128" s="137" t="n">
        <v>111</v>
      </c>
      <c r="B128" s="140" t="inlineStr">
        <is>
          <t>BM-066</t>
        </is>
      </c>
      <c r="C128" s="140" t="n">
        <v>94</v>
      </c>
      <c r="D128" s="139" t="inlineStr">
        <is>
          <t>Ing. Jose Jorge Olivares Velazquez</t>
        </is>
      </c>
      <c r="E128" s="148" t="inlineStr">
        <is>
          <t>● AZUL</t>
        </is>
      </c>
      <c r="F128" s="154" t="inlineStr">
        <is>
          <t>H.M.R. Santa Lucía</t>
        </is>
      </c>
      <c r="G128" s="167" t="inlineStr">
        <is>
          <t>EDO DE MEX</t>
        </is>
      </c>
      <c r="H128" s="154" t="inlineStr">
        <is>
          <t>Fotocoagulador láser, marca Topcon, modelo Pascal Synthesis</t>
        </is>
      </c>
      <c r="I128" s="154" t="inlineStr">
        <is>
          <t>Topcon</t>
        </is>
      </c>
      <c r="J128" s="154" t="inlineStr">
        <is>
          <t>Pascal Synthesis</t>
        </is>
      </c>
      <c r="K128" s="137" t="inlineStr">
        <is>
          <t>79140219</t>
        </is>
      </c>
      <c r="L128" s="137" t="inlineStr">
        <is>
          <t>OFTALMO</t>
        </is>
      </c>
      <c r="M128" s="154" t="inlineStr">
        <is>
          <t>TOPCON</t>
        </is>
      </c>
      <c r="N128" s="137" t="n">
        <v>1</v>
      </c>
      <c r="O128" s="137" t="n">
        <v>2</v>
      </c>
      <c r="P128" s="140">
        <f>N128+O128</f>
        <v/>
      </c>
    </row>
    <row r="129" ht="19.95" customHeight="1" s="227">
      <c r="A129" s="157" t="n">
        <v>112</v>
      </c>
      <c r="B129" s="158" t="inlineStr">
        <is>
          <t>BM-118</t>
        </is>
      </c>
      <c r="C129" s="158" t="n">
        <v>171</v>
      </c>
      <c r="D129" s="159" t="inlineStr">
        <is>
          <t>Ing. Jose Jorge Olivares Velazquez</t>
        </is>
      </c>
      <c r="E129" s="148" t="inlineStr">
        <is>
          <t>● AZUL</t>
        </is>
      </c>
      <c r="F129" s="160" t="inlineStr">
        <is>
          <t>H.M.Z. Cuernavaca</t>
        </is>
      </c>
      <c r="G129" s="167" t="inlineStr">
        <is>
          <t>MORELOS</t>
        </is>
      </c>
      <c r="H129" s="160" t="inlineStr">
        <is>
          <t>Equipo de rayos X móvil, marca Technix, modelo TMS 320</t>
        </is>
      </c>
      <c r="I129" s="160" t="inlineStr">
        <is>
          <t>Technix</t>
        </is>
      </c>
      <c r="J129" s="160" t="inlineStr">
        <is>
          <t>TMS 320</t>
        </is>
      </c>
      <c r="K129" s="157" t="inlineStr">
        <is>
          <t>80-16-88-159</t>
        </is>
      </c>
      <c r="L129" s="157" t="inlineStr">
        <is>
          <t>IMAGEN</t>
        </is>
      </c>
      <c r="M129" s="160" t="inlineStr">
        <is>
          <t>Médica Dimegar</t>
        </is>
      </c>
      <c r="N129" s="157" t="n">
        <v>1</v>
      </c>
      <c r="O129" s="157" t="n">
        <v>2</v>
      </c>
      <c r="P129" s="158">
        <f>N129+O129</f>
        <v/>
      </c>
    </row>
    <row r="130" ht="19.95" customHeight="1" s="227">
      <c r="A130" s="137" t="n">
        <v>113</v>
      </c>
      <c r="B130" s="140" t="inlineStr">
        <is>
          <t>BM-081</t>
        </is>
      </c>
      <c r="C130" s="140" t="n">
        <v>231</v>
      </c>
      <c r="D130" s="139" t="inlineStr">
        <is>
          <t>Ing. Jose Jorge Olivares Velazquez</t>
        </is>
      </c>
      <c r="E130" s="148" t="inlineStr">
        <is>
          <t>● AZUL</t>
        </is>
      </c>
      <c r="F130" s="154" t="inlineStr">
        <is>
          <t>H.M.Z. Cuernavaca</t>
        </is>
      </c>
      <c r="G130" s="167" t="inlineStr">
        <is>
          <t>MORELOS</t>
        </is>
      </c>
      <c r="H130" s="154" t="inlineStr">
        <is>
          <t>Sistema de digitalización de imágenes, marca Fujifilm, modelo Digitalizador: FCR Capsula XLII (CR-IR 359) Impresora: Drypix 4000</t>
        </is>
      </c>
      <c r="I130" s="154" t="inlineStr">
        <is>
          <t>Fujifilm</t>
        </is>
      </c>
      <c r="J130" s="154" t="inlineStr">
        <is>
          <t>Digitalizador: FCR Capsula XLII (CR-IR 359) Impresora: Drypix 4000</t>
        </is>
      </c>
      <c r="K130" s="137" t="inlineStr">
        <is>
          <t>Digitalizador: 46770614 Impresora: 36653758</t>
        </is>
      </c>
      <c r="L130" s="137" t="inlineStr">
        <is>
          <t>IMAGEN</t>
        </is>
      </c>
      <c r="M130" s="154" t="inlineStr">
        <is>
          <t>Médica Dimegar</t>
        </is>
      </c>
      <c r="N130" s="137" t="n">
        <v>1</v>
      </c>
      <c r="O130" s="137" t="n">
        <v>2</v>
      </c>
      <c r="P130" s="140">
        <f>N130+O130</f>
        <v/>
      </c>
    </row>
    <row r="131" ht="19.95" customHeight="1" s="227">
      <c r="A131" s="157" t="n">
        <v>114</v>
      </c>
      <c r="B131" s="158" t="inlineStr">
        <is>
          <t>BM-114</t>
        </is>
      </c>
      <c r="C131" s="158" t="n">
        <v>165</v>
      </c>
      <c r="D131" s="159" t="inlineStr">
        <is>
          <t>Ing. Jose Jorge Olivares Velazquez</t>
        </is>
      </c>
      <c r="E131" s="148" t="inlineStr">
        <is>
          <t>● AZUL</t>
        </is>
      </c>
      <c r="F131" s="160" t="inlineStr">
        <is>
          <t>H.M.Z. Temamatla</t>
        </is>
      </c>
      <c r="G131" s="167" t="inlineStr">
        <is>
          <t>EDO DE MEX</t>
        </is>
      </c>
      <c r="H131" s="160" t="inlineStr">
        <is>
          <t>Equipo de rayos X móvil, marca Technix, modelo TMS 320</t>
        </is>
      </c>
      <c r="I131" s="160" t="inlineStr">
        <is>
          <t>Technix</t>
        </is>
      </c>
      <c r="J131" s="160" t="inlineStr">
        <is>
          <t>TMS 320</t>
        </is>
      </c>
      <c r="K131" s="157" t="inlineStr">
        <is>
          <t>80-16-105-176</t>
        </is>
      </c>
      <c r="L131" s="157" t="inlineStr">
        <is>
          <t>IMAGEN</t>
        </is>
      </c>
      <c r="M131" s="160" t="inlineStr">
        <is>
          <t>Médica Dimegar</t>
        </is>
      </c>
      <c r="N131" s="157" t="n">
        <v>1</v>
      </c>
      <c r="O131" s="157" t="n">
        <v>2</v>
      </c>
      <c r="P131" s="158">
        <f>N131+O131</f>
        <v/>
      </c>
    </row>
    <row r="132" ht="19.95" customHeight="1" s="227">
      <c r="A132" s="137" t="n">
        <v>115</v>
      </c>
      <c r="B132" s="140" t="inlineStr">
        <is>
          <t>BM-079</t>
        </is>
      </c>
      <c r="C132" s="140" t="n">
        <v>227</v>
      </c>
      <c r="D132" s="139" t="inlineStr">
        <is>
          <t>Ing. Jose Jorge Olivares Velazquez</t>
        </is>
      </c>
      <c r="E132" s="148" t="inlineStr">
        <is>
          <t>● AZUL</t>
        </is>
      </c>
      <c r="F132" s="154" t="inlineStr">
        <is>
          <t>H.M.Z. Temamatla</t>
        </is>
      </c>
      <c r="G132" s="167" t="inlineStr">
        <is>
          <t>EDO DE MEX</t>
        </is>
      </c>
      <c r="H132" s="154" t="inlineStr">
        <is>
          <t>Sistema de digitalización de imágenes, marca Fujifilm, modelo Digitalizador: FCR Capsula XLII (CR-IR 359) Impresora: Drypix 4000</t>
        </is>
      </c>
      <c r="I132" s="154" t="inlineStr">
        <is>
          <t>Fujifilm</t>
        </is>
      </c>
      <c r="J132" s="154" t="inlineStr">
        <is>
          <t>Digitalizador: FCR Capsula XLII (CR-IR 359) Impresora: Drypix 4000</t>
        </is>
      </c>
      <c r="K132" s="137" t="inlineStr">
        <is>
          <t>Digitalizador: 46370281 Impresora: 36753805</t>
        </is>
      </c>
      <c r="L132" s="137" t="inlineStr">
        <is>
          <t>IMAGEN</t>
        </is>
      </c>
      <c r="M132" s="154" t="inlineStr">
        <is>
          <t>Médica Dimegar</t>
        </is>
      </c>
      <c r="N132" s="137" t="n">
        <v>1</v>
      </c>
      <c r="O132" s="137" t="n">
        <v>2</v>
      </c>
      <c r="P132" s="140">
        <f>N132+O132</f>
        <v/>
      </c>
    </row>
    <row r="133" ht="19.95" customHeight="1" s="227">
      <c r="A133" s="142" t="n">
        <v>116</v>
      </c>
      <c r="B133" s="145" t="inlineStr">
        <is>
          <t>BM-080</t>
        </is>
      </c>
      <c r="C133" s="145" t="n">
        <v>228</v>
      </c>
      <c r="D133" s="144" t="inlineStr">
        <is>
          <t>Ing. Jose Jorge Olivares Velazquez</t>
        </is>
      </c>
      <c r="E133" s="148" t="inlineStr">
        <is>
          <t>● AZUL</t>
        </is>
      </c>
      <c r="F133" s="156" t="inlineStr">
        <is>
          <t>H.M.Z. Temamatla</t>
        </is>
      </c>
      <c r="G133" s="167" t="inlineStr">
        <is>
          <t>EDO DE MEX</t>
        </is>
      </c>
      <c r="H133" s="156" t="inlineStr">
        <is>
          <t>Impresora para placas radiográficas, marca Konica Minolta, modelo DryPro 873</t>
        </is>
      </c>
      <c r="I133" s="156" t="inlineStr">
        <is>
          <t>Konica Minolta</t>
        </is>
      </c>
      <c r="J133" s="156" t="inlineStr">
        <is>
          <t>DryPro 873</t>
        </is>
      </c>
      <c r="K133" s="142" t="inlineStr">
        <is>
          <t>0992-50128</t>
        </is>
      </c>
      <c r="L133" s="142" t="inlineStr">
        <is>
          <t>IMAGEN</t>
        </is>
      </c>
      <c r="M133" s="156" t="inlineStr">
        <is>
          <t>Médica Dimegar</t>
        </is>
      </c>
      <c r="N133" s="142" t="n">
        <v>1</v>
      </c>
      <c r="O133" s="142" t="n">
        <v>2</v>
      </c>
      <c r="P133" s="145">
        <f>N133+O133</f>
        <v/>
      </c>
    </row>
    <row r="134" ht="19.95" customHeight="1" s="227">
      <c r="A134" s="157" t="n">
        <v>117</v>
      </c>
      <c r="B134" s="158" t="inlineStr">
        <is>
          <t>BM-125</t>
        </is>
      </c>
      <c r="C134" s="158" t="n">
        <v>200</v>
      </c>
      <c r="D134" s="159" t="inlineStr">
        <is>
          <t>Ing. Ángel Rodríguez Zavala</t>
        </is>
      </c>
      <c r="E134" s="149" t="inlineStr">
        <is>
          <t>● AMARILLO</t>
        </is>
      </c>
      <c r="F134" s="160" t="inlineStr">
        <is>
          <t>H.M.R. Chihuahua</t>
        </is>
      </c>
      <c r="G134" s="169" t="inlineStr">
        <is>
          <t>CHIHUAHUA</t>
        </is>
      </c>
      <c r="H134" s="160" t="inlineStr">
        <is>
          <t>Arco en C, marca Ziehm Imaging, modelo Vision R</t>
        </is>
      </c>
      <c r="I134" s="160" t="inlineStr">
        <is>
          <t>Ziehm Imaging</t>
        </is>
      </c>
      <c r="J134" s="160" t="inlineStr">
        <is>
          <t>Vision R</t>
        </is>
      </c>
      <c r="K134" s="157" t="inlineStr">
        <is>
          <t>10703</t>
        </is>
      </c>
      <c r="L134" s="157" t="inlineStr">
        <is>
          <t>IMAGEN</t>
        </is>
      </c>
      <c r="M134" s="160" t="inlineStr">
        <is>
          <t>Médica Dimegar</t>
        </is>
      </c>
      <c r="N134" s="157" t="n">
        <v>1</v>
      </c>
      <c r="O134" s="157" t="n">
        <v>2</v>
      </c>
      <c r="P134" s="158">
        <f>N134+O134</f>
        <v/>
      </c>
    </row>
    <row r="135" ht="19.95" customHeight="1" s="227">
      <c r="A135" s="157" t="n">
        <v>118</v>
      </c>
      <c r="B135" s="158" t="inlineStr">
        <is>
          <t>BM-130</t>
        </is>
      </c>
      <c r="C135" s="158" t="n">
        <v>226</v>
      </c>
      <c r="D135" s="159" t="inlineStr">
        <is>
          <t>Ing. Ángel Rodríguez Zavala</t>
        </is>
      </c>
      <c r="E135" s="149" t="inlineStr">
        <is>
          <t>● AMARILLO</t>
        </is>
      </c>
      <c r="F135" s="160" t="inlineStr">
        <is>
          <t>H.M.R. Chihuahua</t>
        </is>
      </c>
      <c r="G135" s="169" t="inlineStr">
        <is>
          <t>CHIHUAHUA</t>
        </is>
      </c>
      <c r="H135" s="160" t="inlineStr">
        <is>
          <t>Sistema de digitalización de imágenes, marca Fujifilm, modelo Digitalizador: FCR Capsula XLII (CR-IR 359) Impresora: Drypix 4000</t>
        </is>
      </c>
      <c r="I135" s="160" t="inlineStr">
        <is>
          <t>Fujifilm</t>
        </is>
      </c>
      <c r="J135" s="160" t="inlineStr">
        <is>
          <t>Digitalizador: FCR Capsula XLII (CR-IR 359) Impresora: Drypix 4000</t>
        </is>
      </c>
      <c r="K135" s="157" t="inlineStr">
        <is>
          <t>Digitalizador: 37240106 Impresora: 36653761</t>
        </is>
      </c>
      <c r="L135" s="157" t="inlineStr">
        <is>
          <t>IMAGEN</t>
        </is>
      </c>
      <c r="M135" s="160" t="inlineStr">
        <is>
          <t>Médica Dimegar</t>
        </is>
      </c>
      <c r="N135" s="157" t="n">
        <v>1</v>
      </c>
      <c r="O135" s="157" t="n">
        <v>2</v>
      </c>
      <c r="P135" s="158">
        <f>N135+O135</f>
        <v/>
      </c>
    </row>
    <row r="136" ht="19.95" customHeight="1" s="227">
      <c r="A136" s="157" t="n">
        <v>119</v>
      </c>
      <c r="B136" s="158" t="inlineStr">
        <is>
          <t>BM-109</t>
        </is>
      </c>
      <c r="C136" s="158" t="n">
        <v>149</v>
      </c>
      <c r="D136" s="159" t="inlineStr">
        <is>
          <t>Ing. Ángel Rodríguez Zavala</t>
        </is>
      </c>
      <c r="E136" s="149" t="inlineStr">
        <is>
          <t>● AMARILLO</t>
        </is>
      </c>
      <c r="F136" s="160" t="inlineStr">
        <is>
          <t>H.M.R. San Luis Potosí</t>
        </is>
      </c>
      <c r="G136" s="169" t="inlineStr">
        <is>
          <t>SAN LUIS POTOSI</t>
        </is>
      </c>
      <c r="H136" s="160" t="inlineStr">
        <is>
          <t>Equipo de rayos X móvil, marca Technix, modelo TMS 320</t>
        </is>
      </c>
      <c r="I136" s="160" t="inlineStr">
        <is>
          <t>Technix</t>
        </is>
      </c>
      <c r="J136" s="160" t="inlineStr">
        <is>
          <t>TMS 320</t>
        </is>
      </c>
      <c r="K136" s="157" t="inlineStr">
        <is>
          <t>80-16-87-158</t>
        </is>
      </c>
      <c r="L136" s="157" t="inlineStr">
        <is>
          <t>IMAGEN</t>
        </is>
      </c>
      <c r="M136" s="160" t="inlineStr">
        <is>
          <t>Médica Dimegar</t>
        </is>
      </c>
      <c r="N136" s="157" t="n">
        <v>1</v>
      </c>
      <c r="O136" s="157" t="n">
        <v>2</v>
      </c>
      <c r="P136" s="158">
        <f>N136+O136</f>
        <v/>
      </c>
    </row>
    <row r="137" ht="19.95" customHeight="1" s="227">
      <c r="A137" s="157" t="n">
        <v>120</v>
      </c>
      <c r="B137" s="158" t="inlineStr">
        <is>
          <t>BM-111</t>
        </is>
      </c>
      <c r="C137" s="158" t="n">
        <v>162</v>
      </c>
      <c r="D137" s="159" t="inlineStr">
        <is>
          <t>Ing. Ángel Rodríguez Zavala</t>
        </is>
      </c>
      <c r="E137" s="149" t="inlineStr">
        <is>
          <t>● AMARILLO</t>
        </is>
      </c>
      <c r="F137" s="160" t="inlineStr">
        <is>
          <t>H.M.R. Tampico</t>
        </is>
      </c>
      <c r="G137" s="169" t="inlineStr">
        <is>
          <t>TAMAULIPAS</t>
        </is>
      </c>
      <c r="H137" s="160" t="inlineStr">
        <is>
          <t>Equipo de rayos X móvil, marca Technix, modelo TMS 320</t>
        </is>
      </c>
      <c r="I137" s="160" t="inlineStr">
        <is>
          <t>Technix</t>
        </is>
      </c>
      <c r="J137" s="160" t="inlineStr">
        <is>
          <t>TMS 320</t>
        </is>
      </c>
      <c r="K137" s="157" t="inlineStr">
        <is>
          <t>80-16-89-160</t>
        </is>
      </c>
      <c r="L137" s="157" t="inlineStr">
        <is>
          <t>IMAGEN</t>
        </is>
      </c>
      <c r="M137" s="160" t="inlineStr">
        <is>
          <t>Médica Dimegar</t>
        </is>
      </c>
      <c r="N137" s="157" t="n">
        <v>1</v>
      </c>
      <c r="O137" s="157" t="n">
        <v>2</v>
      </c>
      <c r="P137" s="158">
        <f>N137+O137</f>
        <v/>
      </c>
    </row>
    <row r="138" ht="19.95" customHeight="1" s="227">
      <c r="A138" s="157" t="n">
        <v>121</v>
      </c>
      <c r="B138" s="158" t="inlineStr">
        <is>
          <t>BM-131</t>
        </is>
      </c>
      <c r="C138" s="158" t="n">
        <v>230</v>
      </c>
      <c r="D138" s="159" t="inlineStr">
        <is>
          <t>Ing. Ángel Rodríguez Zavala</t>
        </is>
      </c>
      <c r="E138" s="149" t="inlineStr">
        <is>
          <t>● AMARILLO</t>
        </is>
      </c>
      <c r="F138" s="160" t="inlineStr">
        <is>
          <t>H.M.R., Irapuato</t>
        </is>
      </c>
      <c r="G138" s="169" t="inlineStr">
        <is>
          <t>GUANAJUATO</t>
        </is>
      </c>
      <c r="H138" s="160" t="inlineStr">
        <is>
          <t>Equipo de rayos X móvil, marca Technix, modelo TMS 320</t>
        </is>
      </c>
      <c r="I138" s="160" t="inlineStr">
        <is>
          <t>Technix</t>
        </is>
      </c>
      <c r="J138" s="160" t="inlineStr">
        <is>
          <t>TMS 320</t>
        </is>
      </c>
      <c r="K138" s="157" t="inlineStr">
        <is>
          <t>80-16-85-156</t>
        </is>
      </c>
      <c r="L138" s="157" t="inlineStr">
        <is>
          <t>IMAGEN</t>
        </is>
      </c>
      <c r="M138" s="160" t="inlineStr">
        <is>
          <t>Médica Dimegar</t>
        </is>
      </c>
      <c r="N138" s="157" t="n">
        <v>1</v>
      </c>
      <c r="O138" s="157" t="n">
        <v>2</v>
      </c>
      <c r="P138" s="158">
        <f>N138+O138</f>
        <v/>
      </c>
    </row>
    <row r="139" ht="19.95" customHeight="1" s="227">
      <c r="A139" s="157" t="n">
        <v>122</v>
      </c>
      <c r="B139" s="158" t="inlineStr">
        <is>
          <t>BM-102</t>
        </is>
      </c>
      <c r="C139" s="158" t="n">
        <v>99</v>
      </c>
      <c r="D139" s="159" t="inlineStr">
        <is>
          <t>Ing. Ángel Rodríguez Zavala</t>
        </is>
      </c>
      <c r="E139" s="149" t="inlineStr">
        <is>
          <t>● AMARILLO</t>
        </is>
      </c>
      <c r="F139" s="160" t="inlineStr">
        <is>
          <t>H.M.Z. Cinco de Mayo</t>
        </is>
      </c>
      <c r="G139" s="169" t="inlineStr">
        <is>
          <t>DURANGO</t>
        </is>
      </c>
      <c r="H139" s="160" t="inlineStr">
        <is>
          <t>Rayos X fijo, marca Del Medical, modelo EV 800</t>
        </is>
      </c>
      <c r="I139" s="160" t="inlineStr">
        <is>
          <t>Del Medical</t>
        </is>
      </c>
      <c r="J139" s="160" t="inlineStr">
        <is>
          <t>EV 800</t>
        </is>
      </c>
      <c r="K139" s="157" t="inlineStr">
        <is>
          <t>02776-1019-W</t>
        </is>
      </c>
      <c r="L139" s="157" t="inlineStr">
        <is>
          <t>IMAGEN</t>
        </is>
      </c>
      <c r="M139" s="160" t="inlineStr">
        <is>
          <t>Médica Dimegar</t>
        </is>
      </c>
      <c r="N139" s="157" t="n">
        <v>1</v>
      </c>
      <c r="O139" s="157" t="n">
        <v>2</v>
      </c>
      <c r="P139" s="158">
        <f>N139+O139</f>
        <v/>
      </c>
    </row>
    <row r="140" ht="19.95" customHeight="1" s="227">
      <c r="A140" s="157" t="n">
        <v>123</v>
      </c>
      <c r="B140" s="158" t="inlineStr">
        <is>
          <t>BM-129</t>
        </is>
      </c>
      <c r="C140" s="158" t="n">
        <v>225</v>
      </c>
      <c r="D140" s="159" t="inlineStr">
        <is>
          <t>Ing. Ángel Rodríguez Zavala</t>
        </is>
      </c>
      <c r="E140" s="149" t="inlineStr">
        <is>
          <t>● AMARILLO</t>
        </is>
      </c>
      <c r="F140" s="160" t="inlineStr">
        <is>
          <t>H.M.Z. Guadalupe</t>
        </is>
      </c>
      <c r="G140" s="169" t="inlineStr">
        <is>
          <t>ZACATECAS</t>
        </is>
      </c>
      <c r="H140" s="160" t="inlineStr">
        <is>
          <t>Equipo de rayos X móvil, marca Technix, modelo TMS 320</t>
        </is>
      </c>
      <c r="I140" s="160" t="inlineStr">
        <is>
          <t>Technix</t>
        </is>
      </c>
      <c r="J140" s="160" t="inlineStr">
        <is>
          <t>TMS 320</t>
        </is>
      </c>
      <c r="K140" s="157" t="inlineStr">
        <is>
          <t>80-16-86-157</t>
        </is>
      </c>
      <c r="L140" s="157" t="inlineStr">
        <is>
          <t>IMAGEN</t>
        </is>
      </c>
      <c r="M140" s="160" t="inlineStr">
        <is>
          <t>Médica Dimegar</t>
        </is>
      </c>
      <c r="N140" s="157" t="n">
        <v>1</v>
      </c>
      <c r="O140" s="157" t="n">
        <v>2</v>
      </c>
      <c r="P140" s="158">
        <f>N140+O140</f>
        <v/>
      </c>
    </row>
    <row r="141" ht="19.95" customHeight="1" s="227">
      <c r="A141" s="142" t="n">
        <v>124</v>
      </c>
      <c r="B141" s="145" t="inlineStr">
        <is>
          <t>BM-101</t>
        </is>
      </c>
      <c r="C141" s="145" t="n">
        <v>367</v>
      </c>
      <c r="D141" s="144" t="inlineStr">
        <is>
          <t>Ing. Ángel Rodríguez Zavala</t>
        </is>
      </c>
      <c r="E141" s="149" t="inlineStr">
        <is>
          <t>● AMARILLO</t>
        </is>
      </c>
      <c r="F141" s="156" t="inlineStr">
        <is>
          <t>H.M.Z. Santa Gertrudis</t>
        </is>
      </c>
      <c r="G141" s="170" t="inlineStr">
        <is>
          <t>CHIHUAHUA</t>
        </is>
      </c>
      <c r="H141" s="156" t="inlineStr">
        <is>
          <t>Equipo de rayos X móvil, marca Primax, modelo Raybow dR</t>
        </is>
      </c>
      <c r="I141" s="156" t="inlineStr">
        <is>
          <t>Primax</t>
        </is>
      </c>
      <c r="J141" s="156" t="inlineStr">
        <is>
          <t>Raybow dR</t>
        </is>
      </c>
      <c r="K141" s="142" t="inlineStr">
        <is>
          <t>10076715</t>
        </is>
      </c>
      <c r="L141" s="142" t="inlineStr">
        <is>
          <t>IMAGEN</t>
        </is>
      </c>
      <c r="M141" s="156" t="inlineStr">
        <is>
          <t>Médica Dimegar</t>
        </is>
      </c>
      <c r="N141" s="142" t="n">
        <v>1</v>
      </c>
      <c r="O141" s="142" t="n">
        <v>2</v>
      </c>
      <c r="P141" s="145">
        <f>N141+O141</f>
        <v/>
      </c>
    </row>
    <row r="142" ht="19.95" customHeight="1" s="227">
      <c r="A142" s="157" t="n">
        <v>125</v>
      </c>
      <c r="B142" s="158" t="inlineStr">
        <is>
          <t>BM-143</t>
        </is>
      </c>
      <c r="C142" s="158" t="n">
        <v>369</v>
      </c>
      <c r="D142" s="159" t="inlineStr">
        <is>
          <t>Ing. Ángel Rodríguez Zavala</t>
        </is>
      </c>
      <c r="E142" s="149" t="inlineStr">
        <is>
          <t>● AMARILLO</t>
        </is>
      </c>
      <c r="F142" s="160" t="inlineStr">
        <is>
          <t>U.M.C.E. Reynosa</t>
        </is>
      </c>
      <c r="G142" s="169" t="inlineStr">
        <is>
          <t>TAMAULIPAS</t>
        </is>
      </c>
      <c r="H142" s="160" t="inlineStr">
        <is>
          <t>Equipo de rayos X móvil, marca Primax, modelo Raybow dR</t>
        </is>
      </c>
      <c r="I142" s="160" t="inlineStr">
        <is>
          <t>Primax</t>
        </is>
      </c>
      <c r="J142" s="160" t="inlineStr">
        <is>
          <t>Raybow dR</t>
        </is>
      </c>
      <c r="K142" s="157" t="inlineStr">
        <is>
          <t>10116715</t>
        </is>
      </c>
      <c r="L142" s="157" t="inlineStr">
        <is>
          <t>IMAGEN</t>
        </is>
      </c>
      <c r="M142" s="160" t="inlineStr">
        <is>
          <t>Médica Dimegar</t>
        </is>
      </c>
      <c r="N142" s="157" t="n">
        <v>1</v>
      </c>
      <c r="O142" s="157" t="n">
        <v>2</v>
      </c>
      <c r="P142" s="158">
        <f>N142+O142</f>
        <v/>
      </c>
    </row>
    <row r="143" ht="19.95" customHeight="1" s="227">
      <c r="A143" s="157" t="n">
        <v>126</v>
      </c>
      <c r="B143" s="158" t="inlineStr">
        <is>
          <t>BM-106</t>
        </is>
      </c>
      <c r="C143" s="158" t="n">
        <v>140</v>
      </c>
      <c r="D143" s="159" t="inlineStr">
        <is>
          <t>Ing. Fernando Javier Michel Euan</t>
        </is>
      </c>
      <c r="E143" s="150" t="inlineStr">
        <is>
          <t>● VERDE</t>
        </is>
      </c>
      <c r="F143" s="160" t="inlineStr">
        <is>
          <t>H.M.R. Tuxtla Gutiérrez</t>
        </is>
      </c>
      <c r="G143" s="171" t="inlineStr">
        <is>
          <t>CHIAPAS</t>
        </is>
      </c>
      <c r="H143" s="160" t="inlineStr">
        <is>
          <t>Rayos X móvil, marca Fujifilm, modelo FDR Go</t>
        </is>
      </c>
      <c r="I143" s="160" t="inlineStr">
        <is>
          <t>Fujifilm</t>
        </is>
      </c>
      <c r="J143" s="160" t="inlineStr">
        <is>
          <t>FDR Go</t>
        </is>
      </c>
      <c r="K143" s="157" t="inlineStr">
        <is>
          <t>41DBBA146046</t>
        </is>
      </c>
      <c r="L143" s="157" t="inlineStr">
        <is>
          <t>IMAGEN</t>
        </is>
      </c>
      <c r="M143" s="160" t="inlineStr">
        <is>
          <t>Médica Dimegar</t>
        </is>
      </c>
      <c r="N143" s="157" t="n">
        <v>1</v>
      </c>
      <c r="O143" s="157" t="n">
        <v>2</v>
      </c>
      <c r="P143" s="158">
        <f>N143+O143</f>
        <v/>
      </c>
    </row>
    <row r="144" ht="19.95" customHeight="1" s="227">
      <c r="A144" s="157" t="n">
        <v>127</v>
      </c>
      <c r="B144" s="158" t="inlineStr">
        <is>
          <t>BM-117</t>
        </is>
      </c>
      <c r="C144" s="158" t="n">
        <v>168</v>
      </c>
      <c r="D144" s="159" t="inlineStr">
        <is>
          <t>Ing. Fernando Javier Michel Euan</t>
        </is>
      </c>
      <c r="E144" s="150" t="inlineStr">
        <is>
          <t>● VERDE</t>
        </is>
      </c>
      <c r="F144" s="160" t="inlineStr">
        <is>
          <t>H.M.R. Tuxtla Gutiérrez</t>
        </is>
      </c>
      <c r="G144" s="171" t="inlineStr">
        <is>
          <t>CHIAPAS</t>
        </is>
      </c>
      <c r="H144" s="160" t="inlineStr">
        <is>
          <t>Equipo de rayos X móvil, marca Technix, modelo TMS 320</t>
        </is>
      </c>
      <c r="I144" s="160" t="inlineStr">
        <is>
          <t>Technix</t>
        </is>
      </c>
      <c r="J144" s="160" t="inlineStr">
        <is>
          <t>TMS 320</t>
        </is>
      </c>
      <c r="K144" s="157" t="inlineStr">
        <is>
          <t>80-16-102-173</t>
        </is>
      </c>
      <c r="L144" s="157" t="inlineStr">
        <is>
          <t>IMAGEN</t>
        </is>
      </c>
      <c r="M144" s="160" t="inlineStr">
        <is>
          <t>Médica Dimegar</t>
        </is>
      </c>
      <c r="N144" s="157" t="n">
        <v>1</v>
      </c>
      <c r="O144" s="157" t="n">
        <v>2</v>
      </c>
      <c r="P144" s="158">
        <f>N144+O144</f>
        <v/>
      </c>
    </row>
    <row r="145" ht="19.95" customHeight="1" s="227">
      <c r="A145" s="157" t="n">
        <v>128</v>
      </c>
      <c r="B145" s="158" t="inlineStr">
        <is>
          <t>BM-126</t>
        </is>
      </c>
      <c r="C145" s="158" t="n">
        <v>203</v>
      </c>
      <c r="D145" s="159" t="inlineStr">
        <is>
          <t>Ing. Fernando Javier Michel Euan</t>
        </is>
      </c>
      <c r="E145" s="150" t="inlineStr">
        <is>
          <t>● VERDE</t>
        </is>
      </c>
      <c r="F145" s="160" t="inlineStr">
        <is>
          <t>H.M.R. Tuxtla Gutiérrez</t>
        </is>
      </c>
      <c r="G145" s="171" t="inlineStr">
        <is>
          <t>CHIAPAS</t>
        </is>
      </c>
      <c r="H145" s="160" t="inlineStr">
        <is>
          <t>Topógrafo corneal , marca Bausch &amp; Lomb, modelo ORBSCAN lll</t>
        </is>
      </c>
      <c r="I145" s="160" t="inlineStr">
        <is>
          <t>Bausch &amp; Lomb</t>
        </is>
      </c>
      <c r="J145" s="160" t="inlineStr">
        <is>
          <t>ORBSCAN lll</t>
        </is>
      </c>
      <c r="K145" s="157" t="inlineStr">
        <is>
          <t>50004019-0093</t>
        </is>
      </c>
      <c r="L145" s="157" t="inlineStr">
        <is>
          <t>OFTALMO</t>
        </is>
      </c>
      <c r="M145" s="160" t="inlineStr">
        <is>
          <t>BAUSH</t>
        </is>
      </c>
      <c r="N145" s="157" t="n">
        <v>1</v>
      </c>
      <c r="O145" s="157" t="n">
        <v>2</v>
      </c>
      <c r="P145" s="158">
        <f>N145+O145</f>
        <v/>
      </c>
    </row>
    <row r="146" ht="19.95" customHeight="1" s="227">
      <c r="A146" s="157" t="n">
        <v>129</v>
      </c>
      <c r="B146" s="158" t="inlineStr">
        <is>
          <t>BM-107</t>
        </is>
      </c>
      <c r="C146" s="158" t="n">
        <v>144</v>
      </c>
      <c r="D146" s="159" t="inlineStr">
        <is>
          <t>Ing. Fernando Javier Michel Euan</t>
        </is>
      </c>
      <c r="E146" s="150" t="inlineStr">
        <is>
          <t>● VERDE</t>
        </is>
      </c>
      <c r="F146" s="160" t="inlineStr">
        <is>
          <t>H.M.R.E. Mérida</t>
        </is>
      </c>
      <c r="G146" s="172" t="inlineStr">
        <is>
          <t>YUCATAN</t>
        </is>
      </c>
      <c r="H146" s="160" t="inlineStr">
        <is>
          <t>Rayos X móvil, marca Villa Sistemi Medicali, modelo Visitor T30 M-DR</t>
        </is>
      </c>
      <c r="I146" s="160" t="inlineStr">
        <is>
          <t>Villa Sistemi Medicali</t>
        </is>
      </c>
      <c r="J146" s="160" t="inlineStr">
        <is>
          <t>Visitor T30 M-DR</t>
        </is>
      </c>
      <c r="K146" s="157" t="inlineStr">
        <is>
          <t>17091017</t>
        </is>
      </c>
      <c r="L146" s="157" t="inlineStr">
        <is>
          <t>IMAGEN</t>
        </is>
      </c>
      <c r="M146" s="160" t="inlineStr">
        <is>
          <t>Médica Dimegar</t>
        </is>
      </c>
      <c r="N146" s="157" t="n">
        <v>1</v>
      </c>
      <c r="O146" s="157" t="n">
        <v>2</v>
      </c>
      <c r="P146" s="158">
        <f>N146+O146</f>
        <v/>
      </c>
    </row>
    <row r="147" ht="19.95" customHeight="1" s="227">
      <c r="A147" s="157" t="n">
        <v>130</v>
      </c>
      <c r="B147" s="158" t="inlineStr">
        <is>
          <t>BM-108</t>
        </is>
      </c>
      <c r="C147" s="158" t="n">
        <v>145</v>
      </c>
      <c r="D147" s="159" t="inlineStr">
        <is>
          <t>Ing. Fernando Javier Michel Euan</t>
        </is>
      </c>
      <c r="E147" s="150" t="inlineStr">
        <is>
          <t>● VERDE</t>
        </is>
      </c>
      <c r="F147" s="160" t="inlineStr">
        <is>
          <t>H.M.R.E. Mérida</t>
        </is>
      </c>
      <c r="G147" s="172" t="inlineStr">
        <is>
          <t>YUCATAN</t>
        </is>
      </c>
      <c r="H147" s="160" t="inlineStr">
        <is>
          <t>Equipo de rayos X móvil, marca Technix, modelo TMS 320</t>
        </is>
      </c>
      <c r="I147" s="160" t="inlineStr">
        <is>
          <t>Technix</t>
        </is>
      </c>
      <c r="J147" s="160" t="inlineStr">
        <is>
          <t>TMS 320</t>
        </is>
      </c>
      <c r="K147" s="157" t="inlineStr">
        <is>
          <t>80-16-103-174</t>
        </is>
      </c>
      <c r="L147" s="157" t="inlineStr">
        <is>
          <t>IMAGEN</t>
        </is>
      </c>
      <c r="M147" s="160" t="inlineStr">
        <is>
          <t>Médica Dimegar</t>
        </is>
      </c>
      <c r="N147" s="157" t="n">
        <v>1</v>
      </c>
      <c r="O147" s="157" t="n">
        <v>2</v>
      </c>
      <c r="P147" s="158">
        <f>N147+O147</f>
        <v/>
      </c>
    </row>
    <row r="148" ht="19.95" customHeight="1" s="227">
      <c r="A148" s="137" t="n">
        <v>131</v>
      </c>
      <c r="B148" s="140" t="inlineStr">
        <is>
          <t>BM-073</t>
        </is>
      </c>
      <c r="C148" s="140" t="n">
        <v>208</v>
      </c>
      <c r="D148" s="139" t="inlineStr">
        <is>
          <t>Ing. Fernando Javier Michel Euan</t>
        </is>
      </c>
      <c r="E148" s="150" t="inlineStr">
        <is>
          <t>● VERDE</t>
        </is>
      </c>
      <c r="F148" s="154" t="inlineStr">
        <is>
          <t>H.M.R.E. Mérida</t>
        </is>
      </c>
      <c r="G148" s="172" t="inlineStr">
        <is>
          <t>YUCATAN</t>
        </is>
      </c>
      <c r="H148" s="154" t="inlineStr">
        <is>
          <t>Microscopio para cirugía, marca Leica, modelo M844F40</t>
        </is>
      </c>
      <c r="I148" s="154" t="inlineStr">
        <is>
          <t>Leica</t>
        </is>
      </c>
      <c r="J148" s="154" t="inlineStr">
        <is>
          <t>M844F40</t>
        </is>
      </c>
      <c r="K148" s="137" t="inlineStr">
        <is>
          <t>160516003</t>
        </is>
      </c>
      <c r="L148" s="137" t="inlineStr">
        <is>
          <t>OFTALMO</t>
        </is>
      </c>
      <c r="M148" s="154" t="inlineStr">
        <is>
          <t>COINDISA</t>
        </is>
      </c>
      <c r="N148" s="137" t="n">
        <v>1</v>
      </c>
      <c r="O148" s="137" t="n">
        <v>2</v>
      </c>
      <c r="P148" s="140">
        <f>N148+O148</f>
        <v/>
      </c>
    </row>
    <row r="149" ht="19.95" customHeight="1" s="227">
      <c r="A149" s="142" t="n">
        <v>132</v>
      </c>
      <c r="B149" s="145" t="inlineStr">
        <is>
          <t>BM-088</t>
        </is>
      </c>
      <c r="C149" s="145" t="n">
        <v>298</v>
      </c>
      <c r="D149" s="144" t="inlineStr">
        <is>
          <t>Ing. Fernando Javier Michel Euan</t>
        </is>
      </c>
      <c r="E149" s="150" t="inlineStr">
        <is>
          <t>● VERDE</t>
        </is>
      </c>
      <c r="F149" s="156" t="inlineStr">
        <is>
          <t>H.M.Z. Chetumal</t>
        </is>
      </c>
      <c r="G149" s="172" t="inlineStr">
        <is>
          <t>QUINTANA ROO</t>
        </is>
      </c>
      <c r="H149" s="156" t="inlineStr">
        <is>
          <t>Sistema de digitalización de imágenes, marca Fujifilm, modelo Digitalizador: FCR Capsula XLII (CR-IR 359)</t>
        </is>
      </c>
      <c r="I149" s="156" t="inlineStr">
        <is>
          <t>Fujifilm</t>
        </is>
      </c>
      <c r="J149" s="156" t="inlineStr">
        <is>
          <t>Digitalizador: FCR Capsula XLII (CR-IR 359)</t>
        </is>
      </c>
      <c r="K149" s="142" t="inlineStr">
        <is>
          <t>46770608</t>
        </is>
      </c>
      <c r="L149" s="142" t="inlineStr">
        <is>
          <t>IMAGEN</t>
        </is>
      </c>
      <c r="M149" s="156" t="inlineStr">
        <is>
          <t>Médica Dimegar</t>
        </is>
      </c>
      <c r="N149" s="142" t="n">
        <v>1</v>
      </c>
      <c r="O149" s="142" t="n">
        <v>2</v>
      </c>
      <c r="P149" s="145">
        <f>N149+O149</f>
        <v/>
      </c>
    </row>
    <row r="150" ht="19.95" customHeight="1" s="227">
      <c r="A150" s="137" t="n">
        <v>133</v>
      </c>
      <c r="B150" s="140" t="inlineStr">
        <is>
          <t>BM-100</t>
        </is>
      </c>
      <c r="C150" s="140" t="n">
        <v>363</v>
      </c>
      <c r="D150" s="139" t="inlineStr">
        <is>
          <t>Ing. Fernando Javier Michel Euan</t>
        </is>
      </c>
      <c r="E150" s="150" t="inlineStr">
        <is>
          <t>● VERDE</t>
        </is>
      </c>
      <c r="F150" s="154" t="inlineStr">
        <is>
          <t>H.M.Z. Villahermosa</t>
        </is>
      </c>
      <c r="G150" s="172" t="inlineStr">
        <is>
          <t>TABASCO</t>
        </is>
      </c>
      <c r="H150" s="154" t="inlineStr">
        <is>
          <t>Campímetro, marca Carl Zeiss Meditec, modelo Humphrey 740I</t>
        </is>
      </c>
      <c r="I150" s="154" t="inlineStr">
        <is>
          <t>Carl Zeiss Meditec</t>
        </is>
      </c>
      <c r="J150" s="154" t="inlineStr">
        <is>
          <t>Humphrey 740I</t>
        </is>
      </c>
      <c r="K150" s="137" t="inlineStr">
        <is>
          <t>740I-14200</t>
        </is>
      </c>
      <c r="L150" s="137" t="inlineStr">
        <is>
          <t>OFTALMO</t>
        </is>
      </c>
      <c r="M150" s="154" t="inlineStr">
        <is>
          <t>ZEISS</t>
        </is>
      </c>
      <c r="N150" s="137" t="n">
        <v>1</v>
      </c>
      <c r="O150" s="137" t="n">
        <v>2</v>
      </c>
      <c r="P150" s="140">
        <f>N150+O150</f>
        <v/>
      </c>
    </row>
    <row r="151" ht="19.95" customHeight="1" s="227">
      <c r="A151" s="142" t="n">
        <v>134</v>
      </c>
      <c r="B151" s="145" t="inlineStr">
        <is>
          <t>BM-002</t>
        </is>
      </c>
      <c r="C151" s="145" t="n">
        <v>16</v>
      </c>
      <c r="D151" s="144" t="inlineStr">
        <is>
          <t>Ing. Jose Romero Najera</t>
        </is>
      </c>
      <c r="E151" s="151" t="inlineStr">
        <is>
          <t>● MORADO</t>
        </is>
      </c>
      <c r="F151" s="156" t="inlineStr">
        <is>
          <t>H.M.Z. Ixcotel</t>
        </is>
      </c>
      <c r="G151" s="173" t="inlineStr">
        <is>
          <t>OAXACA</t>
        </is>
      </c>
      <c r="H151" s="156" t="inlineStr">
        <is>
          <t>Sistema de diagnóstico oftálmico avanzado, marca Heidelberg Engineering, modelo Anterion</t>
        </is>
      </c>
      <c r="I151" s="156" t="inlineStr">
        <is>
          <t>Heidelberg Engineering</t>
        </is>
      </c>
      <c r="J151" s="156" t="inlineStr">
        <is>
          <t>Anterion</t>
        </is>
      </c>
      <c r="K151" s="142" t="inlineStr">
        <is>
          <t>01827B0106</t>
        </is>
      </c>
      <c r="L151" s="142" t="inlineStr">
        <is>
          <t>OFTALMO</t>
        </is>
      </c>
      <c r="M151" s="156" t="inlineStr">
        <is>
          <t>ARFAMEX</t>
        </is>
      </c>
      <c r="N151" s="142" t="n">
        <v>1</v>
      </c>
      <c r="O151" s="142" t="n">
        <v>2</v>
      </c>
      <c r="P151" s="145">
        <f>N151+O151</f>
        <v/>
      </c>
    </row>
    <row r="152" ht="19.95" customHeight="1" s="227">
      <c r="A152" s="137" t="n">
        <v>135</v>
      </c>
      <c r="B152" s="140" t="inlineStr">
        <is>
          <t>BM-003</t>
        </is>
      </c>
      <c r="C152" s="140" t="n">
        <v>17</v>
      </c>
      <c r="D152" s="139" t="inlineStr">
        <is>
          <t>Ing. Jose Romero Najera</t>
        </is>
      </c>
      <c r="E152" s="151" t="inlineStr">
        <is>
          <t>● MORADO</t>
        </is>
      </c>
      <c r="F152" s="154" t="inlineStr">
        <is>
          <t>H.M.Z. Ixcotel</t>
        </is>
      </c>
      <c r="G152" s="173" t="inlineStr">
        <is>
          <t>OAXACA</t>
        </is>
      </c>
      <c r="H152" s="154" t="inlineStr">
        <is>
          <t>Sistema de diagnóstico oftálmico avanzado, marca Heidelberg Engineering, modelo Spectralis</t>
        </is>
      </c>
      <c r="I152" s="154" t="inlineStr">
        <is>
          <t>Heidelberg Engineering</t>
        </is>
      </c>
      <c r="J152" s="154" t="inlineStr">
        <is>
          <t>Spectralis</t>
        </is>
      </c>
      <c r="K152" s="137" t="inlineStr">
        <is>
          <t>SPEC-CAM-22694-S3610</t>
        </is>
      </c>
      <c r="L152" s="137" t="inlineStr">
        <is>
          <t>OFTALMO</t>
        </is>
      </c>
      <c r="M152" s="154" t="inlineStr">
        <is>
          <t>ARFAMEX</t>
        </is>
      </c>
      <c r="N152" s="137" t="n">
        <v>1</v>
      </c>
      <c r="O152" s="137" t="n">
        <v>2</v>
      </c>
      <c r="P152" s="140">
        <f>N152+O152</f>
        <v/>
      </c>
    </row>
    <row r="153" ht="19.95" customHeight="1" s="227">
      <c r="A153" s="157" t="n">
        <v>136</v>
      </c>
      <c r="B153" s="158" t="inlineStr">
        <is>
          <t>BM-115</t>
        </is>
      </c>
      <c r="C153" s="158" t="n">
        <v>166</v>
      </c>
      <c r="D153" s="159" t="inlineStr">
        <is>
          <t>Ing. Jose Romero Najera</t>
        </is>
      </c>
      <c r="E153" s="151" t="inlineStr">
        <is>
          <t>● MORADO</t>
        </is>
      </c>
      <c r="F153" s="160" t="inlineStr">
        <is>
          <t>H.M.Z. Ixcotel</t>
        </is>
      </c>
      <c r="G153" s="173" t="inlineStr">
        <is>
          <t>OAXACA</t>
        </is>
      </c>
      <c r="H153" s="160" t="inlineStr">
        <is>
          <t>Equipo de rayos X móvil, marca Technix, modelo TMS 320</t>
        </is>
      </c>
      <c r="I153" s="160" t="inlineStr">
        <is>
          <t>Technix</t>
        </is>
      </c>
      <c r="J153" s="160" t="inlineStr">
        <is>
          <t>TMS 320</t>
        </is>
      </c>
      <c r="K153" s="157" t="inlineStr">
        <is>
          <t>80-16-104-175</t>
        </is>
      </c>
      <c r="L153" s="157" t="inlineStr">
        <is>
          <t>IMAGEN</t>
        </is>
      </c>
      <c r="M153" s="160" t="inlineStr">
        <is>
          <t>Médica Dimegar</t>
        </is>
      </c>
      <c r="N153" s="157" t="n">
        <v>1</v>
      </c>
      <c r="O153" s="157" t="n">
        <v>2</v>
      </c>
      <c r="P153" s="158">
        <f>N153+O153</f>
        <v/>
      </c>
    </row>
    <row r="154" ht="19.95" customHeight="1" s="227">
      <c r="A154" s="137" t="n">
        <v>137</v>
      </c>
      <c r="B154" s="140" t="inlineStr">
        <is>
          <t>BM-083</t>
        </is>
      </c>
      <c r="C154" s="140" t="n">
        <v>268</v>
      </c>
      <c r="D154" s="139" t="inlineStr">
        <is>
          <t>Ing. Jose Romero Najera</t>
        </is>
      </c>
      <c r="E154" s="151" t="inlineStr">
        <is>
          <t>● MORADO</t>
        </is>
      </c>
      <c r="F154" s="154" t="inlineStr">
        <is>
          <t>H.M.Z. Ixcotel</t>
        </is>
      </c>
      <c r="G154" s="173" t="inlineStr">
        <is>
          <t>OAXACA</t>
        </is>
      </c>
      <c r="H154" s="154" t="inlineStr">
        <is>
          <t>Fotocoagulador láser , marca Meridian AG, modelo SLA-UNI</t>
        </is>
      </c>
      <c r="I154" s="154" t="inlineStr">
        <is>
          <t>Meridian AG</t>
        </is>
      </c>
      <c r="J154" s="154" t="inlineStr">
        <is>
          <t>SLA-UNI</t>
        </is>
      </c>
      <c r="K154" s="137" t="inlineStr">
        <is>
          <t>0069</t>
        </is>
      </c>
      <c r="L154" s="137" t="inlineStr">
        <is>
          <t>OFTALMO</t>
        </is>
      </c>
      <c r="M154" s="154" t="inlineStr">
        <is>
          <t>DEWIMED</t>
        </is>
      </c>
      <c r="N154" s="137" t="n">
        <v>1</v>
      </c>
      <c r="O154" s="137" t="n">
        <v>2</v>
      </c>
      <c r="P154" s="140">
        <f>N154+O154</f>
        <v/>
      </c>
    </row>
    <row r="155" ht="19.95" customHeight="1" s="227">
      <c r="A155" s="142" t="n">
        <v>138</v>
      </c>
      <c r="B155" s="145" t="inlineStr">
        <is>
          <t>BM-084</t>
        </is>
      </c>
      <c r="C155" s="145" t="n">
        <v>273</v>
      </c>
      <c r="D155" s="144" t="inlineStr">
        <is>
          <t>Ing. Jose Romero Najera</t>
        </is>
      </c>
      <c r="E155" s="151" t="inlineStr">
        <is>
          <t>● MORADO</t>
        </is>
      </c>
      <c r="F155" s="156" t="inlineStr">
        <is>
          <t>H.M.Z. Ixcotel</t>
        </is>
      </c>
      <c r="G155" s="173" t="inlineStr">
        <is>
          <t>OAXACA</t>
        </is>
      </c>
      <c r="H155" s="156" t="inlineStr">
        <is>
          <t>Láser oftálmico, marca Alcon, modelo 3000LE</t>
        </is>
      </c>
      <c r="I155" s="156" t="inlineStr">
        <is>
          <t>Alcon</t>
        </is>
      </c>
      <c r="J155" s="156" t="inlineStr">
        <is>
          <t>3000LE</t>
        </is>
      </c>
      <c r="K155" s="142" t="inlineStr">
        <is>
          <t>5342LX</t>
        </is>
      </c>
      <c r="L155" s="142" t="inlineStr">
        <is>
          <t>OFTALMO</t>
        </is>
      </c>
      <c r="M155" s="156" t="inlineStr">
        <is>
          <t>ALCON</t>
        </is>
      </c>
      <c r="N155" s="142" t="n">
        <v>1</v>
      </c>
      <c r="O155" s="142" t="n">
        <v>2</v>
      </c>
      <c r="P155" s="145">
        <f>N155+O155</f>
        <v/>
      </c>
    </row>
    <row r="156" ht="19.95" customHeight="1" s="227">
      <c r="A156" s="157" t="n">
        <v>139</v>
      </c>
      <c r="B156" s="158" t="inlineStr">
        <is>
          <t>BM-138</t>
        </is>
      </c>
      <c r="C156" s="158" t="n">
        <v>314</v>
      </c>
      <c r="D156" s="159" t="inlineStr">
        <is>
          <t>Ing. Nuevo</t>
        </is>
      </c>
      <c r="E156" s="152" t="inlineStr">
        <is>
          <t>● VINO</t>
        </is>
      </c>
      <c r="F156" s="160" t="inlineStr">
        <is>
          <t>H.M.R. Puebla</t>
        </is>
      </c>
      <c r="G156" s="174" t="inlineStr">
        <is>
          <t>PUEBLA</t>
        </is>
      </c>
      <c r="H156" s="160" t="inlineStr">
        <is>
          <t>Equipo de rayos X móvil, marca Technix, modelo TMS 320</t>
        </is>
      </c>
      <c r="I156" s="160" t="inlineStr">
        <is>
          <t>Technix</t>
        </is>
      </c>
      <c r="J156" s="160" t="inlineStr">
        <is>
          <t>TMS 320</t>
        </is>
      </c>
      <c r="K156" s="157" t="inlineStr">
        <is>
          <t>80-16-101-172</t>
        </is>
      </c>
      <c r="L156" s="157" t="inlineStr">
        <is>
          <t>IMAGEN</t>
        </is>
      </c>
      <c r="M156" s="160" t="inlineStr">
        <is>
          <t>Médica Dimegar</t>
        </is>
      </c>
      <c r="N156" s="157" t="n">
        <v>1</v>
      </c>
      <c r="O156" s="157" t="n">
        <v>2</v>
      </c>
      <c r="P156" s="158">
        <f>N156+O156</f>
        <v/>
      </c>
    </row>
    <row r="157" ht="19.95" customHeight="1" s="227">
      <c r="A157" s="157" t="n">
        <v>140</v>
      </c>
      <c r="B157" s="158" t="inlineStr">
        <is>
          <t>BM-139</t>
        </is>
      </c>
      <c r="C157" s="158" t="n">
        <v>316</v>
      </c>
      <c r="D157" s="159" t="inlineStr">
        <is>
          <t>Ing. Nuevo</t>
        </is>
      </c>
      <c r="E157" s="152" t="inlineStr">
        <is>
          <t>● VINO</t>
        </is>
      </c>
      <c r="F157" s="160" t="inlineStr">
        <is>
          <t>H.M.R. Puebla</t>
        </is>
      </c>
      <c r="G157" s="174" t="inlineStr">
        <is>
          <t>PUEBLA</t>
        </is>
      </c>
      <c r="H157" s="160" t="inlineStr">
        <is>
          <t>Equipo de rayos X móvil, marca Mindray, modelo MobiEye 700</t>
        </is>
      </c>
      <c r="I157" s="160" t="inlineStr">
        <is>
          <t>Mindray</t>
        </is>
      </c>
      <c r="J157" s="160" t="inlineStr">
        <is>
          <t>MobiEye 700</t>
        </is>
      </c>
      <c r="K157" s="157" t="inlineStr">
        <is>
          <t>C8-05002378T</t>
        </is>
      </c>
      <c r="L157" s="157" t="inlineStr">
        <is>
          <t>IMAGEN</t>
        </is>
      </c>
      <c r="M157" s="160" t="inlineStr">
        <is>
          <t>Médica Dimegar</t>
        </is>
      </c>
      <c r="N157" s="157" t="n">
        <v>1</v>
      </c>
      <c r="O157" s="157" t="n">
        <v>2</v>
      </c>
      <c r="P157" s="158">
        <f>N157+O157</f>
        <v/>
      </c>
    </row>
    <row r="158" ht="19.95" customHeight="1" s="227">
      <c r="A158" s="157" t="n">
        <v>141</v>
      </c>
      <c r="B158" s="158" t="inlineStr">
        <is>
          <t>BM-112</t>
        </is>
      </c>
      <c r="C158" s="158" t="n">
        <v>163</v>
      </c>
      <c r="D158" s="159" t="inlineStr">
        <is>
          <t>Ing. Nuevo</t>
        </is>
      </c>
      <c r="E158" s="152" t="inlineStr">
        <is>
          <t>● VINO</t>
        </is>
      </c>
      <c r="F158" s="160" t="inlineStr">
        <is>
          <t>H.M.Z. El Vergel, Iztapalapa</t>
        </is>
      </c>
      <c r="G158" s="174" t="inlineStr">
        <is>
          <t>CDMX</t>
        </is>
      </c>
      <c r="H158" s="160" t="inlineStr">
        <is>
          <t>Equipo de rayos X móvil, marca Technix, modelo TMS 320</t>
        </is>
      </c>
      <c r="I158" s="160" t="inlineStr">
        <is>
          <t>Technix</t>
        </is>
      </c>
      <c r="J158" s="160" t="inlineStr">
        <is>
          <t>TMS 320</t>
        </is>
      </c>
      <c r="K158" s="157" t="inlineStr">
        <is>
          <t>80-16-90-161</t>
        </is>
      </c>
      <c r="L158" s="157" t="inlineStr">
        <is>
          <t>IMAGEN</t>
        </is>
      </c>
      <c r="M158" s="160" t="inlineStr">
        <is>
          <t>Médica Dimegar</t>
        </is>
      </c>
      <c r="N158" s="157" t="n">
        <v>1</v>
      </c>
      <c r="O158" s="157" t="n">
        <v>2</v>
      </c>
      <c r="P158" s="158">
        <f>N158+O158</f>
        <v/>
      </c>
    </row>
    <row r="159" ht="19.95" customHeight="1" s="227">
      <c r="A159" s="157" t="n">
        <v>142</v>
      </c>
      <c r="B159" s="158" t="inlineStr">
        <is>
          <t>BM-132</t>
        </is>
      </c>
      <c r="C159" s="158" t="n">
        <v>265</v>
      </c>
      <c r="D159" s="159" t="inlineStr">
        <is>
          <t>Ing. Nuevo</t>
        </is>
      </c>
      <c r="E159" s="152" t="inlineStr">
        <is>
          <t>● VINO</t>
        </is>
      </c>
      <c r="F159" s="160" t="inlineStr">
        <is>
          <t>H.M.Z. Santa María Rayón</t>
        </is>
      </c>
      <c r="G159" s="174" t="inlineStr">
        <is>
          <t>EDO DE MEX</t>
        </is>
      </c>
      <c r="H159" s="160" t="inlineStr">
        <is>
          <t>Rayos X móvil, marca Listem, modelo MOBIX-1000</t>
        </is>
      </c>
      <c r="I159" s="160" t="inlineStr">
        <is>
          <t>Listem</t>
        </is>
      </c>
      <c r="J159" s="160" t="inlineStr">
        <is>
          <t>MOBIX-1000</t>
        </is>
      </c>
      <c r="K159" s="157" t="inlineStr">
        <is>
          <t>10 0155</t>
        </is>
      </c>
      <c r="L159" s="157" t="inlineStr">
        <is>
          <t>IMAGEN</t>
        </is>
      </c>
      <c r="M159" s="160" t="inlineStr">
        <is>
          <t>Médica Dimegar</t>
        </is>
      </c>
      <c r="N159" s="157" t="n">
        <v>1</v>
      </c>
      <c r="O159" s="157" t="n">
        <v>2</v>
      </c>
      <c r="P159" s="158">
        <f>N159+O159</f>
        <v/>
      </c>
    </row>
    <row r="160" ht="19.95" customHeight="1" s="227">
      <c r="A160" s="157" t="n">
        <v>143</v>
      </c>
      <c r="B160" s="158" t="inlineStr">
        <is>
          <t>BM-142</t>
        </is>
      </c>
      <c r="C160" s="158" t="n">
        <v>353</v>
      </c>
      <c r="D160" s="159" t="inlineStr">
        <is>
          <t>Ing. Nuevo</t>
        </is>
      </c>
      <c r="E160" s="152" t="inlineStr">
        <is>
          <t>● VINO</t>
        </is>
      </c>
      <c r="F160" s="160" t="inlineStr">
        <is>
          <t>U.M.C.E. Tlalpan</t>
        </is>
      </c>
      <c r="G160" s="174" t="inlineStr">
        <is>
          <t>CDMX</t>
        </is>
      </c>
      <c r="H160" s="160" t="inlineStr">
        <is>
          <t>Rayos X portátil, marca Carestream, modelo DRX Revolution</t>
        </is>
      </c>
      <c r="I160" s="160" t="inlineStr">
        <is>
          <t>Carestream</t>
        </is>
      </c>
      <c r="J160" s="160" t="inlineStr">
        <is>
          <t>DRX Revolution</t>
        </is>
      </c>
      <c r="K160" s="157" t="inlineStr">
        <is>
          <t>21F0363</t>
        </is>
      </c>
      <c r="L160" s="157" t="inlineStr">
        <is>
          <t>IMAGEN</t>
        </is>
      </c>
      <c r="M160" s="160" t="inlineStr">
        <is>
          <t>Médica Dimegar</t>
        </is>
      </c>
      <c r="N160" s="157" t="n">
        <v>1</v>
      </c>
      <c r="O160" s="157" t="n">
        <v>2</v>
      </c>
      <c r="P160" s="158">
        <f>N160+O160</f>
        <v/>
      </c>
    </row>
    <row r="161" ht="24" customHeight="1" s="227">
      <c r="A161" s="241" t="inlineStr">
        <is>
          <t>EQUIPOS ASIGNADOS (143 EQUIPOS EN 37 HOSPITALES):</t>
        </is>
      </c>
      <c r="B161" s="224" t="n"/>
      <c r="C161" s="224" t="n"/>
      <c r="D161" s="224" t="n"/>
      <c r="E161" s="224" t="n"/>
      <c r="F161" s="224" t="n"/>
      <c r="G161" s="224" t="n"/>
      <c r="H161" s="224" t="n"/>
      <c r="I161" s="224" t="n"/>
      <c r="J161" s="224" t="n"/>
      <c r="K161" s="224" t="n"/>
      <c r="L161" s="224" t="n"/>
      <c r="M161" s="225" t="n"/>
      <c r="N161" s="175">
        <f>SUM(N18:N160)</f>
        <v/>
      </c>
      <c r="O161" s="175">
        <f>SUM(O18:O160)</f>
        <v/>
      </c>
      <c r="P161" s="175">
        <f>SUM(P18:P160)</f>
        <v/>
      </c>
    </row>
  </sheetData>
  <autoFilter ref="A17:P160"/>
  <mergeCells count="6">
    <mergeCell ref="A1:P1"/>
    <mergeCell ref="A2:P2"/>
    <mergeCell ref="A14:C14"/>
    <mergeCell ref="A16:P16"/>
    <mergeCell ref="A4:I4"/>
    <mergeCell ref="A161:M16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B365D"/>
    <outlinePr summaryBelow="1" summaryRight="1"/>
    <pageSetUpPr/>
  </sheetPr>
  <dimension ref="A1:G42"/>
  <sheetViews>
    <sheetView topLeftCell="A36" workbookViewId="0">
      <selection activeCell="H39" sqref="H39"/>
    </sheetView>
  </sheetViews>
  <sheetFormatPr baseColWidth="10" defaultColWidth="8.88671875" defaultRowHeight="14.4"/>
  <cols>
    <col width="34" customWidth="1" style="227" min="1" max="1"/>
    <col width="26" customWidth="1" style="227" min="2" max="6"/>
    <col width="16" customWidth="1" style="227" min="7" max="7"/>
  </cols>
  <sheetData>
    <row r="1" ht="30" customHeight="1" s="227">
      <c r="A1" s="246" t="inlineStr">
        <is>
          <t>CALENDARIO OPERATIVO DE MANTENIMIENTO PREVENTIVO - SEDENA 2026</t>
        </is>
      </c>
    </row>
    <row r="2" ht="22.05" customHeight="1" s="227">
      <c r="A2" s="251" t="inlineStr">
        <is>
          <t>Ventana Oficial: 13 al 29 de Octubre de 2026 | Semana 1 Local (CDMX/Edomex) | Semanas 2 y 3 Foráneas | 143 Equipos en 37 Sedes</t>
        </is>
      </c>
    </row>
    <row r="3" ht="10.05" customHeight="1" s="227"/>
    <row r="4" ht="18" customHeight="1" s="227">
      <c r="A4" s="280" t="inlineStr">
        <is>
          <t>UNIVERSO DE EQUIPOS</t>
        </is>
      </c>
      <c r="B4" s="243" t="n"/>
      <c r="C4" s="280" t="inlineStr">
        <is>
          <t>SEMANA 1 (19-23 OCT)</t>
        </is>
      </c>
      <c r="D4" s="243" t="n"/>
      <c r="E4" s="280" t="inlineStr">
        <is>
          <t>SEMANA 2 (26-30 OCT)</t>
        </is>
      </c>
      <c r="F4" s="243" t="n"/>
      <c r="G4" s="280" t="n"/>
    </row>
    <row r="5" ht="24" customHeight="1" s="227">
      <c r="A5" s="281" t="inlineStr">
        <is>
          <t>143 Equipos</t>
        </is>
      </c>
      <c r="B5" s="243" t="n"/>
      <c r="C5" s="282" t="inlineStr">
        <is>
          <t>85 Equipos</t>
        </is>
      </c>
      <c r="D5" s="243" t="n"/>
      <c r="E5" s="283" t="inlineStr">
        <is>
          <t>58 Equipos</t>
        </is>
      </c>
      <c r="F5" s="243" t="n"/>
      <c r="G5" s="284" t="n"/>
    </row>
    <row r="6" ht="18" customHeight="1" s="227">
      <c r="A6" s="285" t="inlineStr">
        <is>
          <t>37 Unidades Militares</t>
        </is>
      </c>
      <c r="B6" s="243" t="n"/>
      <c r="C6" s="285" t="inlineStr">
        <is>
          <t>59.4% de Avance Inicial</t>
        </is>
      </c>
      <c r="D6" s="243" t="n"/>
      <c r="E6" s="285" t="inlineStr">
        <is>
          <t>100% Cierre al 30 de Octubre</t>
        </is>
      </c>
      <c r="F6" s="243" t="n"/>
      <c r="G6" s="285" t="n"/>
    </row>
    <row r="7" ht="12" customHeight="1" s="227"/>
    <row r="8" ht="24" customHeight="1" s="227">
      <c r="A8" s="247" t="inlineStr">
        <is>
          <t>SEMANA 1: DEL MARTES 13 AL VIERNES 16 DE OCTUBRE DE 2026 (58 EQUIPOS - BLOQUE LOCAL CDMX/EDOMEX Y SITIOS LEICA)</t>
        </is>
      </c>
    </row>
    <row r="9" ht="25.95" customHeight="1" s="227">
      <c r="A9" s="176" t="inlineStr">
        <is>
          <t>Frente / Ingeniero Responsable</t>
        </is>
      </c>
      <c r="B9" s="176" t="inlineStr">
        <is>
          <t>Martes 13 Oct</t>
        </is>
      </c>
      <c r="C9" s="176" t="inlineStr">
        <is>
          <t>Miércoles 14 Oct</t>
        </is>
      </c>
      <c r="D9" s="176" t="inlineStr">
        <is>
          <t>Jueves 15 Oct</t>
        </is>
      </c>
      <c r="E9" s="176" t="inlineStr">
        <is>
          <t>Viernes 16 Oct</t>
        </is>
      </c>
      <c r="F9" s="176" t="inlineStr">
        <is>
          <t>Sábado 17 Oct</t>
        </is>
      </c>
      <c r="G9" s="176" t="inlineStr">
        <is>
          <t>Equipos Sem 1</t>
        </is>
      </c>
    </row>
    <row r="10" ht="36" customHeight="1" s="227">
      <c r="A10" s="183" t="inlineStr">
        <is>
          <t>Ing. Sophia López Ramírez</t>
        </is>
      </c>
      <c r="B10" s="177" t="inlineStr">
        <is>
          <t>H.M.E.O. Constituyentes
[7 equipos | Bloque 1]</t>
        </is>
      </c>
      <c r="C10" s="177" t="inlineStr">
        <is>
          <t>H.M.E.O. Constituyentes
[7 equipos | Bloque 2]</t>
        </is>
      </c>
      <c r="D10" s="177" t="inlineStr">
        <is>
          <t>H.M.E.O. Constituyentes
[7 equipos | Bloque 3]</t>
        </is>
      </c>
      <c r="E10" s="177" t="inlineStr">
        <is>
          <t>H.M.E.O. Constituyentes
[7 equipos | Bloque 4]</t>
        </is>
      </c>
      <c r="F10" s="177" t="inlineStr">
        <is>
          <t>Base CDMX
Descanso programado</t>
        </is>
      </c>
      <c r="G10" s="178" t="n">
        <v>28</v>
      </c>
    </row>
    <row r="11" ht="36" customHeight="1" s="227">
      <c r="A11" s="184" t="inlineStr">
        <is>
          <t>Ing. Axel Evangelista Salinas</t>
        </is>
      </c>
      <c r="B11" s="179" t="inlineStr">
        <is>
          <t>H.C.M. Lomas de Sotelo
[4 equipos: 2 Oft + 2 Img]
Supervisión y Oftalmo</t>
        </is>
      </c>
      <c r="C11" s="179" t="inlineStr">
        <is>
          <t>H.M.E.M. Y N. Sotelo
[4 equipos: 1 Oft + 3 Img]
Supervisión y Oftalmo</t>
        </is>
      </c>
      <c r="D11" s="179" t="inlineStr">
        <is>
          <t>H.M.Z. Campo Mil. 1-A
[1 equipo Imagen]
Supervisión Arco en C</t>
        </is>
      </c>
      <c r="E11" s="179" t="inlineStr">
        <is>
          <t>Subcentro CM 1-A
[7 equipos: 1 Oft + 6 Img]
Supervisión y Oftalmo</t>
        </is>
      </c>
      <c r="F11" s="179" t="inlineStr">
        <is>
          <t>Base CDMX
Preparación ruta Golfo</t>
        </is>
      </c>
      <c r="G11" s="180" t="n">
        <v>16</v>
      </c>
    </row>
    <row r="12" ht="36" customHeight="1" s="227">
      <c r="A12" s="185" t="inlineStr">
        <is>
          <t>Ing. Rogelio Ramos Centeno</t>
        </is>
      </c>
      <c r="B12" s="177" t="inlineStr">
        <is>
          <t>Base Guadalajara
Logística Occidente</t>
        </is>
      </c>
      <c r="C12" s="286" t="inlineStr">
        <is>
          <t>H.M.Z. Zapopan
[2 equipos: 1 Oft + 1 Img]
Microscopio Leica</t>
        </is>
      </c>
      <c r="D12" s="287" t="inlineStr">
        <is>
          <t>Base Guadalajara
Revisión Instrumental</t>
        </is>
      </c>
      <c r="E12" s="177" t="inlineStr">
        <is>
          <t>Base Guadalajara
Prep. Ruta Mazatlán</t>
        </is>
      </c>
      <c r="F12" s="177" t="inlineStr">
        <is>
          <t>Base Guadalajara
Descanso</t>
        </is>
      </c>
      <c r="G12" s="178" t="n">
        <v>2</v>
      </c>
    </row>
    <row r="13" ht="36" customHeight="1" s="227">
      <c r="A13" s="186" t="inlineStr">
        <is>
          <t>Ing. Jose Jorge Olivares Velazquez</t>
        </is>
      </c>
      <c r="B13" s="179" t="inlineStr">
        <is>
          <t>H.M.R. Santa Lucía
[3 equipos | AIFA]
Mantenimiento Oftalmo</t>
        </is>
      </c>
      <c r="C13" s="179" t="inlineStr">
        <is>
          <t>H.M.Z. Temamatla
[3 equipos | Campo 37-B]
Supervisión Imagen</t>
        </is>
      </c>
      <c r="D13" s="179" t="inlineStr">
        <is>
          <t>Base CDMX
Planificación Ruta Sur</t>
        </is>
      </c>
      <c r="E13" s="179" t="inlineStr">
        <is>
          <t>Base CDMX
Preparación Morelos/Gro</t>
        </is>
      </c>
      <c r="F13" s="179" t="inlineStr">
        <is>
          <t>Base CDMX
Descanso</t>
        </is>
      </c>
      <c r="G13" s="180" t="n">
        <v>6</v>
      </c>
    </row>
    <row r="14" ht="36" customHeight="1" s="227">
      <c r="A14" s="187" t="inlineStr">
        <is>
          <t>Ing. Ángel Rodríguez Zavala</t>
        </is>
      </c>
      <c r="B14" s="177" t="inlineStr">
        <is>
          <t>Base Bajío
Logística Circuito</t>
        </is>
      </c>
      <c r="C14" s="177" t="inlineStr">
        <is>
          <t>Base Bajío
Kits y Oficios SEDENA</t>
        </is>
      </c>
      <c r="D14" s="177" t="inlineStr">
        <is>
          <t>Base Bajío
Coordinación Hospitales</t>
        </is>
      </c>
      <c r="E14" s="177" t="inlineStr">
        <is>
          <t>Base Bajío
Prep. Salida Irapuato</t>
        </is>
      </c>
      <c r="F14" s="177" t="inlineStr">
        <is>
          <t>Base Bajío
Descanso</t>
        </is>
      </c>
      <c r="G14" s="178" t="n">
        <v>0</v>
      </c>
    </row>
    <row r="15" ht="36" customHeight="1" s="227">
      <c r="A15" s="188" t="inlineStr">
        <is>
          <t>Ing. Fernando Javier Michel Euan</t>
        </is>
      </c>
      <c r="B15" s="179" t="inlineStr">
        <is>
          <t>Base Mérida
Verificación Kits</t>
        </is>
      </c>
      <c r="C15" s="179" t="inlineStr">
        <is>
          <t>Base Mérida
Logística Peninsular</t>
        </is>
      </c>
      <c r="D15" s="286" t="inlineStr">
        <is>
          <t>H.M.R.E. Mérida
[3 equipos: 1 Oft + 2 Img]
Microscopio Leica</t>
        </is>
      </c>
      <c r="E15" s="179" t="inlineStr">
        <is>
          <t>Base Mérida
Prep. Salida MID/Chetumal</t>
        </is>
      </c>
      <c r="F15" s="179" t="inlineStr">
        <is>
          <t>Base Mérida
Descanso</t>
        </is>
      </c>
      <c r="G15" s="180" t="n">
        <v>3</v>
      </c>
    </row>
    <row r="16" ht="36" customHeight="1" s="227">
      <c r="A16" s="189" t="inlineStr">
        <is>
          <t>Ing. Jose Romero Najera</t>
        </is>
      </c>
      <c r="B16" s="177" t="inlineStr">
        <is>
          <t>Base CDMX
Kits Oftalmológicos</t>
        </is>
      </c>
      <c r="C16" s="177" t="inlineStr">
        <is>
          <t>Base CDMX
Instrumental Quirófano</t>
        </is>
      </c>
      <c r="D16" s="177" t="inlineStr">
        <is>
          <t>Base CDMX
Calibradores Ópticos</t>
        </is>
      </c>
      <c r="E16" s="177" t="inlineStr">
        <is>
          <t>Base CDMX
Prep. Vuelo Oaxaca</t>
        </is>
      </c>
      <c r="F16" s="177" t="inlineStr">
        <is>
          <t>Base CDMX
Descanso</t>
        </is>
      </c>
      <c r="G16" s="178" t="n">
        <v>0</v>
      </c>
    </row>
    <row r="17" ht="36" customHeight="1" s="227">
      <c r="A17" s="190" t="inlineStr">
        <is>
          <t>Ing. Nuevo</t>
        </is>
      </c>
      <c r="B17" s="179" t="inlineStr">
        <is>
          <t>H.M.Z. Santa María Rayón
[1 equipo Imagen]
Supervisión Toluca</t>
        </is>
      </c>
      <c r="C17" s="179" t="inlineStr">
        <is>
          <t>H.M.Z. El Vergel
[1 equipo Imagen]
Supervisión Iztapalapa</t>
        </is>
      </c>
      <c r="D17" s="179" t="inlineStr">
        <is>
          <t>U.M.C.E. Tlalpan
[1 equipo Imagen]
Supervisión Tlalpan</t>
        </is>
      </c>
      <c r="E17" s="179" t="inlineStr">
        <is>
          <t>Base CDMX
Integración bitácoras</t>
        </is>
      </c>
      <c r="F17" s="179" t="inlineStr">
        <is>
          <t>Base CDMX
Descanso</t>
        </is>
      </c>
      <c r="G17" s="180" t="n">
        <v>3</v>
      </c>
    </row>
    <row r="18" ht="24" customHeight="1" s="227">
      <c r="A18" s="181" t="inlineStr">
        <is>
          <t>TOTAL EQUIPOS DÍA (SEMANA 1 LOCAL + LEICA):</t>
        </is>
      </c>
      <c r="B18" s="182" t="inlineStr">
        <is>
          <t>15 equipos</t>
        </is>
      </c>
      <c r="C18" s="182" t="inlineStr">
        <is>
          <t>17 equipos</t>
        </is>
      </c>
      <c r="D18" s="182" t="inlineStr">
        <is>
          <t>12 equipos</t>
        </is>
      </c>
      <c r="E18" s="182" t="inlineStr">
        <is>
          <t>14 equipos</t>
        </is>
      </c>
      <c r="F18" s="182" t="inlineStr">
        <is>
          <t>0 equipos</t>
        </is>
      </c>
      <c r="G18" s="182" t="inlineStr">
        <is>
          <t>58 equipos</t>
        </is>
      </c>
    </row>
    <row r="19" ht="13.95" customHeight="1" s="227"/>
    <row r="20" ht="24" customHeight="1" s="227">
      <c r="A20" s="247" t="inlineStr">
        <is>
          <t>SEMANA 2: DEL LUNES 19 AL VIERNES 23 DE OCTUBRE DE 2026 (72 EQUIPOS - RUTAS FORÁNEAS FASE 1 Y CONSTITUYENTES)</t>
        </is>
      </c>
    </row>
    <row r="21" ht="25.95" customHeight="1" s="227">
      <c r="A21" s="176" t="inlineStr">
        <is>
          <t>Frente / Ingeniero Responsable</t>
        </is>
      </c>
      <c r="B21" s="176" t="inlineStr">
        <is>
          <t>Lunes 19 Oct</t>
        </is>
      </c>
      <c r="C21" s="176" t="inlineStr">
        <is>
          <t>Martes 20 Oct</t>
        </is>
      </c>
      <c r="D21" s="176" t="inlineStr">
        <is>
          <t>Miércoles 21 Oct</t>
        </is>
      </c>
      <c r="E21" s="176" t="inlineStr">
        <is>
          <t>Jueves 22 Oct</t>
        </is>
      </c>
      <c r="F21" s="176" t="inlineStr">
        <is>
          <t>Viernes 23 Oct</t>
        </is>
      </c>
      <c r="G21" s="176" t="inlineStr">
        <is>
          <t>Equipos Sem 2</t>
        </is>
      </c>
    </row>
    <row r="22" ht="36" customHeight="1" s="227">
      <c r="A22" s="183" t="inlineStr">
        <is>
          <t>Ing. Sophia López Ramírez</t>
        </is>
      </c>
      <c r="B22" s="177" t="inlineStr">
        <is>
          <t>H.M.E.O. Constituyentes
[8 equipos | Bloque 5]</t>
        </is>
      </c>
      <c r="C22" s="177" t="inlineStr">
        <is>
          <t>H.M.E.O. Constituyentes
[8 equipos | Bloque 6]</t>
        </is>
      </c>
      <c r="D22" s="177" t="inlineStr">
        <is>
          <t>H.M.E.O. Constituyentes
[8 equipos | Bloque 7]</t>
        </is>
      </c>
      <c r="E22" s="177" t="inlineStr">
        <is>
          <t>H.M.E.O. Constituyentes
[8 equipos | Bloque 8]</t>
        </is>
      </c>
      <c r="F22" s="177" t="inlineStr">
        <is>
          <t>H.M.E.O. Constituyentes
[8 eq finales + firmas]
Entrega de carpetas</t>
        </is>
      </c>
      <c r="G22" s="178" t="n">
        <v>40</v>
      </c>
    </row>
    <row r="23" ht="36" customHeight="1" s="227">
      <c r="A23" s="184" t="inlineStr">
        <is>
          <t>Ing. Axel Evangelista Salinas</t>
        </is>
      </c>
      <c r="B23" s="179" t="inlineStr">
        <is>
          <t>H.M.R. Tuxpan
[1 equipo Imagen]
Supervisión Veracruz Norte</t>
        </is>
      </c>
      <c r="C23" s="179" t="inlineStr">
        <is>
          <t>H.M.Z. La Boticaría
[3 equipos: 1 Oft + 2 Img]
Supervisión Boca del Río</t>
        </is>
      </c>
      <c r="D23" s="179" t="inlineStr">
        <is>
          <t>CDMX ➔ Monterrey
Vuelo e instalación</t>
        </is>
      </c>
      <c r="E23" s="179" t="inlineStr">
        <is>
          <t>H.M.R.E. Monterrey
[2 equipos: 1 Oft + 1 Img]
Día 1 Monterrey</t>
        </is>
      </c>
      <c r="F23" s="179" t="inlineStr">
        <is>
          <t>H.M.R.E. Monterrey
[2 equipos: 1 Oft + 1 Img]
Día 2 + Retorno CDMX</t>
        </is>
      </c>
      <c r="G23" s="180" t="n">
        <v>8</v>
      </c>
    </row>
    <row r="24" ht="36" customHeight="1" s="227">
      <c r="A24" s="185" t="inlineStr">
        <is>
          <t>Ing. Rogelio Ramos Centeno</t>
        </is>
      </c>
      <c r="B24" s="177" t="inlineStr">
        <is>
          <t>H.M.R.E. Guadalajara
[2 equipos: 1 Oft + 1 Img]
Sede Local ZMG</t>
        </is>
      </c>
      <c r="C24" s="287" t="inlineStr">
        <is>
          <t>Base Guadalajara
Prep. Salida Mazatlán</t>
        </is>
      </c>
      <c r="D24" s="177" t="inlineStr">
        <is>
          <t>GDL ➔ Mazatlán
Autopista 15D (4.5 h)</t>
        </is>
      </c>
      <c r="E24" s="177" t="inlineStr">
        <is>
          <t>H.M.R.E. Mazatlán
[3 equipos: 1 Oft + 2 Img]
Día 1 Mazatlán</t>
        </is>
      </c>
      <c r="F24" s="177" t="inlineStr">
        <is>
          <t>H.M.R.E. Mazatlán
[2 equipos Imagen]
Firmas y retorno GDL</t>
        </is>
      </c>
      <c r="G24" s="178" t="n">
        <v>7</v>
      </c>
    </row>
    <row r="25" ht="36" customHeight="1" s="227">
      <c r="A25" s="186" t="inlineStr">
        <is>
          <t>Ing. Jose Jorge Olivares Velazquez</t>
        </is>
      </c>
      <c r="B25" s="179" t="inlineStr">
        <is>
          <t>Base CDMX
Salida a Morelos</t>
        </is>
      </c>
      <c r="C25" s="179" t="inlineStr">
        <is>
          <t>H.M.Z. Cuernavaca
[2 equipos Imagen]
Supervisión Morelos</t>
        </is>
      </c>
      <c r="D25" s="179" t="inlineStr">
        <is>
          <t>H.M.R. Chilpancingo
[1 equipo Imagen]
Supervisión Guerrero</t>
        </is>
      </c>
      <c r="E25" s="179" t="inlineStr">
        <is>
          <t>H.M.R. Acapulco
[1 equipo Imagen]
Supervisión Acapulco</t>
        </is>
      </c>
      <c r="F25" s="179" t="inlineStr">
        <is>
          <t>Acapulco ➔ CDMX
Retorno con actas firmadas</t>
        </is>
      </c>
      <c r="G25" s="180" t="n">
        <v>4</v>
      </c>
    </row>
    <row r="26" ht="36" customHeight="1" s="227">
      <c r="A26" s="187" t="inlineStr">
        <is>
          <t>Ing. Ángel Rodríguez Zavala</t>
        </is>
      </c>
      <c r="B26" s="177" t="inlineStr">
        <is>
          <t>H.M.R., Irapuato
[1 equipo Imagen]
Supervisión Guanajuato</t>
        </is>
      </c>
      <c r="C26" s="177" t="inlineStr">
        <is>
          <t>H.M.R. San Luis Potosí
[1 equipo Imagen]
Supervisión SLP</t>
        </is>
      </c>
      <c r="D26" s="177" t="inlineStr">
        <is>
          <t>H.M.Z. Guadalupe
[1 equipo Imagen]
Supervisión Zacatecas</t>
        </is>
      </c>
      <c r="E26" s="177" t="inlineStr">
        <is>
          <t>H.M.Z. Cinco de Mayo
[1 equipo Imagen]
Supervisión Durango</t>
        </is>
      </c>
      <c r="F26" s="177" t="inlineStr">
        <is>
          <t>Durango ➔ Base
Retorno circuito Bajío</t>
        </is>
      </c>
      <c r="G26" s="178" t="n">
        <v>4</v>
      </c>
    </row>
    <row r="27" ht="36" customHeight="1" s="227">
      <c r="A27" s="188" t="inlineStr">
        <is>
          <t>Ing. Fernando Javier Michel Euan</t>
        </is>
      </c>
      <c r="B27" s="287" t="inlineStr">
        <is>
          <t>Base Mérida
Cálculos Cancún HGR 17</t>
        </is>
      </c>
      <c r="C27" s="286" t="inlineStr">
        <is>
          <t>H.M.Z. Chetumal
[1 equipo Imagen]
Supervisión Q. Roo</t>
        </is>
      </c>
      <c r="D27" s="286" t="inlineStr">
        <is>
          <t>H.M.Z. Villahermosa
[1 equipo Oftalmo]
Mantenimiento Tabasco</t>
        </is>
      </c>
      <c r="E27" s="287" t="inlineStr">
        <is>
          <t>Base Mérida
Retorno y preparación</t>
        </is>
      </c>
      <c r="F27" s="287" t="inlineStr">
        <is>
          <t>Base Cancún
Liberado Jornada HGR 17</t>
        </is>
      </c>
      <c r="G27" s="180" t="n">
        <v>2</v>
      </c>
    </row>
    <row r="28" ht="36" customHeight="1" s="227">
      <c r="A28" s="189" t="inlineStr">
        <is>
          <t>Ing. Jose Romero Najera</t>
        </is>
      </c>
      <c r="B28" s="177" t="inlineStr">
        <is>
          <t>CDMX ➔ Oaxaca
Vuelo matutino</t>
        </is>
      </c>
      <c r="C28" s="177" t="inlineStr">
        <is>
          <t>H.M.Z. Ixcotel
[3 equipos: 2 Oft + 1 Img]
Quirófanos + RX</t>
        </is>
      </c>
      <c r="D28" s="177" t="inlineStr">
        <is>
          <t>H.M.Z. Ixcotel
[2 equipos Oftalmo]
Láseres y Faco</t>
        </is>
      </c>
      <c r="E28" s="177" t="inlineStr">
        <is>
          <t>Firmas Ixcotel ➔ CDMX
Vuelo de retorno tarde</t>
        </is>
      </c>
      <c r="F28" s="177" t="inlineStr">
        <is>
          <t>Base CDMX
Cierre expediente Oaxaca</t>
        </is>
      </c>
      <c r="G28" s="178" t="n">
        <v>5</v>
      </c>
    </row>
    <row r="29" ht="36" customHeight="1" s="227">
      <c r="A29" s="190" t="inlineStr">
        <is>
          <t>Ing. Nuevo</t>
        </is>
      </c>
      <c r="B29" s="179" t="inlineStr">
        <is>
          <t>H.M.R. Puebla
[1 equipo Imagen]
Día 1 Puebla</t>
        </is>
      </c>
      <c r="C29" s="179" t="inlineStr">
        <is>
          <t>H.M.R. Puebla
[1 equipo Imagen]
Día 2 + Retorno CDMX</t>
        </is>
      </c>
      <c r="D29" s="179" t="inlineStr">
        <is>
          <t>Base CDMX
Auditoría bitácoras</t>
        </is>
      </c>
      <c r="E29" s="179" t="inlineStr">
        <is>
          <t>Base CDMX
Integración carpetas</t>
        </is>
      </c>
      <c r="F29" s="179" t="inlineStr">
        <is>
          <t>Base CDMX
Soporte general</t>
        </is>
      </c>
      <c r="G29" s="180" t="n">
        <v>2</v>
      </c>
    </row>
    <row r="30" ht="24" customHeight="1" s="227">
      <c r="A30" s="181" t="inlineStr">
        <is>
          <t>TOTAL EQUIPOS DÍA (SEMANA 2 FORÁNEA 1):</t>
        </is>
      </c>
      <c r="B30" s="182" t="inlineStr">
        <is>
          <t>13 equipos</t>
        </is>
      </c>
      <c r="C30" s="182" t="inlineStr">
        <is>
          <t>15 equipos</t>
        </is>
      </c>
      <c r="D30" s="182" t="inlineStr">
        <is>
          <t>14 equipos</t>
        </is>
      </c>
      <c r="E30" s="182" t="inlineStr">
        <is>
          <t>16 equipos</t>
        </is>
      </c>
      <c r="F30" s="182" t="inlineStr">
        <is>
          <t>14 equipos</t>
        </is>
      </c>
      <c r="G30" s="182" t="inlineStr">
        <is>
          <t>72 equipos</t>
        </is>
      </c>
    </row>
    <row r="31" ht="13.95" customHeight="1" s="227"/>
    <row r="32" ht="25.05" customHeight="1" s="227">
      <c r="A32" s="288" t="inlineStr">
        <is>
          <t>SEMANA 3: DEL LUNES 26 AL VIERNES 30 DE OCTUBRE DE 2026 (13 EQUIPOS - RUTAS FORÁNEAS FASE 2 Y CIERRE FINAL)</t>
        </is>
      </c>
    </row>
    <row r="33" ht="22.05" customHeight="1" s="227">
      <c r="A33" s="217" t="inlineStr">
        <is>
          <t>Frente / Ingeniero Responsable</t>
        </is>
      </c>
      <c r="B33" s="217" t="inlineStr">
        <is>
          <t>Lunes 26 Oct</t>
        </is>
      </c>
      <c r="C33" s="217" t="inlineStr">
        <is>
          <t>Martes 27 Oct</t>
        </is>
      </c>
      <c r="D33" s="217" t="inlineStr">
        <is>
          <t>Miércoles 28 Oct</t>
        </is>
      </c>
      <c r="E33" s="217" t="inlineStr">
        <is>
          <t>Jueves 29 Oct</t>
        </is>
      </c>
      <c r="F33" s="217" t="inlineStr">
        <is>
          <t>Viernes 30 Oct</t>
        </is>
      </c>
      <c r="G33" s="217" t="inlineStr">
        <is>
          <t>Equipos Sem 3</t>
        </is>
      </c>
    </row>
    <row r="34" ht="37.95" customHeight="1" s="227">
      <c r="A34" s="183" t="inlineStr">
        <is>
          <t>Ing. Sophia López Ramírez</t>
        </is>
      </c>
      <c r="B34" s="218" t="inlineStr">
        <is>
          <t>Base CDMX
Respaldo Constituyentes</t>
        </is>
      </c>
      <c r="C34" s="218" t="inlineStr">
        <is>
          <t>Base CDMX
Auditoría documental</t>
        </is>
      </c>
      <c r="D34" s="218" t="inlineStr">
        <is>
          <t>Base CDMX
Integración bitácoras</t>
        </is>
      </c>
      <c r="E34" s="218" t="inlineStr">
        <is>
          <t>Base CDMX
Firma actas SEDENA</t>
        </is>
      </c>
      <c r="F34" s="218" t="inlineStr">
        <is>
          <t>Base CDMX
Cierre oficial contrato</t>
        </is>
      </c>
      <c r="G34" s="219" t="n">
        <v>0</v>
      </c>
    </row>
    <row r="35" ht="37.95" customHeight="1" s="227">
      <c r="A35" s="184" t="inlineStr">
        <is>
          <t>Ing. Axel Evangelista Salinas</t>
        </is>
      </c>
      <c r="B35" s="218" t="inlineStr">
        <is>
          <t>Base CDMX
Expediente Tuxpan/Veracruz</t>
        </is>
      </c>
      <c r="C35" s="218" t="inlineStr">
        <is>
          <t>Base CDMX
Expediente Monterrey</t>
        </is>
      </c>
      <c r="D35" s="218" t="inlineStr">
        <is>
          <t>Base CDMX
Conciliación técnica</t>
        </is>
      </c>
      <c r="E35" s="218" t="inlineStr">
        <is>
          <t>Base CDMX
Integración carpetas</t>
        </is>
      </c>
      <c r="F35" s="218" t="inlineStr">
        <is>
          <t>Base CDMX
Cierre oficial contrato</t>
        </is>
      </c>
      <c r="G35" s="219" t="n">
        <v>0</v>
      </c>
    </row>
    <row r="36" ht="37.95" customHeight="1" s="227">
      <c r="A36" s="185" t="inlineStr">
        <is>
          <t>Ing. Rogelio Ramos Centeno</t>
        </is>
      </c>
      <c r="B36" s="220" t="inlineStr">
        <is>
          <t>H.M.R. La Paz
[2 equipos: 1 Oft + 1 Img]
Vuelo/Ferry BCS</t>
        </is>
      </c>
      <c r="C36" s="220" t="inlineStr">
        <is>
          <t>H.M.R. Hermosillo
[1 equipo Imagen]
Supervisión Sonora</t>
        </is>
      </c>
      <c r="D36" s="220" t="inlineStr">
        <is>
          <t>H.M.Z. Mexicali
[1 equipo Imagen]
Supervisión Baja Cal.</t>
        </is>
      </c>
      <c r="E36" s="220" t="inlineStr">
        <is>
          <t>H.M.R. El Ciprés
[1 equipo Imagen]
Ensenada + Firmas</t>
        </is>
      </c>
      <c r="F36" s="218" t="inlineStr">
        <is>
          <t>Tijuana ➔ GDL
Vuelo de retorno final</t>
        </is>
      </c>
      <c r="G36" s="219" t="n">
        <v>5</v>
      </c>
    </row>
    <row r="37" ht="37.95" customHeight="1" s="227">
      <c r="A37" s="186" t="inlineStr">
        <is>
          <t>Ing. Jose Jorge Olivares Velazquez</t>
        </is>
      </c>
      <c r="B37" s="218" t="inlineStr">
        <is>
          <t>Base CDMX
Expedientes Morelos/Gro</t>
        </is>
      </c>
      <c r="C37" s="218" t="inlineStr">
        <is>
          <t>Base CDMX
Actas Santa Lucía/Temam.</t>
        </is>
      </c>
      <c r="D37" s="218" t="inlineStr">
        <is>
          <t>Base CDMX
Conciliación bitácoras</t>
        </is>
      </c>
      <c r="E37" s="218" t="inlineStr">
        <is>
          <t>Base CDMX
Integración carpetas</t>
        </is>
      </c>
      <c r="F37" s="218" t="inlineStr">
        <is>
          <t>Base CDMX
Cierre oficial contrato</t>
        </is>
      </c>
      <c r="G37" s="219" t="n">
        <v>0</v>
      </c>
    </row>
    <row r="38" ht="37.95" customHeight="1" s="227">
      <c r="A38" s="187" t="inlineStr">
        <is>
          <t>Ing. Ángel Rodríguez Zavala</t>
        </is>
      </c>
      <c r="B38" s="220" t="inlineStr">
        <is>
          <t>H.M.Z. Santa Gertrudis
[1 equipo Imagen]
Supervisión S. Gertrudis</t>
        </is>
      </c>
      <c r="C38" s="220" t="inlineStr">
        <is>
          <t>H.M.R. Chihuahua
[2 equipos Imagen]
Supervisión Chihuahua</t>
        </is>
      </c>
      <c r="D38" s="220" t="inlineStr">
        <is>
          <t>H.M.R. Tampico
[1 equipo Imagen]
Vuelo/Traslado Tampico</t>
        </is>
      </c>
      <c r="E38" s="220" t="inlineStr">
        <is>
          <t>U.M.C.E. Reynosa
[1 equipo Imagen]
Supervisión Reynosa</t>
        </is>
      </c>
      <c r="F38" s="218" t="inlineStr">
        <is>
          <t>Reynosa ➔ Bajío
Retorno con actas firmadas</t>
        </is>
      </c>
      <c r="G38" s="219" t="n">
        <v>5</v>
      </c>
    </row>
    <row r="39" ht="37.95" customHeight="1" s="227">
      <c r="A39" s="188" t="inlineStr">
        <is>
          <t>Ing. Fernando Javier Michel Euan</t>
        </is>
      </c>
      <c r="B39" s="218" t="inlineStr">
        <is>
          <t>Base Cancún / Playa
Liberado Jornadas IMSS</t>
        </is>
      </c>
      <c r="C39" s="218" t="inlineStr">
        <is>
          <t>Base Cancún / Playa
Liberado Jornadas IMSS</t>
        </is>
      </c>
      <c r="D39" s="218" t="inlineStr">
        <is>
          <t>Base Cancún / Playa
Liberado Jornadas IMSS</t>
        </is>
      </c>
      <c r="E39" s="218" t="inlineStr">
        <is>
          <t>Base Cancún / Playa
Liberado Jornadas IMSS</t>
        </is>
      </c>
      <c r="F39" s="218" t="inlineStr">
        <is>
          <t>Base Mérida
Cierre documental</t>
        </is>
      </c>
      <c r="G39" s="219" t="n">
        <v>0</v>
      </c>
    </row>
    <row r="40" ht="37.95" customHeight="1" s="227">
      <c r="A40" s="189" t="inlineStr">
        <is>
          <t>Ing. Jose Romero Najera</t>
        </is>
      </c>
      <c r="B40" s="218" t="inlineStr">
        <is>
          <t>Base CDMX
Expediente Ixcotel</t>
        </is>
      </c>
      <c r="C40" s="218" t="inlineStr">
        <is>
          <t>Base CDMX
Revisión reportes Oaxaca</t>
        </is>
      </c>
      <c r="D40" s="218" t="inlineStr">
        <is>
          <t>Base CDMX
Conciliación médica</t>
        </is>
      </c>
      <c r="E40" s="218" t="inlineStr">
        <is>
          <t>Base CDMX
Integración carpetas</t>
        </is>
      </c>
      <c r="F40" s="218" t="inlineStr">
        <is>
          <t>Base CDMX
Cierre oficial contrato</t>
        </is>
      </c>
      <c r="G40" s="219" t="n">
        <v>0</v>
      </c>
    </row>
    <row r="41" ht="37.95" customHeight="1" s="227">
      <c r="A41" s="190" t="inlineStr">
        <is>
          <t>Ing. Nuevo</t>
        </is>
      </c>
      <c r="B41" s="289" t="inlineStr">
        <is>
          <t>H.M.R. Tuxtla Gutiérrez
[3 equipos: 1 Oft + 2 Img]
Supervisión Chiapas</t>
        </is>
      </c>
      <c r="C41" s="218" t="inlineStr">
        <is>
          <t>Tuxtla ➔ CDMX
Retorno con actas firmadas</t>
        </is>
      </c>
      <c r="D41" s="218" t="inlineStr">
        <is>
          <t>Base CDMX
Digitalización actas</t>
        </is>
      </c>
      <c r="E41" s="218" t="inlineStr">
        <is>
          <t>Base CDMX
Integración carpetas</t>
        </is>
      </c>
      <c r="F41" s="218" t="inlineStr">
        <is>
          <t>Base CDMX
Cierre oficial contrato</t>
        </is>
      </c>
      <c r="G41" s="219" t="n">
        <v>3</v>
      </c>
    </row>
    <row r="42" ht="24" customHeight="1" s="227">
      <c r="A42" s="221" t="inlineStr">
        <is>
          <t>TOTAL EQUIPOS DÍA (SEMANA 3 FORÁNEA 2 Y CIERRE):</t>
        </is>
      </c>
      <c r="B42" s="222" t="inlineStr">
        <is>
          <t>6 equipos</t>
        </is>
      </c>
      <c r="C42" s="222" t="inlineStr">
        <is>
          <t>3 equipos</t>
        </is>
      </c>
      <c r="D42" s="222" t="inlineStr">
        <is>
          <t>2 equipos</t>
        </is>
      </c>
      <c r="E42" s="222" t="inlineStr">
        <is>
          <t>2 equipos</t>
        </is>
      </c>
      <c r="F42" s="222" t="inlineStr">
        <is>
          <t>0 equipos</t>
        </is>
      </c>
      <c r="G42" s="222" t="inlineStr">
        <is>
          <t>13 equipos</t>
        </is>
      </c>
    </row>
  </sheetData>
  <mergeCells count="17">
    <mergeCell ref="A4:B4"/>
    <mergeCell ref="A32:G32"/>
    <mergeCell ref="E4:F4"/>
    <mergeCell ref="E6:F6"/>
    <mergeCell ref="A1:G1"/>
    <mergeCell ref="C6:D6"/>
    <mergeCell ref="G4"/>
    <mergeCell ref="A8:G8"/>
    <mergeCell ref="C5:D5"/>
    <mergeCell ref="A5:B5"/>
    <mergeCell ref="E5:F5"/>
    <mergeCell ref="A20:G20"/>
    <mergeCell ref="A2:G2"/>
    <mergeCell ref="A6:B6"/>
    <mergeCell ref="G6"/>
    <mergeCell ref="G5"/>
    <mergeCell ref="C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365D"/>
    <outlinePr summaryBelow="1" summaryRight="1"/>
    <pageSetUpPr/>
  </sheetPr>
  <dimension ref="A1:N148"/>
  <sheetViews>
    <sheetView tabSelected="1" topLeftCell="A59" workbookViewId="0">
      <selection activeCell="H66" sqref="H66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30" customWidth="1" style="227" min="6" max="6"/>
    <col width="42" customWidth="1" style="227" min="7" max="7"/>
    <col width="18" customWidth="1" style="227" min="8" max="8"/>
    <col width="14" customWidth="1" style="227" min="9" max="11"/>
    <col width="30" customWidth="1" style="227" min="12" max="12"/>
    <col width="16" customWidth="1" style="227" min="13" max="13"/>
  </cols>
  <sheetData>
    <row r="1" ht="30" customHeight="1" s="227">
      <c r="A1" s="228" t="inlineStr">
        <is>
          <t>PROGRAMACIÓN TÉCNICA OPERATIVA DE MANTENIMIENTO PREVENTIVO - SEDENA 2026</t>
        </is>
      </c>
    </row>
    <row r="2" ht="22.05" customHeight="1" s="227">
      <c r="A2" s="226" t="inlineStr">
        <is>
          <t>Desglose Individual de 143 Equipos Médicos | Asignación de 8 Ingenieros Especialistas | Ventana Oficial: 19 al 30 de Octubre de 2026 | Cero Fines de Semana</t>
        </is>
      </c>
    </row>
    <row r="3" ht="10.05" customHeight="1" s="227"/>
    <row r="4" ht="28.05" customHeight="1" s="227">
      <c r="A4" s="191" t="inlineStr">
        <is>
          <t>No.</t>
        </is>
      </c>
      <c r="B4" s="191" t="inlineStr">
        <is>
          <t>Folio Control</t>
        </is>
      </c>
      <c r="C4" s="191" t="inlineStr">
        <is>
          <t>Partida</t>
        </is>
      </c>
      <c r="D4" s="191" t="inlineStr">
        <is>
          <t>Hospital Militar / Unidad Médica</t>
        </is>
      </c>
      <c r="E4" s="191" t="inlineStr">
        <is>
          <t>Entidad Federativa</t>
        </is>
      </c>
      <c r="F4" s="191" t="inlineStr">
        <is>
          <t>Región Militar / Jurisdicción SEDENA</t>
        </is>
      </c>
      <c r="G4" s="191" t="inlineStr">
        <is>
          <t>Descripción del Equipo Médico / Modelo</t>
        </is>
      </c>
      <c r="H4" s="191" t="inlineStr">
        <is>
          <t>No. de Serie (N/S)</t>
        </is>
      </c>
      <c r="I4" s="191" t="inlineStr">
        <is>
          <t>Especialidad Médica</t>
        </is>
      </c>
      <c r="J4" s="191" t="inlineStr">
        <is>
          <t>Mantenimientos 2026</t>
        </is>
      </c>
      <c r="K4" s="191" t="inlineStr">
        <is>
          <t>Mantenimientos 2027</t>
        </is>
      </c>
      <c r="L4" s="191" t="inlineStr">
        <is>
          <t>Frente / Ingeniero Asignado</t>
        </is>
      </c>
      <c r="M4" s="191" t="inlineStr">
        <is>
          <t>Fecha Programada</t>
        </is>
      </c>
    </row>
    <row r="5" ht="19.95" customHeight="1" s="227">
      <c r="A5" s="192" t="n">
        <v>1</v>
      </c>
      <c r="B5" s="193" t="inlineStr">
        <is>
          <t>BM-001</t>
        </is>
      </c>
      <c r="C5" s="193" t="n">
        <v>6</v>
      </c>
      <c r="D5" s="194" t="inlineStr">
        <is>
          <t>H.C.M. Lomas de Sotelo</t>
        </is>
      </c>
      <c r="E5" s="192" t="inlineStr">
        <is>
          <t>CDMX</t>
        </is>
      </c>
      <c r="F5" s="194" t="inlineStr">
        <is>
          <t>I Región Militar (Sede Central SEDENA)</t>
        </is>
      </c>
      <c r="G5" s="194" t="inlineStr">
        <is>
          <t>Microscopio avanzado, marca Leica, modelo M320F12</t>
        </is>
      </c>
      <c r="H5" s="192" t="inlineStr">
        <is>
          <t>10724001</t>
        </is>
      </c>
      <c r="I5" s="192" t="inlineStr">
        <is>
          <t>OFTALMO</t>
        </is>
      </c>
      <c r="J5" s="193" t="n">
        <v>1</v>
      </c>
      <c r="K5" s="193" t="n">
        <v>2</v>
      </c>
      <c r="L5" s="195" t="inlineStr">
        <is>
          <t>Ing. Axel Evangelista Salinas</t>
        </is>
      </c>
      <c r="M5" s="193" t="inlineStr">
        <is>
          <t>13/10/2026</t>
        </is>
      </c>
    </row>
    <row r="6" ht="19.95" customHeight="1" s="227">
      <c r="A6" s="196" t="n">
        <v>2</v>
      </c>
      <c r="B6" s="197" t="inlineStr">
        <is>
          <t>BM-002</t>
        </is>
      </c>
      <c r="C6" s="197" t="n">
        <v>16</v>
      </c>
      <c r="D6" s="198" t="inlineStr">
        <is>
          <t>H.M.Z. Ixcotel</t>
        </is>
      </c>
      <c r="E6" s="196" t="inlineStr">
        <is>
          <t>OAXACA</t>
        </is>
      </c>
      <c r="F6" s="198" t="inlineStr">
        <is>
          <t>VIII Región Militar (Oaxaca)</t>
        </is>
      </c>
      <c r="G6" s="198" t="inlineStr">
        <is>
          <t>Sistema de diagnóstico oftálmico avanzado, marca Heidelberg Engineering, modelo Anterion</t>
        </is>
      </c>
      <c r="H6" s="196" t="inlineStr">
        <is>
          <t>01827B0106</t>
        </is>
      </c>
      <c r="I6" s="196" t="inlineStr">
        <is>
          <t>OFTALMO</t>
        </is>
      </c>
      <c r="J6" s="197" t="n">
        <v>1</v>
      </c>
      <c r="K6" s="197" t="n">
        <v>2</v>
      </c>
      <c r="L6" s="199" t="inlineStr">
        <is>
          <t>Ing. Jose Romero Najera</t>
        </is>
      </c>
      <c r="M6" s="197" t="inlineStr">
        <is>
          <t>20/10/2026</t>
        </is>
      </c>
    </row>
    <row r="7" ht="19.95" customHeight="1" s="227">
      <c r="A7" s="192" t="n">
        <v>3</v>
      </c>
      <c r="B7" s="193" t="inlineStr">
        <is>
          <t>BM-003</t>
        </is>
      </c>
      <c r="C7" s="193" t="n">
        <v>17</v>
      </c>
      <c r="D7" s="194" t="inlineStr">
        <is>
          <t>H.M.Z. Ixcotel</t>
        </is>
      </c>
      <c r="E7" s="192" t="inlineStr">
        <is>
          <t>OAXACA</t>
        </is>
      </c>
      <c r="F7" s="194" t="inlineStr">
        <is>
          <t>VIII Región Militar (Oaxaca)</t>
        </is>
      </c>
      <c r="G7" s="194" t="inlineStr">
        <is>
          <t>Sistema de diagnóstico oftálmico avanzado, marca Heidelberg Engineering, modelo Spectralis</t>
        </is>
      </c>
      <c r="H7" s="192" t="inlineStr">
        <is>
          <t>SPEC-CAM-22694-S3610</t>
        </is>
      </c>
      <c r="I7" s="192" t="inlineStr">
        <is>
          <t>OFTALMO</t>
        </is>
      </c>
      <c r="J7" s="193" t="n">
        <v>1</v>
      </c>
      <c r="K7" s="193" t="n">
        <v>2</v>
      </c>
      <c r="L7" s="199" t="inlineStr">
        <is>
          <t>Ing. Jose Romero Najera</t>
        </is>
      </c>
      <c r="M7" s="193" t="inlineStr">
        <is>
          <t>20/10/2026</t>
        </is>
      </c>
    </row>
    <row r="8" ht="19.95" customHeight="1" s="227">
      <c r="A8" s="196" t="n">
        <v>4</v>
      </c>
      <c r="B8" s="197" t="inlineStr">
        <is>
          <t>BM-004</t>
        </is>
      </c>
      <c r="C8" s="197" t="n">
        <v>19</v>
      </c>
      <c r="D8" s="198" t="inlineStr">
        <is>
          <t>H.M.E.O. Constituyentes</t>
        </is>
      </c>
      <c r="E8" s="196" t="inlineStr">
        <is>
          <t>CDMX</t>
        </is>
      </c>
      <c r="F8" s="198" t="inlineStr">
        <is>
          <t>I Región Militar (Valle de México)</t>
        </is>
      </c>
      <c r="G8" s="198" t="inlineStr">
        <is>
          <t>Sistema de facoemulsificación, marca Alcon, modelo Centurion</t>
        </is>
      </c>
      <c r="H8" s="196" t="inlineStr">
        <is>
          <t>2201601801X</t>
        </is>
      </c>
      <c r="I8" s="196" t="inlineStr">
        <is>
          <t>OFTALMO</t>
        </is>
      </c>
      <c r="J8" s="197" t="n">
        <v>1</v>
      </c>
      <c r="K8" s="197" t="n">
        <v>2</v>
      </c>
      <c r="L8" s="200" t="inlineStr">
        <is>
          <t>Ing. Sophia López Ramírez</t>
        </is>
      </c>
      <c r="M8" s="197" t="inlineStr">
        <is>
          <t>13/10/2026</t>
        </is>
      </c>
    </row>
    <row r="9" ht="19.95" customHeight="1" s="227">
      <c r="A9" s="192" t="n">
        <v>5</v>
      </c>
      <c r="B9" s="193" t="inlineStr">
        <is>
          <t>BM-005</t>
        </is>
      </c>
      <c r="C9" s="193" t="n">
        <v>20</v>
      </c>
      <c r="D9" s="194" t="inlineStr">
        <is>
          <t>H.M.E.O. Constituyentes</t>
        </is>
      </c>
      <c r="E9" s="192" t="inlineStr">
        <is>
          <t>CDMX</t>
        </is>
      </c>
      <c r="F9" s="194" t="inlineStr">
        <is>
          <t>I Región Militar (Valle de México)</t>
        </is>
      </c>
      <c r="G9" s="194" t="inlineStr">
        <is>
          <t>Sistema de facoemulsificación, marca Alcon, modelo Centurion</t>
        </is>
      </c>
      <c r="H9" s="192" t="inlineStr">
        <is>
          <t>2201483301X</t>
        </is>
      </c>
      <c r="I9" s="192" t="inlineStr">
        <is>
          <t>OFTALMO</t>
        </is>
      </c>
      <c r="J9" s="193" t="n">
        <v>1</v>
      </c>
      <c r="K9" s="193" t="n">
        <v>2</v>
      </c>
      <c r="L9" s="200" t="inlineStr">
        <is>
          <t>Ing. Sophia López Ramírez</t>
        </is>
      </c>
      <c r="M9" s="193" t="inlineStr">
        <is>
          <t>13/10/2026</t>
        </is>
      </c>
    </row>
    <row r="10" ht="19.95" customHeight="1" s="227">
      <c r="A10" s="196" t="n">
        <v>6</v>
      </c>
      <c r="B10" s="197" t="inlineStr">
        <is>
          <t>BM-006</t>
        </is>
      </c>
      <c r="C10" s="197" t="n">
        <v>21</v>
      </c>
      <c r="D10" s="198" t="inlineStr">
        <is>
          <t>H.M.E.O. Constituyentes</t>
        </is>
      </c>
      <c r="E10" s="196" t="inlineStr">
        <is>
          <t>CDMX</t>
        </is>
      </c>
      <c r="F10" s="198" t="inlineStr">
        <is>
          <t>I Región Militar (Valle de México)</t>
        </is>
      </c>
      <c r="G10" s="198" t="inlineStr">
        <is>
          <t>Sistema de facoemulsificación, marca Alcon, modelo Centurion</t>
        </is>
      </c>
      <c r="H10" s="196" t="inlineStr">
        <is>
          <t>2201602101X</t>
        </is>
      </c>
      <c r="I10" s="196" t="inlineStr">
        <is>
          <t>OFTALMO</t>
        </is>
      </c>
      <c r="J10" s="197" t="n">
        <v>1</v>
      </c>
      <c r="K10" s="197" t="n">
        <v>2</v>
      </c>
      <c r="L10" s="200" t="inlineStr">
        <is>
          <t>Ing. Sophia López Ramírez</t>
        </is>
      </c>
      <c r="M10" s="197" t="inlineStr">
        <is>
          <t>13/10/2026</t>
        </is>
      </c>
    </row>
    <row r="11" ht="19.95" customHeight="1" s="227">
      <c r="A11" s="192" t="n">
        <v>7</v>
      </c>
      <c r="B11" s="193" t="inlineStr">
        <is>
          <t>BM-007</t>
        </is>
      </c>
      <c r="C11" s="193" t="n">
        <v>22</v>
      </c>
      <c r="D11" s="194" t="inlineStr">
        <is>
          <t>H.M.E.O. Constituyentes</t>
        </is>
      </c>
      <c r="E11" s="192" t="inlineStr">
        <is>
          <t>CDMX</t>
        </is>
      </c>
      <c r="F11" s="194" t="inlineStr">
        <is>
          <t>I Región Militar (Valle de México)</t>
        </is>
      </c>
      <c r="G11" s="194" t="inlineStr">
        <is>
          <t>Sistema de facoemulsificación, marca Alcon, modelo Centurion</t>
        </is>
      </c>
      <c r="H11" s="192" t="inlineStr">
        <is>
          <t>2202291501X</t>
        </is>
      </c>
      <c r="I11" s="192" t="inlineStr">
        <is>
          <t>OFTALMO</t>
        </is>
      </c>
      <c r="J11" s="193" t="n">
        <v>1</v>
      </c>
      <c r="K11" s="193" t="n">
        <v>2</v>
      </c>
      <c r="L11" s="200" t="inlineStr">
        <is>
          <t>Ing. Sophia López Ramírez</t>
        </is>
      </c>
      <c r="M11" s="193" t="inlineStr">
        <is>
          <t>13/10/2026</t>
        </is>
      </c>
    </row>
    <row r="12" ht="19.95" customHeight="1" s="227">
      <c r="A12" s="196" t="n">
        <v>8</v>
      </c>
      <c r="B12" s="197" t="inlineStr">
        <is>
          <t>BM-008</t>
        </is>
      </c>
      <c r="C12" s="197" t="n">
        <v>23</v>
      </c>
      <c r="D12" s="198" t="inlineStr">
        <is>
          <t>H.M.E.O. Constituyentes</t>
        </is>
      </c>
      <c r="E12" s="196" t="inlineStr">
        <is>
          <t>CDMX</t>
        </is>
      </c>
      <c r="F12" s="198" t="inlineStr">
        <is>
          <t>I Región Militar (Valle de México)</t>
        </is>
      </c>
      <c r="G12" s="198" t="inlineStr">
        <is>
          <t>Sistema de cirugía vitreorretiniana, marca Alcon, modelo Constellation</t>
        </is>
      </c>
      <c r="H12" s="196" t="inlineStr">
        <is>
          <t>2201508001X</t>
        </is>
      </c>
      <c r="I12" s="196" t="inlineStr">
        <is>
          <t>OFTALMO</t>
        </is>
      </c>
      <c r="J12" s="197" t="n">
        <v>1</v>
      </c>
      <c r="K12" s="197" t="n">
        <v>2</v>
      </c>
      <c r="L12" s="200" t="inlineStr">
        <is>
          <t>Ing. Sophia López Ramírez</t>
        </is>
      </c>
      <c r="M12" s="197" t="inlineStr">
        <is>
          <t>13/10/2026</t>
        </is>
      </c>
    </row>
    <row r="13" ht="19.95" customHeight="1" s="227">
      <c r="A13" s="192" t="n">
        <v>9</v>
      </c>
      <c r="B13" s="193" t="inlineStr">
        <is>
          <t>BM-009</t>
        </is>
      </c>
      <c r="C13" s="193" t="n">
        <v>24</v>
      </c>
      <c r="D13" s="194" t="inlineStr">
        <is>
          <t>H.M.E.O. Constituyentes</t>
        </is>
      </c>
      <c r="E13" s="192" t="inlineStr">
        <is>
          <t>CDMX</t>
        </is>
      </c>
      <c r="F13" s="194" t="inlineStr">
        <is>
          <t>I Región Militar (Valle de México)</t>
        </is>
      </c>
      <c r="G13" s="194" t="inlineStr">
        <is>
          <t>Sistema de cirugía vitreorretiniana, marca Alcon, modelo Constellation</t>
        </is>
      </c>
      <c r="H13" s="192" t="inlineStr">
        <is>
          <t>2201508101X</t>
        </is>
      </c>
      <c r="I13" s="192" t="inlineStr">
        <is>
          <t>OFTALMO</t>
        </is>
      </c>
      <c r="J13" s="193" t="n">
        <v>1</v>
      </c>
      <c r="K13" s="193" t="n">
        <v>2</v>
      </c>
      <c r="L13" s="200" t="inlineStr">
        <is>
          <t>Ing. Sophia López Ramírez</t>
        </is>
      </c>
      <c r="M13" s="193" t="inlineStr">
        <is>
          <t>13/10/2026</t>
        </is>
      </c>
    </row>
    <row r="14" ht="19.95" customHeight="1" s="227">
      <c r="A14" s="196" t="n">
        <v>10</v>
      </c>
      <c r="B14" s="197" t="inlineStr">
        <is>
          <t>BM-010</t>
        </is>
      </c>
      <c r="C14" s="197" t="n">
        <v>25</v>
      </c>
      <c r="D14" s="198" t="inlineStr">
        <is>
          <t>H.M.E.O. Constituyentes</t>
        </is>
      </c>
      <c r="E14" s="196" t="inlineStr">
        <is>
          <t>CDMX</t>
        </is>
      </c>
      <c r="F14" s="198" t="inlineStr">
        <is>
          <t>I Región Militar (Valle de México)</t>
        </is>
      </c>
      <c r="G14" s="198" t="inlineStr">
        <is>
          <t>Sistema de cirugía vitreorretiniana, marca Alcon, modelo Constellation</t>
        </is>
      </c>
      <c r="H14" s="196" t="inlineStr">
        <is>
          <t>2201541901X</t>
        </is>
      </c>
      <c r="I14" s="196" t="inlineStr">
        <is>
          <t>OFTALMO</t>
        </is>
      </c>
      <c r="J14" s="197" t="n">
        <v>1</v>
      </c>
      <c r="K14" s="197" t="n">
        <v>2</v>
      </c>
      <c r="L14" s="200" t="inlineStr">
        <is>
          <t>Ing. Sophia López Ramírez</t>
        </is>
      </c>
      <c r="M14" s="197" t="inlineStr">
        <is>
          <t>13/10/2026</t>
        </is>
      </c>
    </row>
    <row r="15" ht="19.95" customHeight="1" s="227">
      <c r="A15" s="192" t="n">
        <v>11</v>
      </c>
      <c r="B15" s="193" t="inlineStr">
        <is>
          <t>BM-011</t>
        </is>
      </c>
      <c r="C15" s="193" t="n">
        <v>26</v>
      </c>
      <c r="D15" s="194" t="inlineStr">
        <is>
          <t>H.M.E.O. Constituyentes</t>
        </is>
      </c>
      <c r="E15" s="192" t="inlineStr">
        <is>
          <t>CDMX</t>
        </is>
      </c>
      <c r="F15" s="194" t="inlineStr">
        <is>
          <t>I Región Militar (Valle de México)</t>
        </is>
      </c>
      <c r="G15" s="194" t="inlineStr">
        <is>
          <t>Láser de diodo, marca A.R.C. Laser, modelo FOX 810</t>
        </is>
      </c>
      <c r="H15" s="192" t="inlineStr">
        <is>
          <t>615423-AAAB</t>
        </is>
      </c>
      <c r="I15" s="192" t="inlineStr">
        <is>
          <t>OFTALMO</t>
        </is>
      </c>
      <c r="J15" s="193" t="n">
        <v>1</v>
      </c>
      <c r="K15" s="193" t="n">
        <v>2</v>
      </c>
      <c r="L15" s="200" t="inlineStr">
        <is>
          <t>Ing. Sophia López Ramírez</t>
        </is>
      </c>
      <c r="M15" s="193" t="inlineStr">
        <is>
          <t>14/10/2026</t>
        </is>
      </c>
    </row>
    <row r="16" ht="19.95" customHeight="1" s="227">
      <c r="A16" s="196" t="n">
        <v>12</v>
      </c>
      <c r="B16" s="197" t="inlineStr">
        <is>
          <t>BM-012</t>
        </is>
      </c>
      <c r="C16" s="197" t="n">
        <v>27</v>
      </c>
      <c r="D16" s="198" t="inlineStr">
        <is>
          <t>H.M.E.O. Constituyentes</t>
        </is>
      </c>
      <c r="E16" s="196" t="inlineStr">
        <is>
          <t>CDMX</t>
        </is>
      </c>
      <c r="F16" s="198" t="inlineStr">
        <is>
          <t>I Región Militar (Valle de México)</t>
        </is>
      </c>
      <c r="G16" s="198" t="inlineStr">
        <is>
          <t>Electroretinógrafo portátil, marca LKC, modelo RETeval</t>
        </is>
      </c>
      <c r="H16" s="196" t="inlineStr">
        <is>
          <t>R002034</t>
        </is>
      </c>
      <c r="I16" s="196" t="inlineStr">
        <is>
          <t>OFTALMO</t>
        </is>
      </c>
      <c r="J16" s="197" t="n">
        <v>1</v>
      </c>
      <c r="K16" s="197" t="n">
        <v>2</v>
      </c>
      <c r="L16" s="200" t="inlineStr">
        <is>
          <t>Ing. Sophia López Ramírez</t>
        </is>
      </c>
      <c r="M16" s="197" t="inlineStr">
        <is>
          <t>14/10/2026</t>
        </is>
      </c>
    </row>
    <row r="17" ht="19.95" customHeight="1" s="227">
      <c r="A17" s="192" t="n">
        <v>13</v>
      </c>
      <c r="B17" s="193" t="inlineStr">
        <is>
          <t>BM-013</t>
        </is>
      </c>
      <c r="C17" s="193" t="n">
        <v>28</v>
      </c>
      <c r="D17" s="194" t="inlineStr">
        <is>
          <t>H.M.E.O. Constituyentes</t>
        </is>
      </c>
      <c r="E17" s="192" t="inlineStr">
        <is>
          <t>CDMX</t>
        </is>
      </c>
      <c r="F17" s="194" t="inlineStr">
        <is>
          <t>I Región Militar (Valle de México)</t>
        </is>
      </c>
      <c r="G17" s="194" t="inlineStr">
        <is>
          <t>Electroretinógrafo portátil, marca LKC, modelo RETeval</t>
        </is>
      </c>
      <c r="H17" s="192" t="inlineStr">
        <is>
          <t>R002556</t>
        </is>
      </c>
      <c r="I17" s="192" t="inlineStr">
        <is>
          <t>OFTALMO</t>
        </is>
      </c>
      <c r="J17" s="193" t="n">
        <v>1</v>
      </c>
      <c r="K17" s="193" t="n">
        <v>2</v>
      </c>
      <c r="L17" s="200" t="inlineStr">
        <is>
          <t>Ing. Sophia López Ramírez</t>
        </is>
      </c>
      <c r="M17" s="193" t="inlineStr">
        <is>
          <t>14/10/2026</t>
        </is>
      </c>
    </row>
    <row r="18" ht="19.95" customHeight="1" s="227">
      <c r="A18" s="196" t="n">
        <v>14</v>
      </c>
      <c r="B18" s="197" t="inlineStr">
        <is>
          <t>BM-014</t>
        </is>
      </c>
      <c r="C18" s="197" t="n">
        <v>29</v>
      </c>
      <c r="D18" s="198" t="inlineStr">
        <is>
          <t>H.M.E.O. Constituyentes</t>
        </is>
      </c>
      <c r="E18" s="196" t="inlineStr">
        <is>
          <t>CDMX</t>
        </is>
      </c>
      <c r="F18" s="198" t="inlineStr">
        <is>
          <t>I Región Militar (Valle de México)</t>
        </is>
      </c>
      <c r="G18" s="198" t="inlineStr">
        <is>
          <t>Microscopio confocal, marca Heidelberg Engineering, modelo HRT3 RCM</t>
        </is>
      </c>
      <c r="H18" s="196" t="inlineStr">
        <is>
          <t>HRT3-08313</t>
        </is>
      </c>
      <c r="I18" s="196" t="inlineStr">
        <is>
          <t>OFTALMO</t>
        </is>
      </c>
      <c r="J18" s="197" t="n">
        <v>1</v>
      </c>
      <c r="K18" s="197" t="n">
        <v>2</v>
      </c>
      <c r="L18" s="200" t="inlineStr">
        <is>
          <t>Ing. Sophia López Ramírez</t>
        </is>
      </c>
      <c r="M18" s="197" t="inlineStr">
        <is>
          <t>14/10/2026</t>
        </is>
      </c>
    </row>
    <row r="19" ht="19.95" customHeight="1" s="227">
      <c r="A19" s="192" t="n">
        <v>15</v>
      </c>
      <c r="B19" s="193" t="inlineStr">
        <is>
          <t>BM-015</t>
        </is>
      </c>
      <c r="C19" s="193" t="n">
        <v>30</v>
      </c>
      <c r="D19" s="194" t="inlineStr">
        <is>
          <t>H.M.E.O. Constituyentes</t>
        </is>
      </c>
      <c r="E19" s="192" t="inlineStr">
        <is>
          <t>CDMX</t>
        </is>
      </c>
      <c r="F19" s="194" t="inlineStr">
        <is>
          <t>I Región Militar (Valle de México)</t>
        </is>
      </c>
      <c r="G19" s="194" t="inlineStr">
        <is>
          <t>Topógrafo corneal con cámara Scheimpflug, marca Oculus, modelo Pentacam</t>
        </is>
      </c>
      <c r="H19" s="192" t="inlineStr">
        <is>
          <t>7010054522270</t>
        </is>
      </c>
      <c r="I19" s="192" t="inlineStr">
        <is>
          <t>OFTALMO</t>
        </is>
      </c>
      <c r="J19" s="193" t="n">
        <v>1</v>
      </c>
      <c r="K19" s="193" t="n">
        <v>2</v>
      </c>
      <c r="L19" s="200" t="inlineStr">
        <is>
          <t>Ing. Sophia López Ramírez</t>
        </is>
      </c>
      <c r="M19" s="193" t="inlineStr">
        <is>
          <t>14/10/2026</t>
        </is>
      </c>
    </row>
    <row r="20" ht="19.95" customHeight="1" s="227">
      <c r="A20" s="196" t="n">
        <v>16</v>
      </c>
      <c r="B20" s="197" t="inlineStr">
        <is>
          <t>BM-016</t>
        </is>
      </c>
      <c r="C20" s="197" t="n">
        <v>32</v>
      </c>
      <c r="D20" s="198" t="inlineStr">
        <is>
          <t>H.M.E.O. Constituyentes</t>
        </is>
      </c>
      <c r="E20" s="196" t="inlineStr">
        <is>
          <t>CDMX</t>
        </is>
      </c>
      <c r="F20" s="198" t="inlineStr">
        <is>
          <t>I Región Militar (Valle de México)</t>
        </is>
      </c>
      <c r="G20" s="198" t="inlineStr">
        <is>
          <t>Sistema de fotocoagulación láser con estación de trabajo, marca OD-OS, modelo Navilas</t>
        </is>
      </c>
      <c r="H20" s="196" t="inlineStr">
        <is>
          <t>158000-3215</t>
        </is>
      </c>
      <c r="I20" s="196" t="inlineStr">
        <is>
          <t>OFTALMO</t>
        </is>
      </c>
      <c r="J20" s="197" t="n">
        <v>1</v>
      </c>
      <c r="K20" s="197" t="n">
        <v>2</v>
      </c>
      <c r="L20" s="200" t="inlineStr">
        <is>
          <t>Ing. Sophia López Ramírez</t>
        </is>
      </c>
      <c r="M20" s="197" t="inlineStr">
        <is>
          <t>14/10/2026</t>
        </is>
      </c>
    </row>
    <row r="21" ht="19.95" customHeight="1" s="227">
      <c r="A21" s="192" t="n">
        <v>17</v>
      </c>
      <c r="B21" s="193" t="inlineStr">
        <is>
          <t>BM-017</t>
        </is>
      </c>
      <c r="C21" s="193" t="n">
        <v>33</v>
      </c>
      <c r="D21" s="194" t="inlineStr">
        <is>
          <t>H.M.E.O. Constituyentes</t>
        </is>
      </c>
      <c r="E21" s="192" t="inlineStr">
        <is>
          <t>CDMX</t>
        </is>
      </c>
      <c r="F21" s="194" t="inlineStr">
        <is>
          <t>I Región Militar (Valle de México)</t>
        </is>
      </c>
      <c r="G21" s="194" t="inlineStr">
        <is>
          <t>Cámara de campo ultra amplio, marca Natus, modelo RetCam Envision</t>
        </is>
      </c>
      <c r="H21" s="192" t="inlineStr">
        <is>
          <t>RE-0276</t>
        </is>
      </c>
      <c r="I21" s="192" t="inlineStr">
        <is>
          <t>OFTALMO</t>
        </is>
      </c>
      <c r="J21" s="193" t="n">
        <v>1</v>
      </c>
      <c r="K21" s="193" t="n">
        <v>2</v>
      </c>
      <c r="L21" s="200" t="inlineStr">
        <is>
          <t>Ing. Sophia López Ramírez</t>
        </is>
      </c>
      <c r="M21" s="193" t="inlineStr">
        <is>
          <t>14/10/2026</t>
        </is>
      </c>
    </row>
    <row r="22" ht="19.95" customHeight="1" s="227">
      <c r="A22" s="196" t="n">
        <v>18</v>
      </c>
      <c r="B22" s="197" t="inlineStr">
        <is>
          <t>BM-018</t>
        </is>
      </c>
      <c r="C22" s="197" t="n">
        <v>34</v>
      </c>
      <c r="D22" s="198" t="inlineStr">
        <is>
          <t>H.M.E.O. Constituyentes</t>
        </is>
      </c>
      <c r="E22" s="196" t="inlineStr">
        <is>
          <t>CDMX</t>
        </is>
      </c>
      <c r="F22" s="198" t="inlineStr">
        <is>
          <t>I Región Militar (Valle de México)</t>
        </is>
      </c>
      <c r="G22" s="198" t="inlineStr">
        <is>
          <t>Láser, marca Quantel Medical, modelo Vitra 810</t>
        </is>
      </c>
      <c r="H22" s="196" t="inlineStr">
        <is>
          <t>574</t>
        </is>
      </c>
      <c r="I22" s="196" t="inlineStr">
        <is>
          <t>OFTALMO</t>
        </is>
      </c>
      <c r="J22" s="197" t="n">
        <v>1</v>
      </c>
      <c r="K22" s="197" t="n">
        <v>2</v>
      </c>
      <c r="L22" s="200" t="inlineStr">
        <is>
          <t>Ing. Sophia López Ramírez</t>
        </is>
      </c>
      <c r="M22" s="197" t="inlineStr">
        <is>
          <t>15/10/2026</t>
        </is>
      </c>
    </row>
    <row r="23" ht="19.95" customHeight="1" s="227">
      <c r="A23" s="192" t="n">
        <v>19</v>
      </c>
      <c r="B23" s="193" t="inlineStr">
        <is>
          <t>BM-019</t>
        </is>
      </c>
      <c r="C23" s="193" t="n">
        <v>35</v>
      </c>
      <c r="D23" s="194" t="inlineStr">
        <is>
          <t>H.M.E.O. Constituyentes</t>
        </is>
      </c>
      <c r="E23" s="192" t="inlineStr">
        <is>
          <t>CDMX</t>
        </is>
      </c>
      <c r="F23" s="194" t="inlineStr">
        <is>
          <t>I Región Militar (Valle de México)</t>
        </is>
      </c>
      <c r="G23" s="194" t="inlineStr">
        <is>
          <t>Láser, marca Quantel Medical, modelo Vitra 811</t>
        </is>
      </c>
      <c r="H23" s="192" t="inlineStr">
        <is>
          <t>575</t>
        </is>
      </c>
      <c r="I23" s="192" t="inlineStr">
        <is>
          <t>OFTALMO</t>
        </is>
      </c>
      <c r="J23" s="193" t="n">
        <v>1</v>
      </c>
      <c r="K23" s="193" t="n">
        <v>2</v>
      </c>
      <c r="L23" s="200" t="inlineStr">
        <is>
          <t>Ing. Sophia López Ramírez</t>
        </is>
      </c>
      <c r="M23" s="193" t="inlineStr">
        <is>
          <t>15/10/2026</t>
        </is>
      </c>
    </row>
    <row r="24" ht="19.95" customHeight="1" s="227">
      <c r="A24" s="196" t="n">
        <v>20</v>
      </c>
      <c r="B24" s="197" t="inlineStr">
        <is>
          <t>BM-020</t>
        </is>
      </c>
      <c r="C24" s="197" t="n">
        <v>38</v>
      </c>
      <c r="D24" s="198" t="inlineStr">
        <is>
          <t>H.M.E.O. Constituyentes</t>
        </is>
      </c>
      <c r="E24" s="196" t="inlineStr">
        <is>
          <t>CDMX</t>
        </is>
      </c>
      <c r="F24" s="198" t="inlineStr">
        <is>
          <t>I Región Militar (Valle de México)</t>
        </is>
      </c>
      <c r="G24" s="198" t="inlineStr">
        <is>
          <t>Retinógrafo portátil de campo amplio para neonatos, marca Visunex Medical Systems, modelo PanoCam</t>
        </is>
      </c>
      <c r="H24" s="196" t="inlineStr">
        <is>
          <t>A237402</t>
        </is>
      </c>
      <c r="I24" s="196" t="inlineStr">
        <is>
          <t>OFTALMO</t>
        </is>
      </c>
      <c r="J24" s="197" t="n">
        <v>1</v>
      </c>
      <c r="K24" s="197" t="n">
        <v>2</v>
      </c>
      <c r="L24" s="200" t="inlineStr">
        <is>
          <t>Ing. Sophia López Ramírez</t>
        </is>
      </c>
      <c r="M24" s="197" t="inlineStr">
        <is>
          <t>15/10/2026</t>
        </is>
      </c>
    </row>
    <row r="25" ht="19.95" customHeight="1" s="227">
      <c r="A25" s="192" t="n">
        <v>21</v>
      </c>
      <c r="B25" s="193" t="inlineStr">
        <is>
          <t>BM-021</t>
        </is>
      </c>
      <c r="C25" s="193" t="n">
        <v>39</v>
      </c>
      <c r="D25" s="194" t="inlineStr">
        <is>
          <t>H.M.E.O. Constituyentes</t>
        </is>
      </c>
      <c r="E25" s="192" t="inlineStr">
        <is>
          <t>CDMX</t>
        </is>
      </c>
      <c r="F25" s="194" t="inlineStr">
        <is>
          <t>I Región Militar (Valle de México)</t>
        </is>
      </c>
      <c r="G25" s="194" t="inlineStr">
        <is>
          <t>Retinógrafo portátil de campo amplio para neonatos, marca Visunex Medical Systems, modelo PanoCam</t>
        </is>
      </c>
      <c r="H25" s="192" t="inlineStr">
        <is>
          <t>A237403</t>
        </is>
      </c>
      <c r="I25" s="192" t="inlineStr">
        <is>
          <t>OFTALMO</t>
        </is>
      </c>
      <c r="J25" s="193" t="n">
        <v>1</v>
      </c>
      <c r="K25" s="193" t="n">
        <v>2</v>
      </c>
      <c r="L25" s="200" t="inlineStr">
        <is>
          <t>Ing. Sophia López Ramírez</t>
        </is>
      </c>
      <c r="M25" s="193" t="inlineStr">
        <is>
          <t>15/10/2026</t>
        </is>
      </c>
    </row>
    <row r="26" ht="19.95" customHeight="1" s="227">
      <c r="A26" s="196" t="n">
        <v>22</v>
      </c>
      <c r="B26" s="197" t="inlineStr">
        <is>
          <t>BM-022</t>
        </is>
      </c>
      <c r="C26" s="197" t="n">
        <v>40</v>
      </c>
      <c r="D26" s="198" t="inlineStr">
        <is>
          <t>H.M.E.O. Constituyentes</t>
        </is>
      </c>
      <c r="E26" s="196" t="inlineStr">
        <is>
          <t>CDMX</t>
        </is>
      </c>
      <c r="F26" s="198" t="inlineStr">
        <is>
          <t>I Región Militar (Valle de México)</t>
        </is>
      </c>
      <c r="G26" s="198" t="inlineStr">
        <is>
          <t>Retinógrafo portátil de campo amplio para neonatos, marca Visunex Medical Systems, modelo PanoCam</t>
        </is>
      </c>
      <c r="H26" s="196" t="inlineStr">
        <is>
          <t>A237401</t>
        </is>
      </c>
      <c r="I26" s="196" t="inlineStr">
        <is>
          <t>OFTALMO</t>
        </is>
      </c>
      <c r="J26" s="197" t="n">
        <v>1</v>
      </c>
      <c r="K26" s="197" t="n">
        <v>2</v>
      </c>
      <c r="L26" s="200" t="inlineStr">
        <is>
          <t>Ing. Sophia López Ramírez</t>
        </is>
      </c>
      <c r="M26" s="197" t="inlineStr">
        <is>
          <t>15/10/2026</t>
        </is>
      </c>
    </row>
    <row r="27" ht="19.95" customHeight="1" s="227">
      <c r="A27" s="192" t="n">
        <v>23</v>
      </c>
      <c r="B27" s="193" t="inlineStr">
        <is>
          <t>BM-023</t>
        </is>
      </c>
      <c r="C27" s="193" t="n">
        <v>41</v>
      </c>
      <c r="D27" s="194" t="inlineStr">
        <is>
          <t>H.M.E.O. Constituyentes</t>
        </is>
      </c>
      <c r="E27" s="192" t="inlineStr">
        <is>
          <t>CDMX</t>
        </is>
      </c>
      <c r="F27" s="194" t="inlineStr">
        <is>
          <t>I Región Militar (Valle de México)</t>
        </is>
      </c>
      <c r="G27" s="194" t="inlineStr">
        <is>
          <t>Microscopio especular, marca TOMEY, modelo EM-4000</t>
        </is>
      </c>
      <c r="H27" s="192" t="inlineStr">
        <is>
          <t>354304</t>
        </is>
      </c>
      <c r="I27" s="192" t="inlineStr">
        <is>
          <t>OFTALMO</t>
        </is>
      </c>
      <c r="J27" s="193" t="n">
        <v>1</v>
      </c>
      <c r="K27" s="193" t="n">
        <v>2</v>
      </c>
      <c r="L27" s="200" t="inlineStr">
        <is>
          <t>Ing. Sophia López Ramírez</t>
        </is>
      </c>
      <c r="M27" s="193" t="inlineStr">
        <is>
          <t>15/10/2026</t>
        </is>
      </c>
    </row>
    <row r="28" ht="19.95" customHeight="1" s="227">
      <c r="A28" s="196" t="n">
        <v>24</v>
      </c>
      <c r="B28" s="197" t="inlineStr">
        <is>
          <t>BM-024</t>
        </is>
      </c>
      <c r="C28" s="197" t="n">
        <v>42</v>
      </c>
      <c r="D28" s="198" t="inlineStr">
        <is>
          <t>H.M.E.O. Constituyentes</t>
        </is>
      </c>
      <c r="E28" s="196" t="inlineStr">
        <is>
          <t>CDMX</t>
        </is>
      </c>
      <c r="F28" s="198" t="inlineStr">
        <is>
          <t>I Región Militar (Valle de México)</t>
        </is>
      </c>
      <c r="G28" s="198" t="inlineStr">
        <is>
          <t>Microscopio especular, marca TOMEY, modelo EM-4001</t>
        </is>
      </c>
      <c r="H28" s="196" t="inlineStr">
        <is>
          <t>349103</t>
        </is>
      </c>
      <c r="I28" s="196" t="inlineStr">
        <is>
          <t>OFTALMO</t>
        </is>
      </c>
      <c r="J28" s="197" t="n">
        <v>1</v>
      </c>
      <c r="K28" s="197" t="n">
        <v>2</v>
      </c>
      <c r="L28" s="200" t="inlineStr">
        <is>
          <t>Ing. Sophia López Ramírez</t>
        </is>
      </c>
      <c r="M28" s="197" t="inlineStr">
        <is>
          <t>15/10/2026</t>
        </is>
      </c>
    </row>
    <row r="29" ht="19.95" customHeight="1" s="227">
      <c r="A29" s="192" t="n">
        <v>25</v>
      </c>
      <c r="B29" s="193" t="inlineStr">
        <is>
          <t>BM-025</t>
        </is>
      </c>
      <c r="C29" s="193" t="n">
        <v>43</v>
      </c>
      <c r="D29" s="194" t="inlineStr">
        <is>
          <t>H.M.E.O. Constituyentes</t>
        </is>
      </c>
      <c r="E29" s="192" t="inlineStr">
        <is>
          <t>CDMX</t>
        </is>
      </c>
      <c r="F29" s="194" t="inlineStr">
        <is>
          <t>I Región Militar (Valle de México)</t>
        </is>
      </c>
      <c r="G29" s="194" t="inlineStr">
        <is>
          <t>Ultrasonido modo A-B, marca TOMEY, modelo UD-800</t>
        </is>
      </c>
      <c r="H29" s="192" t="inlineStr">
        <is>
          <t>366702</t>
        </is>
      </c>
      <c r="I29" s="192" t="inlineStr">
        <is>
          <t>OFTALMO</t>
        </is>
      </c>
      <c r="J29" s="193" t="n">
        <v>1</v>
      </c>
      <c r="K29" s="193" t="n">
        <v>2</v>
      </c>
      <c r="L29" s="200" t="inlineStr">
        <is>
          <t>Ing. Sophia López Ramírez</t>
        </is>
      </c>
      <c r="M29" s="193" t="inlineStr">
        <is>
          <t>16/10/2026</t>
        </is>
      </c>
    </row>
    <row r="30" ht="19.95" customHeight="1" s="227">
      <c r="A30" s="196" t="n">
        <v>26</v>
      </c>
      <c r="B30" s="197" t="inlineStr">
        <is>
          <t>BM-026</t>
        </is>
      </c>
      <c r="C30" s="197" t="n">
        <v>44</v>
      </c>
      <c r="D30" s="198" t="inlineStr">
        <is>
          <t>H.M.E.O. Constituyentes</t>
        </is>
      </c>
      <c r="E30" s="196" t="inlineStr">
        <is>
          <t>CDMX</t>
        </is>
      </c>
      <c r="F30" s="198" t="inlineStr">
        <is>
          <t>I Región Militar (Valle de México)</t>
        </is>
      </c>
      <c r="G30" s="198" t="inlineStr">
        <is>
          <t>Ultrasonido modo A-B, marca TOMEY, modelo UD-801</t>
        </is>
      </c>
      <c r="H30" s="196" t="inlineStr">
        <is>
          <t>372404</t>
        </is>
      </c>
      <c r="I30" s="196" t="inlineStr">
        <is>
          <t>OFTALMO</t>
        </is>
      </c>
      <c r="J30" s="197" t="n">
        <v>1</v>
      </c>
      <c r="K30" s="197" t="n">
        <v>2</v>
      </c>
      <c r="L30" s="200" t="inlineStr">
        <is>
          <t>Ing. Sophia López Ramírez</t>
        </is>
      </c>
      <c r="M30" s="197" t="inlineStr">
        <is>
          <t>16/10/2026</t>
        </is>
      </c>
    </row>
    <row r="31" ht="19.95" customHeight="1" s="227">
      <c r="A31" s="192" t="n">
        <v>27</v>
      </c>
      <c r="B31" s="193" t="inlineStr">
        <is>
          <t>BM-027</t>
        </is>
      </c>
      <c r="C31" s="193" t="n">
        <v>45</v>
      </c>
      <c r="D31" s="194" t="inlineStr">
        <is>
          <t>H.M.E.O. Constituyentes</t>
        </is>
      </c>
      <c r="E31" s="192" t="inlineStr">
        <is>
          <t>CDMX</t>
        </is>
      </c>
      <c r="F31" s="194" t="inlineStr">
        <is>
          <t>I Región Militar (Valle de México)</t>
        </is>
      </c>
      <c r="G31" s="194" t="inlineStr">
        <is>
          <t>Autorrefractómetro, marca SUOER, modelo Ocular Screening SW-800</t>
        </is>
      </c>
      <c r="H31" s="192" t="inlineStr">
        <is>
          <t>BC0013GY1C</t>
        </is>
      </c>
      <c r="I31" s="192" t="inlineStr">
        <is>
          <t>OFTALMO</t>
        </is>
      </c>
      <c r="J31" s="193" t="n">
        <v>1</v>
      </c>
      <c r="K31" s="193" t="n">
        <v>2</v>
      </c>
      <c r="L31" s="200" t="inlineStr">
        <is>
          <t>Ing. Sophia López Ramírez</t>
        </is>
      </c>
      <c r="M31" s="193" t="inlineStr">
        <is>
          <t>16/10/2026</t>
        </is>
      </c>
    </row>
    <row r="32" ht="19.95" customHeight="1" s="227">
      <c r="A32" s="196" t="n">
        <v>28</v>
      </c>
      <c r="B32" s="197" t="inlineStr">
        <is>
          <t>BM-028</t>
        </is>
      </c>
      <c r="C32" s="197" t="n">
        <v>46</v>
      </c>
      <c r="D32" s="198" t="inlineStr">
        <is>
          <t>H.M.E.O. Constituyentes</t>
        </is>
      </c>
      <c r="E32" s="196" t="inlineStr">
        <is>
          <t>CDMX</t>
        </is>
      </c>
      <c r="F32" s="198" t="inlineStr">
        <is>
          <t>I Región Militar (Valle de México)</t>
        </is>
      </c>
      <c r="G32" s="198" t="inlineStr">
        <is>
          <t>Autorrefractómetro, marca SUOER, modelo Ocular Screening SW-800</t>
        </is>
      </c>
      <c r="H32" s="196" t="inlineStr">
        <is>
          <t>BC0007GY1C</t>
        </is>
      </c>
      <c r="I32" s="196" t="inlineStr">
        <is>
          <t>OFTALMO</t>
        </is>
      </c>
      <c r="J32" s="197" t="n">
        <v>1</v>
      </c>
      <c r="K32" s="197" t="n">
        <v>2</v>
      </c>
      <c r="L32" s="200" t="inlineStr">
        <is>
          <t>Ing. Sophia López Ramírez</t>
        </is>
      </c>
      <c r="M32" s="197" t="inlineStr">
        <is>
          <t>16/10/2026</t>
        </is>
      </c>
    </row>
    <row r="33" ht="19.95" customHeight="1" s="227">
      <c r="A33" s="192" t="n">
        <v>29</v>
      </c>
      <c r="B33" s="193" t="inlineStr">
        <is>
          <t>BM-029</t>
        </is>
      </c>
      <c r="C33" s="193" t="n">
        <v>47</v>
      </c>
      <c r="D33" s="194" t="inlineStr">
        <is>
          <t>H.M.E.O. Constituyentes</t>
        </is>
      </c>
      <c r="E33" s="192" t="inlineStr">
        <is>
          <t>CDMX</t>
        </is>
      </c>
      <c r="F33" s="194" t="inlineStr">
        <is>
          <t>I Región Militar (Valle de México)</t>
        </is>
      </c>
      <c r="G33" s="194" t="inlineStr">
        <is>
          <t>Autorrefractómetro, marca SUOER, modelo Ocular Screening SW-800</t>
        </is>
      </c>
      <c r="H33" s="192" t="inlineStr">
        <is>
          <t>BB0042GY1C</t>
        </is>
      </c>
      <c r="I33" s="192" t="inlineStr">
        <is>
          <t>OFTALMO</t>
        </is>
      </c>
      <c r="J33" s="193" t="n">
        <v>1</v>
      </c>
      <c r="K33" s="193" t="n">
        <v>2</v>
      </c>
      <c r="L33" s="200" t="inlineStr">
        <is>
          <t>Ing. Sophia López Ramírez</t>
        </is>
      </c>
      <c r="M33" s="193" t="inlineStr">
        <is>
          <t>16/10/2026</t>
        </is>
      </c>
    </row>
    <row r="34" ht="19.95" customHeight="1" s="227">
      <c r="A34" s="196" t="n">
        <v>30</v>
      </c>
      <c r="B34" s="197" t="inlineStr">
        <is>
          <t>BM-030</t>
        </is>
      </c>
      <c r="C34" s="197" t="n">
        <v>48</v>
      </c>
      <c r="D34" s="198" t="inlineStr">
        <is>
          <t>H.M.E.O. Constituyentes</t>
        </is>
      </c>
      <c r="E34" s="196" t="inlineStr">
        <is>
          <t>CDMX</t>
        </is>
      </c>
      <c r="F34" s="198" t="inlineStr">
        <is>
          <t>I Región Militar (Valle de México)</t>
        </is>
      </c>
      <c r="G34" s="198" t="inlineStr">
        <is>
          <t>Autorrefractómetro, marca SUOER, modelo Ocular Screening SW-800</t>
        </is>
      </c>
      <c r="H34" s="196" t="inlineStr">
        <is>
          <t>BB0043GY1C</t>
        </is>
      </c>
      <c r="I34" s="196" t="inlineStr">
        <is>
          <t>OFTALMO</t>
        </is>
      </c>
      <c r="J34" s="197" t="n">
        <v>1</v>
      </c>
      <c r="K34" s="197" t="n">
        <v>2</v>
      </c>
      <c r="L34" s="200" t="inlineStr">
        <is>
          <t>Ing. Sophia López Ramírez</t>
        </is>
      </c>
      <c r="M34" s="197" t="inlineStr">
        <is>
          <t>16/10/2026</t>
        </is>
      </c>
    </row>
    <row r="35" ht="19.95" customHeight="1" s="227">
      <c r="A35" s="192" t="n">
        <v>31</v>
      </c>
      <c r="B35" s="193" t="inlineStr">
        <is>
          <t>BM-031</t>
        </is>
      </c>
      <c r="C35" s="193" t="n">
        <v>49</v>
      </c>
      <c r="D35" s="194" t="inlineStr">
        <is>
          <t>H.M.E.O. Constituyentes</t>
        </is>
      </c>
      <c r="E35" s="192" t="inlineStr">
        <is>
          <t>CDMX</t>
        </is>
      </c>
      <c r="F35" s="194" t="inlineStr">
        <is>
          <t>I Región Militar (Valle de México)</t>
        </is>
      </c>
      <c r="G35" s="194" t="inlineStr">
        <is>
          <t>Autoqueratorrefractor, marca Nidek, modelo ARK-F</t>
        </is>
      </c>
      <c r="H35" s="192" t="inlineStr">
        <is>
          <t>270021</t>
        </is>
      </c>
      <c r="I35" s="192" t="inlineStr">
        <is>
          <t>OFTALMO</t>
        </is>
      </c>
      <c r="J35" s="193" t="n">
        <v>1</v>
      </c>
      <c r="K35" s="193" t="n">
        <v>2</v>
      </c>
      <c r="L35" s="200" t="inlineStr">
        <is>
          <t>Ing. Sophia López Ramírez</t>
        </is>
      </c>
      <c r="M35" s="193" t="inlineStr">
        <is>
          <t>16/10/2026</t>
        </is>
      </c>
    </row>
    <row r="36" ht="19.95" customHeight="1" s="227">
      <c r="A36" s="196" t="n">
        <v>32</v>
      </c>
      <c r="B36" s="197" t="inlineStr">
        <is>
          <t>BM-032</t>
        </is>
      </c>
      <c r="C36" s="197" t="n">
        <v>50</v>
      </c>
      <c r="D36" s="198" t="inlineStr">
        <is>
          <t>H.M.E.O. Constituyentes</t>
        </is>
      </c>
      <c r="E36" s="196" t="inlineStr">
        <is>
          <t>CDMX</t>
        </is>
      </c>
      <c r="F36" s="198" t="inlineStr">
        <is>
          <t>I Región Militar (Valle de México)</t>
        </is>
      </c>
      <c r="G36" s="198" t="inlineStr">
        <is>
          <t>Autoqueratorrefractor, marca Nidek, modelo ARK-F</t>
        </is>
      </c>
      <c r="H36" s="196" t="inlineStr">
        <is>
          <t>270029</t>
        </is>
      </c>
      <c r="I36" s="196" t="inlineStr">
        <is>
          <t>OFTALMO</t>
        </is>
      </c>
      <c r="J36" s="197" t="n">
        <v>1</v>
      </c>
      <c r="K36" s="197" t="n">
        <v>2</v>
      </c>
      <c r="L36" s="200" t="inlineStr">
        <is>
          <t>Ing. Sophia López Ramírez</t>
        </is>
      </c>
      <c r="M36" s="197" t="inlineStr">
        <is>
          <t>19/10/2026</t>
        </is>
      </c>
    </row>
    <row r="37" ht="19.95" customHeight="1" s="227">
      <c r="A37" s="192" t="n">
        <v>33</v>
      </c>
      <c r="B37" s="193" t="inlineStr">
        <is>
          <t>BM-033</t>
        </is>
      </c>
      <c r="C37" s="193" t="n">
        <v>51</v>
      </c>
      <c r="D37" s="194" t="inlineStr">
        <is>
          <t>H.M.E.O. Constituyentes</t>
        </is>
      </c>
      <c r="E37" s="192" t="inlineStr">
        <is>
          <t>CDMX</t>
        </is>
      </c>
      <c r="F37" s="194" t="inlineStr">
        <is>
          <t>I Región Militar (Valle de México)</t>
        </is>
      </c>
      <c r="G37" s="194" t="inlineStr">
        <is>
          <t>Autoqueratorrefractor, marca Nidek, modelo ARK-F</t>
        </is>
      </c>
      <c r="H37" s="192" t="inlineStr">
        <is>
          <t>270031</t>
        </is>
      </c>
      <c r="I37" s="192" t="inlineStr">
        <is>
          <t>OFTALMO</t>
        </is>
      </c>
      <c r="J37" s="193" t="n">
        <v>1</v>
      </c>
      <c r="K37" s="193" t="n">
        <v>2</v>
      </c>
      <c r="L37" s="200" t="inlineStr">
        <is>
          <t>Ing. Sophia López Ramírez</t>
        </is>
      </c>
      <c r="M37" s="193" t="inlineStr">
        <is>
          <t>19/10/2026</t>
        </is>
      </c>
    </row>
    <row r="38" ht="19.95" customHeight="1" s="227">
      <c r="A38" s="196" t="n">
        <v>34</v>
      </c>
      <c r="B38" s="197" t="inlineStr">
        <is>
          <t>BM-034</t>
        </is>
      </c>
      <c r="C38" s="197" t="n">
        <v>52</v>
      </c>
      <c r="D38" s="198" t="inlineStr">
        <is>
          <t>H.M.E.O. Constituyentes</t>
        </is>
      </c>
      <c r="E38" s="196" t="inlineStr">
        <is>
          <t>CDMX</t>
        </is>
      </c>
      <c r="F38" s="198" t="inlineStr">
        <is>
          <t>I Región Militar (Valle de México)</t>
        </is>
      </c>
      <c r="G38" s="198" t="inlineStr">
        <is>
          <t>Autoqueratorrefractor, marca Nidek, modelo ARK-F</t>
        </is>
      </c>
      <c r="H38" s="196" t="inlineStr">
        <is>
          <t>270032</t>
        </is>
      </c>
      <c r="I38" s="196" t="inlineStr">
        <is>
          <t>OFTALMO</t>
        </is>
      </c>
      <c r="J38" s="197" t="n">
        <v>1</v>
      </c>
      <c r="K38" s="197" t="n">
        <v>2</v>
      </c>
      <c r="L38" s="200" t="inlineStr">
        <is>
          <t>Ing. Sophia López Ramírez</t>
        </is>
      </c>
      <c r="M38" s="197" t="inlineStr">
        <is>
          <t>19/10/2026</t>
        </is>
      </c>
    </row>
    <row r="39" ht="19.95" customHeight="1" s="227">
      <c r="A39" s="192" t="n">
        <v>35</v>
      </c>
      <c r="B39" s="193" t="inlineStr">
        <is>
          <t>BM-035</t>
        </is>
      </c>
      <c r="C39" s="193" t="n">
        <v>53</v>
      </c>
      <c r="D39" s="194" t="inlineStr">
        <is>
          <t>H.M.E.O. Constituyentes</t>
        </is>
      </c>
      <c r="E39" s="192" t="inlineStr">
        <is>
          <t>CDMX</t>
        </is>
      </c>
      <c r="F39" s="194" t="inlineStr">
        <is>
          <t>I Región Militar (Valle de México)</t>
        </is>
      </c>
      <c r="G39" s="194" t="inlineStr">
        <is>
          <t>Autoqueratorrefractor, marca Nidek, modelo ARK-F</t>
        </is>
      </c>
      <c r="H39" s="192" t="inlineStr">
        <is>
          <t>270023</t>
        </is>
      </c>
      <c r="I39" s="192" t="inlineStr">
        <is>
          <t>OFTALMO</t>
        </is>
      </c>
      <c r="J39" s="193" t="n">
        <v>1</v>
      </c>
      <c r="K39" s="193" t="n">
        <v>2</v>
      </c>
      <c r="L39" s="200" t="inlineStr">
        <is>
          <t>Ing. Sophia López Ramírez</t>
        </is>
      </c>
      <c r="M39" s="193" t="inlineStr">
        <is>
          <t>19/10/2026</t>
        </is>
      </c>
    </row>
    <row r="40" ht="19.95" customHeight="1" s="227">
      <c r="A40" s="196" t="n">
        <v>36</v>
      </c>
      <c r="B40" s="197" t="inlineStr">
        <is>
          <t>BM-036</t>
        </is>
      </c>
      <c r="C40" s="197" t="n">
        <v>54</v>
      </c>
      <c r="D40" s="198" t="inlineStr">
        <is>
          <t>H.M.E.O. Constituyentes</t>
        </is>
      </c>
      <c r="E40" s="196" t="inlineStr">
        <is>
          <t>CDMX</t>
        </is>
      </c>
      <c r="F40" s="198" t="inlineStr">
        <is>
          <t>I Región Militar (Valle de México)</t>
        </is>
      </c>
      <c r="G40" s="198" t="inlineStr">
        <is>
          <t>Autoqueratorrefractor, marca Nidek, modelo ARK-F</t>
        </is>
      </c>
      <c r="H40" s="196" t="inlineStr">
        <is>
          <t>270034</t>
        </is>
      </c>
      <c r="I40" s="196" t="inlineStr">
        <is>
          <t>OFTALMO</t>
        </is>
      </c>
      <c r="J40" s="197" t="n">
        <v>1</v>
      </c>
      <c r="K40" s="197" t="n">
        <v>2</v>
      </c>
      <c r="L40" s="200" t="inlineStr">
        <is>
          <t>Ing. Sophia López Ramírez</t>
        </is>
      </c>
      <c r="M40" s="197" t="inlineStr">
        <is>
          <t>19/10/2026</t>
        </is>
      </c>
    </row>
    <row r="41" ht="19.95" customHeight="1" s="227">
      <c r="A41" s="192" t="n">
        <v>37</v>
      </c>
      <c r="B41" s="193" t="inlineStr">
        <is>
          <t>BM-037</t>
        </is>
      </c>
      <c r="C41" s="193" t="n">
        <v>55</v>
      </c>
      <c r="D41" s="194" t="inlineStr">
        <is>
          <t>H.M.E.O. Constituyentes</t>
        </is>
      </c>
      <c r="E41" s="192" t="inlineStr">
        <is>
          <t>CDMX</t>
        </is>
      </c>
      <c r="F41" s="194" t="inlineStr">
        <is>
          <t>I Región Militar (Valle de México)</t>
        </is>
      </c>
      <c r="G41" s="194" t="inlineStr">
        <is>
          <t>Autoqueratorrefractor, marca Nidek, modelo ARK-F</t>
        </is>
      </c>
      <c r="H41" s="192" t="inlineStr">
        <is>
          <t>270035</t>
        </is>
      </c>
      <c r="I41" s="192" t="inlineStr">
        <is>
          <t>OFTALMO</t>
        </is>
      </c>
      <c r="J41" s="193" t="n">
        <v>1</v>
      </c>
      <c r="K41" s="193" t="n">
        <v>2</v>
      </c>
      <c r="L41" s="200" t="inlineStr">
        <is>
          <t>Ing. Sophia López Ramírez</t>
        </is>
      </c>
      <c r="M41" s="193" t="inlineStr">
        <is>
          <t>19/10/2026</t>
        </is>
      </c>
    </row>
    <row r="42" ht="19.95" customHeight="1" s="227">
      <c r="A42" s="196" t="n">
        <v>38</v>
      </c>
      <c r="B42" s="197" t="inlineStr">
        <is>
          <t>BM-038</t>
        </is>
      </c>
      <c r="C42" s="197" t="n">
        <v>56</v>
      </c>
      <c r="D42" s="198" t="inlineStr">
        <is>
          <t>H.M.E.O. Constituyentes</t>
        </is>
      </c>
      <c r="E42" s="196" t="inlineStr">
        <is>
          <t>CDMX</t>
        </is>
      </c>
      <c r="F42" s="198" t="inlineStr">
        <is>
          <t>I Región Militar (Valle de México)</t>
        </is>
      </c>
      <c r="G42" s="198" t="inlineStr">
        <is>
          <t>Autoqueratorrefractor, marca Nidek, modelo ARK-F</t>
        </is>
      </c>
      <c r="H42" s="196" t="inlineStr">
        <is>
          <t>270036</t>
        </is>
      </c>
      <c r="I42" s="196" t="inlineStr">
        <is>
          <t>OFTALMO</t>
        </is>
      </c>
      <c r="J42" s="197" t="n">
        <v>1</v>
      </c>
      <c r="K42" s="197" t="n">
        <v>2</v>
      </c>
      <c r="L42" s="200" t="inlineStr">
        <is>
          <t>Ing. Sophia López Ramírez</t>
        </is>
      </c>
      <c r="M42" s="197" t="inlineStr">
        <is>
          <t>19/10/2026</t>
        </is>
      </c>
    </row>
    <row r="43" ht="19.95" customHeight="1" s="227">
      <c r="A43" s="192" t="n">
        <v>39</v>
      </c>
      <c r="B43" s="193" t="inlineStr">
        <is>
          <t>BM-039</t>
        </is>
      </c>
      <c r="C43" s="193" t="n">
        <v>57</v>
      </c>
      <c r="D43" s="194" t="inlineStr">
        <is>
          <t>H.M.E.O. Constituyentes</t>
        </is>
      </c>
      <c r="E43" s="192" t="inlineStr">
        <is>
          <t>CDMX</t>
        </is>
      </c>
      <c r="F43" s="194" t="inlineStr">
        <is>
          <t>I Región Militar (Valle de México)</t>
        </is>
      </c>
      <c r="G43" s="194" t="inlineStr">
        <is>
          <t>Autoqueratorrefractor, marca Nidek, modelo ARK-F</t>
        </is>
      </c>
      <c r="H43" s="192" t="inlineStr">
        <is>
          <t>270037</t>
        </is>
      </c>
      <c r="I43" s="192" t="inlineStr">
        <is>
          <t>OFTALMO</t>
        </is>
      </c>
      <c r="J43" s="193" t="n">
        <v>1</v>
      </c>
      <c r="K43" s="193" t="n">
        <v>2</v>
      </c>
      <c r="L43" s="200" t="inlineStr">
        <is>
          <t>Ing. Sophia López Ramírez</t>
        </is>
      </c>
      <c r="M43" s="193" t="inlineStr">
        <is>
          <t>19/10/2026</t>
        </is>
      </c>
    </row>
    <row r="44" ht="19.95" customHeight="1" s="227">
      <c r="A44" s="196" t="n">
        <v>40</v>
      </c>
      <c r="B44" s="197" t="inlineStr">
        <is>
          <t>BM-040</t>
        </is>
      </c>
      <c r="C44" s="197" t="n">
        <v>58</v>
      </c>
      <c r="D44" s="198" t="inlineStr">
        <is>
          <t>H.M.E.O. Constituyentes</t>
        </is>
      </c>
      <c r="E44" s="196" t="inlineStr">
        <is>
          <t>CDMX</t>
        </is>
      </c>
      <c r="F44" s="198" t="inlineStr">
        <is>
          <t>I Región Militar (Valle de México)</t>
        </is>
      </c>
      <c r="G44" s="198" t="inlineStr">
        <is>
          <t>Autoqueratorrefractor, marca Nidek, modelo ARK-F</t>
        </is>
      </c>
      <c r="H44" s="196" t="inlineStr">
        <is>
          <t>270038</t>
        </is>
      </c>
      <c r="I44" s="196" t="inlineStr">
        <is>
          <t>OFTALMO</t>
        </is>
      </c>
      <c r="J44" s="197" t="n">
        <v>1</v>
      </c>
      <c r="K44" s="197" t="n">
        <v>2</v>
      </c>
      <c r="L44" s="200" t="inlineStr">
        <is>
          <t>Ing. Sophia López Ramírez</t>
        </is>
      </c>
      <c r="M44" s="197" t="inlineStr">
        <is>
          <t>20/10/2026</t>
        </is>
      </c>
    </row>
    <row r="45" ht="19.95" customHeight="1" s="227">
      <c r="A45" s="192" t="n">
        <v>41</v>
      </c>
      <c r="B45" s="193" t="inlineStr">
        <is>
          <t>BM-041</t>
        </is>
      </c>
      <c r="C45" s="193" t="n">
        <v>59</v>
      </c>
      <c r="D45" s="194" t="inlineStr">
        <is>
          <t>H.M.E.O. Constituyentes</t>
        </is>
      </c>
      <c r="E45" s="192" t="inlineStr">
        <is>
          <t>CDMX</t>
        </is>
      </c>
      <c r="F45" s="194" t="inlineStr">
        <is>
          <t>I Región Militar (Valle de México)</t>
        </is>
      </c>
      <c r="G45" s="194" t="inlineStr">
        <is>
          <t>Autoqueratorrefractor, marca Nidek, modelo ARK-F</t>
        </is>
      </c>
      <c r="H45" s="192" t="inlineStr">
        <is>
          <t>270033</t>
        </is>
      </c>
      <c r="I45" s="192" t="inlineStr">
        <is>
          <t>OFTALMO</t>
        </is>
      </c>
      <c r="J45" s="193" t="n">
        <v>1</v>
      </c>
      <c r="K45" s="193" t="n">
        <v>2</v>
      </c>
      <c r="L45" s="200" t="inlineStr">
        <is>
          <t>Ing. Sophia López Ramírez</t>
        </is>
      </c>
      <c r="M45" s="193" t="inlineStr">
        <is>
          <t>20/10/2026</t>
        </is>
      </c>
    </row>
    <row r="46" ht="19.95" customHeight="1" s="227">
      <c r="A46" s="196" t="n">
        <v>42</v>
      </c>
      <c r="B46" s="197" t="inlineStr">
        <is>
          <t>BM-042</t>
        </is>
      </c>
      <c r="C46" s="197" t="n">
        <v>60</v>
      </c>
      <c r="D46" s="198" t="inlineStr">
        <is>
          <t>H.M.E.O. Constituyentes</t>
        </is>
      </c>
      <c r="E46" s="196" t="inlineStr">
        <is>
          <t>CDMX</t>
        </is>
      </c>
      <c r="F46" s="198" t="inlineStr">
        <is>
          <t>I Región Militar (Valle de México)</t>
        </is>
      </c>
      <c r="G46" s="198" t="inlineStr">
        <is>
          <t>Autoqueratorrefractor, marca Nidek, modelo ARK-F</t>
        </is>
      </c>
      <c r="H46" s="196" t="inlineStr">
        <is>
          <t>270025</t>
        </is>
      </c>
      <c r="I46" s="196" t="inlineStr">
        <is>
          <t>OFTALMO</t>
        </is>
      </c>
      <c r="J46" s="197" t="n">
        <v>1</v>
      </c>
      <c r="K46" s="197" t="n">
        <v>2</v>
      </c>
      <c r="L46" s="200" t="inlineStr">
        <is>
          <t>Ing. Sophia López Ramírez</t>
        </is>
      </c>
      <c r="M46" s="197" t="inlineStr">
        <is>
          <t>20/10/2026</t>
        </is>
      </c>
    </row>
    <row r="47" ht="19.95" customHeight="1" s="227">
      <c r="A47" s="192" t="n">
        <v>43</v>
      </c>
      <c r="B47" s="193" t="inlineStr">
        <is>
          <t>BM-043</t>
        </is>
      </c>
      <c r="C47" s="193" t="n">
        <v>61</v>
      </c>
      <c r="D47" s="194" t="inlineStr">
        <is>
          <t>H.M.E.O. Constituyentes</t>
        </is>
      </c>
      <c r="E47" s="192" t="inlineStr">
        <is>
          <t>CDMX</t>
        </is>
      </c>
      <c r="F47" s="194" t="inlineStr">
        <is>
          <t>I Región Militar (Valle de México)</t>
        </is>
      </c>
      <c r="G47" s="194" t="inlineStr">
        <is>
          <t>Sistema de diagnóstico oftálmico avanzado, marca Nidek, modelo TONOREF III</t>
        </is>
      </c>
      <c r="H47" s="192" t="inlineStr">
        <is>
          <t>170692</t>
        </is>
      </c>
      <c r="I47" s="192" t="inlineStr">
        <is>
          <t>OFTALMO</t>
        </is>
      </c>
      <c r="J47" s="193" t="n">
        <v>1</v>
      </c>
      <c r="K47" s="193" t="n">
        <v>2</v>
      </c>
      <c r="L47" s="200" t="inlineStr">
        <is>
          <t>Ing. Sophia López Ramírez</t>
        </is>
      </c>
      <c r="M47" s="193" t="inlineStr">
        <is>
          <t>20/10/2026</t>
        </is>
      </c>
    </row>
    <row r="48" ht="19.95" customHeight="1" s="227">
      <c r="A48" s="196" t="n">
        <v>44</v>
      </c>
      <c r="B48" s="197" t="inlineStr">
        <is>
          <t>BM-044</t>
        </is>
      </c>
      <c r="C48" s="197" t="n">
        <v>62</v>
      </c>
      <c r="D48" s="198" t="inlineStr">
        <is>
          <t>H.M.E.O. Constituyentes</t>
        </is>
      </c>
      <c r="E48" s="196" t="inlineStr">
        <is>
          <t>CDMX</t>
        </is>
      </c>
      <c r="F48" s="198" t="inlineStr">
        <is>
          <t>I Región Militar (Valle de México)</t>
        </is>
      </c>
      <c r="G48" s="198" t="inlineStr">
        <is>
          <t>Sistema de diagnóstico oftálmico avanzado, marca Nidek, modelo TONOREF III</t>
        </is>
      </c>
      <c r="H48" s="196" t="inlineStr">
        <is>
          <t>170696</t>
        </is>
      </c>
      <c r="I48" s="196" t="inlineStr">
        <is>
          <t>OFTALMO</t>
        </is>
      </c>
      <c r="J48" s="197" t="n">
        <v>1</v>
      </c>
      <c r="K48" s="197" t="n">
        <v>2</v>
      </c>
      <c r="L48" s="200" t="inlineStr">
        <is>
          <t>Ing. Sophia López Ramírez</t>
        </is>
      </c>
      <c r="M48" s="197" t="inlineStr">
        <is>
          <t>20/10/2026</t>
        </is>
      </c>
    </row>
    <row r="49" ht="19.95" customHeight="1" s="227">
      <c r="A49" s="192" t="n">
        <v>45</v>
      </c>
      <c r="B49" s="193" t="inlineStr">
        <is>
          <t>BM-045</t>
        </is>
      </c>
      <c r="C49" s="193" t="n">
        <v>63</v>
      </c>
      <c r="D49" s="194" t="inlineStr">
        <is>
          <t>H.M.E.O. Constituyentes</t>
        </is>
      </c>
      <c r="E49" s="192" t="inlineStr">
        <is>
          <t>CDMX</t>
        </is>
      </c>
      <c r="F49" s="194" t="inlineStr">
        <is>
          <t>I Región Militar (Valle de México)</t>
        </is>
      </c>
      <c r="G49" s="194" t="inlineStr">
        <is>
          <t>Sistema de diagnóstico oftálmico avanzado, marca Nidek, modelo TONOREF III</t>
        </is>
      </c>
      <c r="H49" s="192" t="inlineStr">
        <is>
          <t>170711</t>
        </is>
      </c>
      <c r="I49" s="192" t="inlineStr">
        <is>
          <t>OFTALMO</t>
        </is>
      </c>
      <c r="J49" s="193" t="n">
        <v>1</v>
      </c>
      <c r="K49" s="193" t="n">
        <v>2</v>
      </c>
      <c r="L49" s="200" t="inlineStr">
        <is>
          <t>Ing. Sophia López Ramírez</t>
        </is>
      </c>
      <c r="M49" s="193" t="inlineStr">
        <is>
          <t>20/10/2026</t>
        </is>
      </c>
    </row>
    <row r="50" ht="19.95" customHeight="1" s="227">
      <c r="A50" s="196" t="n">
        <v>46</v>
      </c>
      <c r="B50" s="197" t="inlineStr">
        <is>
          <t>BM-046</t>
        </is>
      </c>
      <c r="C50" s="197" t="n">
        <v>64</v>
      </c>
      <c r="D50" s="198" t="inlineStr">
        <is>
          <t>H.M.E.O. Constituyentes</t>
        </is>
      </c>
      <c r="E50" s="196" t="inlineStr">
        <is>
          <t>CDMX</t>
        </is>
      </c>
      <c r="F50" s="198" t="inlineStr">
        <is>
          <t>I Región Militar (Valle de México)</t>
        </is>
      </c>
      <c r="G50" s="198" t="inlineStr">
        <is>
          <t>Sistema de diagnóstico oftálmico avanzado, marca Nidek, modelo TONOREF III</t>
        </is>
      </c>
      <c r="H50" s="196" t="inlineStr">
        <is>
          <t>170712</t>
        </is>
      </c>
      <c r="I50" s="196" t="inlineStr">
        <is>
          <t>OFTALMO</t>
        </is>
      </c>
      <c r="J50" s="197" t="n">
        <v>1</v>
      </c>
      <c r="K50" s="197" t="n">
        <v>2</v>
      </c>
      <c r="L50" s="200" t="inlineStr">
        <is>
          <t>Ing. Sophia López Ramírez</t>
        </is>
      </c>
      <c r="M50" s="197" t="inlineStr">
        <is>
          <t>20/10/2026</t>
        </is>
      </c>
    </row>
    <row r="51" ht="19.95" customHeight="1" s="227">
      <c r="A51" s="192" t="n">
        <v>47</v>
      </c>
      <c r="B51" s="193" t="inlineStr">
        <is>
          <t>BM-047</t>
        </is>
      </c>
      <c r="C51" s="193" t="n">
        <v>65</v>
      </c>
      <c r="D51" s="194" t="inlineStr">
        <is>
          <t>H.M.E.O. Constituyentes</t>
        </is>
      </c>
      <c r="E51" s="192" t="inlineStr">
        <is>
          <t>CDMX</t>
        </is>
      </c>
      <c r="F51" s="194" t="inlineStr">
        <is>
          <t>I Región Militar (Valle de México)</t>
        </is>
      </c>
      <c r="G51" s="194" t="inlineStr">
        <is>
          <t>Sistema de diagnóstico oftálmico avanzado, marca Nidek, modelo TONOREF III</t>
        </is>
      </c>
      <c r="H51" s="192" t="inlineStr">
        <is>
          <t>170715</t>
        </is>
      </c>
      <c r="I51" s="192" t="inlineStr">
        <is>
          <t>OFTALMO</t>
        </is>
      </c>
      <c r="J51" s="193" t="n">
        <v>1</v>
      </c>
      <c r="K51" s="193" t="n">
        <v>2</v>
      </c>
      <c r="L51" s="200" t="inlineStr">
        <is>
          <t>Ing. Sophia López Ramírez</t>
        </is>
      </c>
      <c r="M51" s="193" t="inlineStr">
        <is>
          <t>20/10/2026</t>
        </is>
      </c>
    </row>
    <row r="52" ht="19.95" customHeight="1" s="227">
      <c r="A52" s="196" t="n">
        <v>48</v>
      </c>
      <c r="B52" s="197" t="inlineStr">
        <is>
          <t>BM-048</t>
        </is>
      </c>
      <c r="C52" s="197" t="n">
        <v>68</v>
      </c>
      <c r="D52" s="198" t="inlineStr">
        <is>
          <t>H.M.E.O. Constituyentes</t>
        </is>
      </c>
      <c r="E52" s="196" t="inlineStr">
        <is>
          <t>CDMX</t>
        </is>
      </c>
      <c r="F52" s="198" t="inlineStr">
        <is>
          <t>I Región Militar (Valle de México)</t>
        </is>
      </c>
      <c r="G52" s="198" t="inlineStr">
        <is>
          <t>Sistema de diagnóstico oftálmico avanzado, marca Nidek, modelo OPD-Scan III</t>
        </is>
      </c>
      <c r="H52" s="196" t="inlineStr">
        <is>
          <t>470112</t>
        </is>
      </c>
      <c r="I52" s="196" t="inlineStr">
        <is>
          <t>OFTALMO</t>
        </is>
      </c>
      <c r="J52" s="197" t="n">
        <v>1</v>
      </c>
      <c r="K52" s="197" t="n">
        <v>2</v>
      </c>
      <c r="L52" s="200" t="inlineStr">
        <is>
          <t>Ing. Sophia López Ramírez</t>
        </is>
      </c>
      <c r="M52" s="197" t="inlineStr">
        <is>
          <t>21/10/2026</t>
        </is>
      </c>
    </row>
    <row r="53" ht="19.95" customHeight="1" s="227">
      <c r="A53" s="192" t="n">
        <v>49</v>
      </c>
      <c r="B53" s="193" t="inlineStr">
        <is>
          <t>BM-049</t>
        </is>
      </c>
      <c r="C53" s="193" t="n">
        <v>69</v>
      </c>
      <c r="D53" s="194" t="inlineStr">
        <is>
          <t>H.M.E.O. Constituyentes</t>
        </is>
      </c>
      <c r="E53" s="192" t="inlineStr">
        <is>
          <t>CDMX</t>
        </is>
      </c>
      <c r="F53" s="194" t="inlineStr">
        <is>
          <t>I Región Militar (Valle de México)</t>
        </is>
      </c>
      <c r="G53" s="194" t="inlineStr">
        <is>
          <t>Sistema de diagnóstico oftálmico avanzado, marca Nidek, modelo OPD-Scan III</t>
        </is>
      </c>
      <c r="H53" s="192" t="inlineStr">
        <is>
          <t>470113</t>
        </is>
      </c>
      <c r="I53" s="192" t="inlineStr">
        <is>
          <t>OFTALMO</t>
        </is>
      </c>
      <c r="J53" s="193" t="n">
        <v>1</v>
      </c>
      <c r="K53" s="193" t="n">
        <v>2</v>
      </c>
      <c r="L53" s="200" t="inlineStr">
        <is>
          <t>Ing. Sophia López Ramírez</t>
        </is>
      </c>
      <c r="M53" s="193" t="inlineStr">
        <is>
          <t>21/10/2026</t>
        </is>
      </c>
    </row>
    <row r="54" ht="19.95" customHeight="1" s="227">
      <c r="A54" s="196" t="n">
        <v>50</v>
      </c>
      <c r="B54" s="197" t="inlineStr">
        <is>
          <t>BM-050</t>
        </is>
      </c>
      <c r="C54" s="197" t="n">
        <v>70</v>
      </c>
      <c r="D54" s="198" t="inlineStr">
        <is>
          <t>H.M.E.O. Constituyentes</t>
        </is>
      </c>
      <c r="E54" s="196" t="inlineStr">
        <is>
          <t>CDMX</t>
        </is>
      </c>
      <c r="F54" s="198" t="inlineStr">
        <is>
          <t>I Región Militar (Valle de México)</t>
        </is>
      </c>
      <c r="G54" s="198" t="inlineStr">
        <is>
          <t>Plataforma láser oftálmica combinada YAG/SLT, marca Quantel Medical, modelo Optimis Fusion</t>
        </is>
      </c>
      <c r="H54" s="196" t="inlineStr">
        <is>
          <t>62-10-135</t>
        </is>
      </c>
      <c r="I54" s="196" t="inlineStr">
        <is>
          <t>OFTALMO</t>
        </is>
      </c>
      <c r="J54" s="197" t="n">
        <v>1</v>
      </c>
      <c r="K54" s="197" t="n">
        <v>2</v>
      </c>
      <c r="L54" s="200" t="inlineStr">
        <is>
          <t>Ing. Sophia López Ramírez</t>
        </is>
      </c>
      <c r="M54" s="197" t="inlineStr">
        <is>
          <t>21/10/2026</t>
        </is>
      </c>
    </row>
    <row r="55" ht="19.95" customHeight="1" s="227">
      <c r="A55" s="192" t="n">
        <v>51</v>
      </c>
      <c r="B55" s="193" t="inlineStr">
        <is>
          <t>BM-051</t>
        </is>
      </c>
      <c r="C55" s="193" t="n">
        <v>71</v>
      </c>
      <c r="D55" s="194" t="inlineStr">
        <is>
          <t>H.M.E.O. Constituyentes</t>
        </is>
      </c>
      <c r="E55" s="192" t="inlineStr">
        <is>
          <t>CDMX</t>
        </is>
      </c>
      <c r="F55" s="194" t="inlineStr">
        <is>
          <t>I Región Militar (Valle de México)</t>
        </is>
      </c>
      <c r="G55" s="194" t="inlineStr">
        <is>
          <t>Láser excimer, marca Alcon, modelo Wavelight</t>
        </is>
      </c>
      <c r="H55" s="192" t="inlineStr">
        <is>
          <t>1016-4-3384</t>
        </is>
      </c>
      <c r="I55" s="192" t="inlineStr">
        <is>
          <t>OFTALMO</t>
        </is>
      </c>
      <c r="J55" s="193" t="n">
        <v>1</v>
      </c>
      <c r="K55" s="193" t="n">
        <v>2</v>
      </c>
      <c r="L55" s="200" t="inlineStr">
        <is>
          <t>Ing. Sophia López Ramírez</t>
        </is>
      </c>
      <c r="M55" s="193" t="inlineStr">
        <is>
          <t>21/10/2026</t>
        </is>
      </c>
    </row>
    <row r="56" ht="19.95" customHeight="1" s="227">
      <c r="A56" s="196" t="n">
        <v>52</v>
      </c>
      <c r="B56" s="197" t="inlineStr">
        <is>
          <t>BM-052</t>
        </is>
      </c>
      <c r="C56" s="197" t="n">
        <v>72</v>
      </c>
      <c r="D56" s="198" t="inlineStr">
        <is>
          <t>H.M.E.O. Constituyentes</t>
        </is>
      </c>
      <c r="E56" s="196" t="inlineStr">
        <is>
          <t>CDMX</t>
        </is>
      </c>
      <c r="F56" s="198" t="inlineStr">
        <is>
          <t>I Región Militar (Valle de México)</t>
        </is>
      </c>
      <c r="G56" s="198" t="inlineStr">
        <is>
          <t>Láser oftálmico, marca Quantel Medical, modelo Easyret</t>
        </is>
      </c>
      <c r="H56" s="196" t="inlineStr">
        <is>
          <t>2209031</t>
        </is>
      </c>
      <c r="I56" s="196" t="inlineStr">
        <is>
          <t>OFTALMO</t>
        </is>
      </c>
      <c r="J56" s="197" t="n">
        <v>1</v>
      </c>
      <c r="K56" s="197" t="n">
        <v>2</v>
      </c>
      <c r="L56" s="200" t="inlineStr">
        <is>
          <t>Ing. Sophia López Ramírez</t>
        </is>
      </c>
      <c r="M56" s="197" t="inlineStr">
        <is>
          <t>21/10/2026</t>
        </is>
      </c>
    </row>
    <row r="57" ht="19.95" customHeight="1" s="227">
      <c r="A57" s="192" t="n">
        <v>53</v>
      </c>
      <c r="B57" s="193" t="inlineStr">
        <is>
          <t>BM-053</t>
        </is>
      </c>
      <c r="C57" s="193" t="n">
        <v>73</v>
      </c>
      <c r="D57" s="194" t="inlineStr">
        <is>
          <t>H.M.E.O. Constituyentes</t>
        </is>
      </c>
      <c r="E57" s="192" t="inlineStr">
        <is>
          <t>CDMX</t>
        </is>
      </c>
      <c r="F57" s="194" t="inlineStr">
        <is>
          <t>I Región Militar (Valle de México)</t>
        </is>
      </c>
      <c r="G57" s="194" t="inlineStr">
        <is>
          <t>Láser oftálmico, marca Quantel Medical, modelo Easyret</t>
        </is>
      </c>
      <c r="H57" s="192" t="inlineStr">
        <is>
          <t>2209032</t>
        </is>
      </c>
      <c r="I57" s="192" t="inlineStr">
        <is>
          <t>OFTALMO</t>
        </is>
      </c>
      <c r="J57" s="193" t="n">
        <v>1</v>
      </c>
      <c r="K57" s="193" t="n">
        <v>2</v>
      </c>
      <c r="L57" s="200" t="inlineStr">
        <is>
          <t>Ing. Sophia López Ramírez</t>
        </is>
      </c>
      <c r="M57" s="193" t="inlineStr">
        <is>
          <t>21/10/2026</t>
        </is>
      </c>
    </row>
    <row r="58" ht="19.95" customHeight="1" s="227">
      <c r="A58" s="196" t="n">
        <v>54</v>
      </c>
      <c r="B58" s="197" t="inlineStr">
        <is>
          <t>BM-054</t>
        </is>
      </c>
      <c r="C58" s="197" t="n">
        <v>74</v>
      </c>
      <c r="D58" s="198" t="inlineStr">
        <is>
          <t>H.M.E.O. Constituyentes</t>
        </is>
      </c>
      <c r="E58" s="196" t="inlineStr">
        <is>
          <t>CDMX</t>
        </is>
      </c>
      <c r="F58" s="198" t="inlineStr">
        <is>
          <t>I Región Militar (Valle de México)</t>
        </is>
      </c>
      <c r="G58" s="198" t="inlineStr">
        <is>
          <t>Equipo para crosslinking ocular, marca KXL, modelo Avedro</t>
        </is>
      </c>
      <c r="H58" s="196" t="inlineStr">
        <is>
          <t>KXL221005</t>
        </is>
      </c>
      <c r="I58" s="196" t="inlineStr">
        <is>
          <t>OFTALMO</t>
        </is>
      </c>
      <c r="J58" s="197" t="n">
        <v>1</v>
      </c>
      <c r="K58" s="197" t="n">
        <v>2</v>
      </c>
      <c r="L58" s="200" t="inlineStr">
        <is>
          <t>Ing. Sophia López Ramírez</t>
        </is>
      </c>
      <c r="M58" s="197" t="inlineStr">
        <is>
          <t>21/10/2026</t>
        </is>
      </c>
    </row>
    <row r="59" ht="19.95" customHeight="1" s="227">
      <c r="A59" s="192" t="n">
        <v>55</v>
      </c>
      <c r="B59" s="193" t="inlineStr">
        <is>
          <t>BM-055</t>
        </is>
      </c>
      <c r="C59" s="193" t="n">
        <v>75</v>
      </c>
      <c r="D59" s="194" t="inlineStr">
        <is>
          <t>H.M.E.O. Constituyentes</t>
        </is>
      </c>
      <c r="E59" s="192" t="inlineStr">
        <is>
          <t>CDMX</t>
        </is>
      </c>
      <c r="F59" s="194" t="inlineStr">
        <is>
          <t>I Región Militar (Valle de México)</t>
        </is>
      </c>
      <c r="G59" s="194" t="inlineStr">
        <is>
          <t>OCT con retinógrafo integrado, marca Nidek, modelo Retina Scan DUO-2 (RS-300)</t>
        </is>
      </c>
      <c r="H59" s="192" t="inlineStr">
        <is>
          <t>742223</t>
        </is>
      </c>
      <c r="I59" s="192" t="inlineStr">
        <is>
          <t>OFTALMO</t>
        </is>
      </c>
      <c r="J59" s="193" t="n">
        <v>2</v>
      </c>
      <c r="K59" s="193" t="n">
        <v>4</v>
      </c>
      <c r="L59" s="200" t="inlineStr">
        <is>
          <t>Ing. Sophia López Ramírez</t>
        </is>
      </c>
      <c r="M59" s="193" t="inlineStr">
        <is>
          <t>21/10/2026</t>
        </is>
      </c>
    </row>
    <row r="60" ht="19.95" customHeight="1" s="227">
      <c r="A60" s="196" t="n">
        <v>56</v>
      </c>
      <c r="B60" s="197" t="inlineStr">
        <is>
          <t>BM-056</t>
        </is>
      </c>
      <c r="C60" s="197" t="n">
        <v>76</v>
      </c>
      <c r="D60" s="198" t="inlineStr">
        <is>
          <t>H.M.E.O. Constituyentes</t>
        </is>
      </c>
      <c r="E60" s="196" t="inlineStr">
        <is>
          <t>CDMX</t>
        </is>
      </c>
      <c r="F60" s="198" t="inlineStr">
        <is>
          <t>I Región Militar (Valle de México)</t>
        </is>
      </c>
      <c r="G60" s="198" t="inlineStr">
        <is>
          <t>OCT con retinógrafo integrado, marca Nidek, modelo Retina Scan DUO-2 (RS-300)</t>
        </is>
      </c>
      <c r="H60" s="196" t="inlineStr">
        <is>
          <t>741879</t>
        </is>
      </c>
      <c r="I60" s="196" t="inlineStr">
        <is>
          <t>OFTALMO</t>
        </is>
      </c>
      <c r="J60" s="197" t="n">
        <v>1</v>
      </c>
      <c r="K60" s="197" t="n">
        <v>2</v>
      </c>
      <c r="L60" s="200" t="inlineStr">
        <is>
          <t>Ing. Sophia López Ramírez</t>
        </is>
      </c>
      <c r="M60" s="197" t="inlineStr">
        <is>
          <t>22/10/2026</t>
        </is>
      </c>
    </row>
    <row r="61" ht="19.95" customHeight="1" s="227">
      <c r="A61" s="192" t="n">
        <v>57</v>
      </c>
      <c r="B61" s="193" t="inlineStr">
        <is>
          <t>BM-057</t>
        </is>
      </c>
      <c r="C61" s="193" t="n">
        <v>77</v>
      </c>
      <c r="D61" s="194" t="inlineStr">
        <is>
          <t>H.M.E.O. Constituyentes</t>
        </is>
      </c>
      <c r="E61" s="192" t="inlineStr">
        <is>
          <t>CDMX</t>
        </is>
      </c>
      <c r="F61" s="194" t="inlineStr">
        <is>
          <t>I Región Militar (Valle de México)</t>
        </is>
      </c>
      <c r="G61" s="194" t="inlineStr">
        <is>
          <t>OCT con retinógrafo integrado, marca Nidek, modelo Retina Scan DUO-2 (RS-300)</t>
        </is>
      </c>
      <c r="H61" s="192" t="inlineStr">
        <is>
          <t>742356</t>
        </is>
      </c>
      <c r="I61" s="192" t="inlineStr">
        <is>
          <t>OFTALMO</t>
        </is>
      </c>
      <c r="J61" s="193" t="n">
        <v>1</v>
      </c>
      <c r="K61" s="193" t="n">
        <v>2</v>
      </c>
      <c r="L61" s="200" t="inlineStr">
        <is>
          <t>Ing. Sophia López Ramírez</t>
        </is>
      </c>
      <c r="M61" s="193" t="inlineStr">
        <is>
          <t>22/10/2026</t>
        </is>
      </c>
    </row>
    <row r="62" ht="19.95" customHeight="1" s="227">
      <c r="A62" s="196" t="n">
        <v>58</v>
      </c>
      <c r="B62" s="197" t="inlineStr">
        <is>
          <t>BM-058</t>
        </is>
      </c>
      <c r="C62" s="197" t="n">
        <v>78</v>
      </c>
      <c r="D62" s="198" t="inlineStr">
        <is>
          <t>H.M.E.O. Constituyentes</t>
        </is>
      </c>
      <c r="E62" s="196" t="inlineStr">
        <is>
          <t>CDMX</t>
        </is>
      </c>
      <c r="F62" s="198" t="inlineStr">
        <is>
          <t>I Región Militar (Valle de México)</t>
        </is>
      </c>
      <c r="G62" s="198" t="inlineStr">
        <is>
          <t>OCT con retinógrafo integrado, marca Nidek, modelo Retina Scan DUO-2 (RS-300)</t>
        </is>
      </c>
      <c r="H62" s="196" t="inlineStr">
        <is>
          <t>741940</t>
        </is>
      </c>
      <c r="I62" s="196" t="inlineStr">
        <is>
          <t>OFTALMO</t>
        </is>
      </c>
      <c r="J62" s="197" t="n">
        <v>2</v>
      </c>
      <c r="K62" s="197" t="n">
        <v>4</v>
      </c>
      <c r="L62" s="200" t="inlineStr">
        <is>
          <t>Ing. Sophia López Ramírez</t>
        </is>
      </c>
      <c r="M62" s="197" t="inlineStr">
        <is>
          <t>22/10/2026</t>
        </is>
      </c>
    </row>
    <row r="63" ht="19.95" customHeight="1" s="227">
      <c r="A63" s="192" t="n">
        <v>59</v>
      </c>
      <c r="B63" s="193" t="inlineStr">
        <is>
          <t>BM-059</t>
        </is>
      </c>
      <c r="C63" s="193" t="n">
        <v>79</v>
      </c>
      <c r="D63" s="194" t="inlineStr">
        <is>
          <t>H.M.E.O. Constituyentes</t>
        </is>
      </c>
      <c r="E63" s="192" t="inlineStr">
        <is>
          <t>CDMX</t>
        </is>
      </c>
      <c r="F63" s="194" t="inlineStr">
        <is>
          <t>I Región Militar (Valle de México)</t>
        </is>
      </c>
      <c r="G63" s="194" t="inlineStr">
        <is>
          <t>Sistema de diagnóstico oftálmico avanzado, marca Heidelberg Engineering, modelo Spectralis</t>
        </is>
      </c>
      <c r="H63" s="192" t="inlineStr">
        <is>
          <t>SPEC-CAM-21931-53610</t>
        </is>
      </c>
      <c r="I63" s="192" t="inlineStr">
        <is>
          <t>OFTALMO</t>
        </is>
      </c>
      <c r="J63" s="193" t="n">
        <v>2</v>
      </c>
      <c r="K63" s="193" t="n">
        <v>4</v>
      </c>
      <c r="L63" s="200" t="inlineStr">
        <is>
          <t>Ing. Sophia López Ramírez</t>
        </is>
      </c>
      <c r="M63" s="193" t="inlineStr">
        <is>
          <t>22/10/2026</t>
        </is>
      </c>
    </row>
    <row r="64" ht="19.95" customHeight="1" s="227">
      <c r="A64" s="196" t="n">
        <v>60</v>
      </c>
      <c r="B64" s="197" t="inlineStr">
        <is>
          <t>BM-060</t>
        </is>
      </c>
      <c r="C64" s="197" t="n">
        <v>80</v>
      </c>
      <c r="D64" s="198" t="inlineStr">
        <is>
          <t>H.M.E.O. Constituyentes</t>
        </is>
      </c>
      <c r="E64" s="196" t="inlineStr">
        <is>
          <t>CDMX</t>
        </is>
      </c>
      <c r="F64" s="198" t="inlineStr">
        <is>
          <t>I Región Militar (Valle de México)</t>
        </is>
      </c>
      <c r="G64" s="198" t="inlineStr">
        <is>
          <t>Sistema de diagnóstico oftálmico avanzado, marca Heidelberg Engineering, modelo Spectralis</t>
        </is>
      </c>
      <c r="H64" s="196" t="inlineStr">
        <is>
          <t>SPEC-CAM-21920-53610</t>
        </is>
      </c>
      <c r="I64" s="196" t="inlineStr">
        <is>
          <t>OFTALMO</t>
        </is>
      </c>
      <c r="J64" s="197" t="n">
        <v>2</v>
      </c>
      <c r="K64" s="197" t="n">
        <v>4</v>
      </c>
      <c r="L64" s="200" t="inlineStr">
        <is>
          <t>Ing. Sophia López Ramírez</t>
        </is>
      </c>
      <c r="M64" s="197" t="inlineStr">
        <is>
          <t>22/10/2026</t>
        </is>
      </c>
    </row>
    <row r="65" ht="19.95" customHeight="1" s="227">
      <c r="A65" s="192" t="n">
        <v>61</v>
      </c>
      <c r="B65" s="193" t="inlineStr">
        <is>
          <t>BM-061</t>
        </is>
      </c>
      <c r="C65" s="193" t="n">
        <v>81</v>
      </c>
      <c r="D65" s="194" t="inlineStr">
        <is>
          <t>H.M.E.O. Constituyentes</t>
        </is>
      </c>
      <c r="E65" s="192" t="inlineStr">
        <is>
          <t>CDMX</t>
        </is>
      </c>
      <c r="F65" s="194" t="inlineStr">
        <is>
          <t>I Región Militar (Valle de México)</t>
        </is>
      </c>
      <c r="G65" s="194" t="inlineStr">
        <is>
          <t>Sistema de diagnóstico oftálmico avanzado, marca Heidelberg Engineering, modelo Spectralis</t>
        </is>
      </c>
      <c r="H65" s="192" t="inlineStr">
        <is>
          <t>SPEC-CAM-21928-53610</t>
        </is>
      </c>
      <c r="I65" s="192" t="inlineStr">
        <is>
          <t>OFTALMO</t>
        </is>
      </c>
      <c r="J65" s="193" t="n">
        <v>2</v>
      </c>
      <c r="K65" s="193" t="n">
        <v>4</v>
      </c>
      <c r="L65" s="200" t="inlineStr">
        <is>
          <t>Ing. Sophia López Ramírez</t>
        </is>
      </c>
      <c r="M65" s="193" t="inlineStr">
        <is>
          <t>22/10/2026</t>
        </is>
      </c>
    </row>
    <row r="66" ht="19.95" customHeight="1" s="227">
      <c r="A66" s="196" t="n">
        <v>62</v>
      </c>
      <c r="B66" s="197" t="inlineStr">
        <is>
          <t>BM-062</t>
        </is>
      </c>
      <c r="C66" s="197" t="n">
        <v>82</v>
      </c>
      <c r="D66" s="198" t="inlineStr">
        <is>
          <t>H.M.E.O. Constituyentes</t>
        </is>
      </c>
      <c r="E66" s="196" t="inlineStr">
        <is>
          <t>CDMX</t>
        </is>
      </c>
      <c r="F66" s="198" t="inlineStr">
        <is>
          <t>I Región Militar (Valle de México)</t>
        </is>
      </c>
      <c r="G66" s="198" t="inlineStr">
        <is>
          <t>Retinógrafo de campo ultra amplio, marca Optos, modelo California</t>
        </is>
      </c>
      <c r="H66" s="196" t="inlineStr">
        <is>
          <t>41652</t>
        </is>
      </c>
      <c r="I66" s="196" t="inlineStr">
        <is>
          <t>OFTALMO</t>
        </is>
      </c>
      <c r="J66" s="197" t="n">
        <v>1</v>
      </c>
      <c r="K66" s="197" t="n">
        <v>2</v>
      </c>
      <c r="L66" s="200" t="inlineStr">
        <is>
          <t>Ing. Sophia López Ramírez</t>
        </is>
      </c>
      <c r="M66" s="197" t="inlineStr">
        <is>
          <t>22/10/2026</t>
        </is>
      </c>
    </row>
    <row r="67" ht="19.95" customHeight="1" s="227">
      <c r="A67" s="192" t="n">
        <v>63</v>
      </c>
      <c r="B67" s="193" t="inlineStr">
        <is>
          <t>BM-063</t>
        </is>
      </c>
      <c r="C67" s="193" t="n">
        <v>83</v>
      </c>
      <c r="D67" s="194" t="inlineStr">
        <is>
          <t>H.M.E.O. Constituyentes</t>
        </is>
      </c>
      <c r="E67" s="192" t="inlineStr">
        <is>
          <t>CDMX</t>
        </is>
      </c>
      <c r="F67" s="194" t="inlineStr">
        <is>
          <t>I Región Militar (Valle de México)</t>
        </is>
      </c>
      <c r="G67" s="194" t="inlineStr">
        <is>
          <t>Retinógrafo de campo ultra amplio, marca Optos, modelo California</t>
        </is>
      </c>
      <c r="H67" s="192" t="inlineStr">
        <is>
          <t>41656</t>
        </is>
      </c>
      <c r="I67" s="192" t="inlineStr">
        <is>
          <t>OFTALMO</t>
        </is>
      </c>
      <c r="J67" s="193" t="n">
        <v>1</v>
      </c>
      <c r="K67" s="193" t="n">
        <v>2</v>
      </c>
      <c r="L67" s="200" t="inlineStr">
        <is>
          <t>Ing. Sophia López Ramírez</t>
        </is>
      </c>
      <c r="M67" s="193" t="inlineStr">
        <is>
          <t>22/10/2026</t>
        </is>
      </c>
    </row>
    <row r="68" ht="19.95" customHeight="1" s="227">
      <c r="A68" s="196" t="n">
        <v>64</v>
      </c>
      <c r="B68" s="197" t="inlineStr">
        <is>
          <t>BM-064</t>
        </is>
      </c>
      <c r="C68" s="197" t="n">
        <v>87</v>
      </c>
      <c r="D68" s="198" t="inlineStr">
        <is>
          <t>H.M.R. Santa Lucía</t>
        </is>
      </c>
      <c r="E68" s="196" t="inlineStr">
        <is>
          <t>EDO DE MEX</t>
        </is>
      </c>
      <c r="F68" s="198" t="inlineStr">
        <is>
          <t>I Región Militar (Base Aérea Militar No. 1)</t>
        </is>
      </c>
      <c r="G68" s="198" t="inlineStr">
        <is>
          <t>Autoqueratorrefractor, marca Nidek, modelo ARK-F</t>
        </is>
      </c>
      <c r="H68" s="196" t="inlineStr">
        <is>
          <t>270010</t>
        </is>
      </c>
      <c r="I68" s="196" t="inlineStr">
        <is>
          <t>OFTALMO</t>
        </is>
      </c>
      <c r="J68" s="197" t="n">
        <v>1</v>
      </c>
      <c r="K68" s="197" t="n">
        <v>2</v>
      </c>
      <c r="L68" s="201" t="inlineStr">
        <is>
          <t>Ing. Jose Jorge Olivares Velazquez</t>
        </is>
      </c>
      <c r="M68" s="197" t="inlineStr">
        <is>
          <t>13/10/2026</t>
        </is>
      </c>
    </row>
    <row r="69" ht="19.95" customHeight="1" s="227">
      <c r="A69" s="192" t="n">
        <v>65</v>
      </c>
      <c r="B69" s="193" t="inlineStr">
        <is>
          <t>BM-065</t>
        </is>
      </c>
      <c r="C69" s="193" t="n">
        <v>88</v>
      </c>
      <c r="D69" s="194" t="inlineStr">
        <is>
          <t>H.M.R. Santa Lucía</t>
        </is>
      </c>
      <c r="E69" s="192" t="inlineStr">
        <is>
          <t>EDO DE MEX</t>
        </is>
      </c>
      <c r="F69" s="194" t="inlineStr">
        <is>
          <t>I Región Militar (Base Aérea Militar No. 1)</t>
        </is>
      </c>
      <c r="G69" s="194" t="inlineStr">
        <is>
          <t>Tomógrafo-topógrafo corneal, marca CSO, modelo Sirius</t>
        </is>
      </c>
      <c r="H69" s="192" t="inlineStr">
        <is>
          <t>21091186</t>
        </is>
      </c>
      <c r="I69" s="192" t="inlineStr">
        <is>
          <t>OFTALMO</t>
        </is>
      </c>
      <c r="J69" s="193" t="n">
        <v>1</v>
      </c>
      <c r="K69" s="193" t="n">
        <v>2</v>
      </c>
      <c r="L69" s="201" t="inlineStr">
        <is>
          <t>Ing. Jose Jorge Olivares Velazquez</t>
        </is>
      </c>
      <c r="M69" s="193" t="inlineStr">
        <is>
          <t>13/10/2026</t>
        </is>
      </c>
    </row>
    <row r="70" ht="19.95" customHeight="1" s="227">
      <c r="A70" s="196" t="n">
        <v>66</v>
      </c>
      <c r="B70" s="197" t="inlineStr">
        <is>
          <t>BM-066</t>
        </is>
      </c>
      <c r="C70" s="197" t="n">
        <v>94</v>
      </c>
      <c r="D70" s="198" t="inlineStr">
        <is>
          <t>H.M.R. Santa Lucía</t>
        </is>
      </c>
      <c r="E70" s="196" t="inlineStr">
        <is>
          <t>EDO DE MEX</t>
        </is>
      </c>
      <c r="F70" s="198" t="inlineStr">
        <is>
          <t>I Región Militar (Base Aérea Militar No. 1)</t>
        </is>
      </c>
      <c r="G70" s="198" t="inlineStr">
        <is>
          <t>Fotocoagulador láser, marca Topcon, modelo Pascal Synthesis</t>
        </is>
      </c>
      <c r="H70" s="196" t="inlineStr">
        <is>
          <t>79140219</t>
        </is>
      </c>
      <c r="I70" s="196" t="inlineStr">
        <is>
          <t>OFTALMO</t>
        </is>
      </c>
      <c r="J70" s="197" t="n">
        <v>1</v>
      </c>
      <c r="K70" s="197" t="n">
        <v>2</v>
      </c>
      <c r="L70" s="201" t="inlineStr">
        <is>
          <t>Ing. Jose Jorge Olivares Velazquez</t>
        </is>
      </c>
      <c r="M70" s="197" t="inlineStr">
        <is>
          <t>13/10/2026</t>
        </is>
      </c>
    </row>
    <row r="71" ht="19.95" customHeight="1" s="227">
      <c r="A71" s="192" t="n">
        <v>67</v>
      </c>
      <c r="B71" s="193" t="inlineStr">
        <is>
          <t>BM-102</t>
        </is>
      </c>
      <c r="C71" s="193" t="n">
        <v>99</v>
      </c>
      <c r="D71" s="194" t="inlineStr">
        <is>
          <t>H.M.Z. Cinco de Mayo</t>
        </is>
      </c>
      <c r="E71" s="192" t="inlineStr">
        <is>
          <t>DURANGO</t>
        </is>
      </c>
      <c r="F71" s="194" t="inlineStr">
        <is>
          <t>III Región Militar (10/a. Zona Militar)</t>
        </is>
      </c>
      <c r="G71" s="194" t="inlineStr">
        <is>
          <t>Rayos X fijo, marca Del Medical, modelo EV 800</t>
        </is>
      </c>
      <c r="H71" s="192" t="inlineStr">
        <is>
          <t>02776-1019-W</t>
        </is>
      </c>
      <c r="I71" s="192" t="inlineStr">
        <is>
          <t>IMAGEN</t>
        </is>
      </c>
      <c r="J71" s="193" t="n">
        <v>1</v>
      </c>
      <c r="K71" s="193" t="n">
        <v>2</v>
      </c>
      <c r="L71" s="202" t="inlineStr">
        <is>
          <t>Ing. Ángel Rodríguez Zavala</t>
        </is>
      </c>
      <c r="M71" s="193" t="inlineStr">
        <is>
          <t>22/10/2026</t>
        </is>
      </c>
    </row>
    <row r="72" ht="19.95" customHeight="1" s="227">
      <c r="A72" s="196" t="n">
        <v>68</v>
      </c>
      <c r="B72" s="197" t="inlineStr">
        <is>
          <t>BM-103</t>
        </is>
      </c>
      <c r="C72" s="197" t="n">
        <v>107</v>
      </c>
      <c r="D72" s="198" t="inlineStr">
        <is>
          <t>H.C.M. Lomas de Sotelo</t>
        </is>
      </c>
      <c r="E72" s="196" t="inlineStr">
        <is>
          <t>CDMX</t>
        </is>
      </c>
      <c r="F72" s="198" t="inlineStr">
        <is>
          <t>I Región Militar (Sede Central SEDENA)</t>
        </is>
      </c>
      <c r="G72" s="198" t="inlineStr">
        <is>
          <t>Rayos X móvil, marca Fujifilm, modelo DR-XD 1000</t>
        </is>
      </c>
      <c r="H72" s="196" t="inlineStr">
        <is>
          <t>77250288</t>
        </is>
      </c>
      <c r="I72" s="196" t="inlineStr">
        <is>
          <t>IMAGEN</t>
        </is>
      </c>
      <c r="J72" s="197" t="n">
        <v>1</v>
      </c>
      <c r="K72" s="197" t="n">
        <v>2</v>
      </c>
      <c r="L72" s="195" t="inlineStr">
        <is>
          <t>Ing. Axel Evangelista Salinas</t>
        </is>
      </c>
      <c r="M72" s="197" t="inlineStr">
        <is>
          <t>13/10/2026</t>
        </is>
      </c>
    </row>
    <row r="73" ht="19.95" customHeight="1" s="227">
      <c r="A73" s="192" t="n">
        <v>69</v>
      </c>
      <c r="B73" s="193" t="inlineStr">
        <is>
          <t>BM-104</t>
        </is>
      </c>
      <c r="C73" s="193" t="n">
        <v>111</v>
      </c>
      <c r="D73" s="194" t="inlineStr">
        <is>
          <t>H.M.E.M. Y N. Lomas de Sotelo</t>
        </is>
      </c>
      <c r="E73" s="192" t="inlineStr">
        <is>
          <t>CDMX</t>
        </is>
      </c>
      <c r="F73" s="194" t="inlineStr">
        <is>
          <t>I Región Militar (Complejo Sotelo)</t>
        </is>
      </c>
      <c r="G73" s="194" t="inlineStr">
        <is>
          <t>Rayos X móvil, marca Fujifilm, modelo FDR Go</t>
        </is>
      </c>
      <c r="H73" s="192" t="inlineStr">
        <is>
          <t>566-19888-11</t>
        </is>
      </c>
      <c r="I73" s="192" t="inlineStr">
        <is>
          <t>IMAGEN</t>
        </is>
      </c>
      <c r="J73" s="193" t="n">
        <v>1</v>
      </c>
      <c r="K73" s="193" t="n">
        <v>2</v>
      </c>
      <c r="L73" s="195" t="inlineStr">
        <is>
          <t>Ing. Axel Evangelista Salinas</t>
        </is>
      </c>
      <c r="M73" s="193" t="inlineStr">
        <is>
          <t>14/10/2026</t>
        </is>
      </c>
    </row>
    <row r="74" ht="19.95" customHeight="1" s="227">
      <c r="A74" s="196" t="n">
        <v>70</v>
      </c>
      <c r="B74" s="197" t="inlineStr">
        <is>
          <t>BM-067</t>
        </is>
      </c>
      <c r="C74" s="197" t="n">
        <v>112</v>
      </c>
      <c r="D74" s="198" t="inlineStr">
        <is>
          <t>H.M.E.M. Y N. Lomas de Sotelo</t>
        </is>
      </c>
      <c r="E74" s="196" t="inlineStr">
        <is>
          <t>CDMX</t>
        </is>
      </c>
      <c r="F74" s="198" t="inlineStr">
        <is>
          <t>I Región Militar (Complejo Sotelo)</t>
        </is>
      </c>
      <c r="G74" s="198" t="inlineStr">
        <is>
          <t>Sistema digital de imagen de campo amplio, marca Clarity Medical Systems, modelo RetCam 3</t>
        </is>
      </c>
      <c r="H74" s="196" t="inlineStr">
        <is>
          <t>RC7406</t>
        </is>
      </c>
      <c r="I74" s="196" t="inlineStr">
        <is>
          <t>OFTALMO</t>
        </is>
      </c>
      <c r="J74" s="197" t="n">
        <v>1</v>
      </c>
      <c r="K74" s="197" t="n">
        <v>2</v>
      </c>
      <c r="L74" s="195" t="inlineStr">
        <is>
          <t>Ing. Axel Evangelista Salinas</t>
        </is>
      </c>
      <c r="M74" s="197" t="inlineStr">
        <is>
          <t>14/10/2026</t>
        </is>
      </c>
    </row>
    <row r="75" ht="19.95" customHeight="1" s="227">
      <c r="A75" s="192" t="n">
        <v>71</v>
      </c>
      <c r="B75" s="193" t="inlineStr">
        <is>
          <t>BM-105</t>
        </is>
      </c>
      <c r="C75" s="193" t="n">
        <v>134</v>
      </c>
      <c r="D75" s="194" t="inlineStr">
        <is>
          <t>H.M.R. Tuxpan</t>
        </is>
      </c>
      <c r="E75" s="192" t="inlineStr">
        <is>
          <t>VERACRUZ</t>
        </is>
      </c>
      <c r="F75" s="194" t="inlineStr">
        <is>
          <t>VI Región Militar (19/a. Zona Militar)</t>
        </is>
      </c>
      <c r="G75" s="194" t="inlineStr">
        <is>
          <t>Rayos X móvil, marca Fujifilm, modelo FDR Go</t>
        </is>
      </c>
      <c r="H75" s="192" t="inlineStr">
        <is>
          <t>41DBBA14A019</t>
        </is>
      </c>
      <c r="I75" s="192" t="inlineStr">
        <is>
          <t>IMAGEN</t>
        </is>
      </c>
      <c r="J75" s="193" t="n">
        <v>1</v>
      </c>
      <c r="K75" s="193" t="n">
        <v>2</v>
      </c>
      <c r="L75" s="203" t="inlineStr">
        <is>
          <t>Ing. Axel Evangelista Salinas</t>
        </is>
      </c>
      <c r="M75" s="193" t="inlineStr">
        <is>
          <t>19/10/2026</t>
        </is>
      </c>
    </row>
    <row r="76" ht="19.95" customHeight="1" s="227">
      <c r="A76" s="196" t="n">
        <v>72</v>
      </c>
      <c r="B76" s="197" t="inlineStr">
        <is>
          <t>BM-106</t>
        </is>
      </c>
      <c r="C76" s="197" t="n">
        <v>140</v>
      </c>
      <c r="D76" s="198" t="inlineStr">
        <is>
          <t>H.M.R. Tuxtla Gutiérrez</t>
        </is>
      </c>
      <c r="E76" s="196" t="inlineStr">
        <is>
          <t>CHIAPAS</t>
        </is>
      </c>
      <c r="F76" s="198" t="inlineStr">
        <is>
          <t>VII Región Militar (Chiapas)</t>
        </is>
      </c>
      <c r="G76" s="198" t="inlineStr">
        <is>
          <t>Rayos X móvil, marca Fujifilm, modelo FDR Go</t>
        </is>
      </c>
      <c r="H76" s="196" t="inlineStr">
        <is>
          <t>41DBBA146046</t>
        </is>
      </c>
      <c r="I76" s="196" t="inlineStr">
        <is>
          <t>IMAGEN</t>
        </is>
      </c>
      <c r="J76" s="197" t="n">
        <v>1</v>
      </c>
      <c r="K76" s="197" t="n">
        <v>2</v>
      </c>
      <c r="L76" s="204" t="inlineStr">
        <is>
          <t>Ing. Nuevo</t>
        </is>
      </c>
      <c r="M76" s="197" t="inlineStr">
        <is>
          <t>26/10/2026</t>
        </is>
      </c>
      <c r="N76" t="inlineStr">
        <is>
          <t>SEMANA 3 (FORÁNEO)</t>
        </is>
      </c>
    </row>
    <row r="77" ht="19.95" customHeight="1" s="227">
      <c r="A77" s="192" t="n">
        <v>73</v>
      </c>
      <c r="B77" s="193" t="inlineStr">
        <is>
          <t>BM-107</t>
        </is>
      </c>
      <c r="C77" s="193" t="n">
        <v>144</v>
      </c>
      <c r="D77" s="194" t="inlineStr">
        <is>
          <t>H.M.R.E. Mérida</t>
        </is>
      </c>
      <c r="E77" s="192" t="inlineStr">
        <is>
          <t>YUCATAN</t>
        </is>
      </c>
      <c r="F77" s="194" t="inlineStr">
        <is>
          <t>X Región Militar (Península)</t>
        </is>
      </c>
      <c r="G77" s="194" t="inlineStr">
        <is>
          <t>Rayos X móvil, marca Villa Sistemi Medicali, modelo Visitor T30 M-DR</t>
        </is>
      </c>
      <c r="H77" s="192" t="inlineStr">
        <is>
          <t>17091017</t>
        </is>
      </c>
      <c r="I77" s="192" t="inlineStr">
        <is>
          <t>IMAGEN</t>
        </is>
      </c>
      <c r="J77" s="193" t="n">
        <v>1</v>
      </c>
      <c r="K77" s="193" t="n">
        <v>2</v>
      </c>
      <c r="L77" s="205" t="inlineStr">
        <is>
          <t>Ing. Fernando Javier Michel Euan</t>
        </is>
      </c>
      <c r="M77" s="193" t="inlineStr">
        <is>
          <t>15/10/2026</t>
        </is>
      </c>
      <c r="N77" t="inlineStr">
        <is>
          <t>SEMANA 1 (LEICA/SEDE BASE)</t>
        </is>
      </c>
    </row>
    <row r="78" ht="19.95" customHeight="1" s="227">
      <c r="A78" s="196" t="n">
        <v>74</v>
      </c>
      <c r="B78" s="197" t="inlineStr">
        <is>
          <t>BM-108</t>
        </is>
      </c>
      <c r="C78" s="197" t="n">
        <v>145</v>
      </c>
      <c r="D78" s="198" t="inlineStr">
        <is>
          <t>H.M.R.E. Mérida</t>
        </is>
      </c>
      <c r="E78" s="196" t="inlineStr">
        <is>
          <t>YUCATAN</t>
        </is>
      </c>
      <c r="F78" s="198" t="inlineStr">
        <is>
          <t>X Región Militar (Península)</t>
        </is>
      </c>
      <c r="G78" s="198" t="inlineStr">
        <is>
          <t>Equipo de rayos X móvil, marca Technix, modelo TMS 320</t>
        </is>
      </c>
      <c r="H78" s="196" t="inlineStr">
        <is>
          <t>80-16-103-174</t>
        </is>
      </c>
      <c r="I78" s="196" t="inlineStr">
        <is>
          <t>IMAGEN</t>
        </is>
      </c>
      <c r="J78" s="197" t="n">
        <v>1</v>
      </c>
      <c r="K78" s="197" t="n">
        <v>2</v>
      </c>
      <c r="L78" s="205" t="inlineStr">
        <is>
          <t>Ing. Fernando Javier Michel Euan</t>
        </is>
      </c>
      <c r="M78" s="197" t="inlineStr">
        <is>
          <t>15/10/2026</t>
        </is>
      </c>
      <c r="N78" t="inlineStr">
        <is>
          <t>SEMANA 1 (LEICA/SEDE BASE)</t>
        </is>
      </c>
    </row>
    <row r="79" ht="19.95" customHeight="1" s="227">
      <c r="A79" s="192" t="n">
        <v>75</v>
      </c>
      <c r="B79" s="193" t="inlineStr">
        <is>
          <t>BM-109</t>
        </is>
      </c>
      <c r="C79" s="193" t="n">
        <v>149</v>
      </c>
      <c r="D79" s="194" t="inlineStr">
        <is>
          <t>H.M.R. San Luis Potosí</t>
        </is>
      </c>
      <c r="E79" s="192" t="inlineStr">
        <is>
          <t>SAN LUIS POTOSI</t>
        </is>
      </c>
      <c r="F79" s="194" t="inlineStr">
        <is>
          <t>XII Región Militar (San Luis Potosí)</t>
        </is>
      </c>
      <c r="G79" s="194" t="inlineStr">
        <is>
          <t>Equipo de rayos X móvil, marca Technix, modelo TMS 320</t>
        </is>
      </c>
      <c r="H79" s="192" t="inlineStr">
        <is>
          <t>80-16-87-158</t>
        </is>
      </c>
      <c r="I79" s="192" t="inlineStr">
        <is>
          <t>IMAGEN</t>
        </is>
      </c>
      <c r="J79" s="193" t="n">
        <v>1</v>
      </c>
      <c r="K79" s="193" t="n">
        <v>2</v>
      </c>
      <c r="L79" s="202" t="inlineStr">
        <is>
          <t>Ing. Ángel Rodríguez Zavala</t>
        </is>
      </c>
      <c r="M79" s="193" t="inlineStr">
        <is>
          <t>20/10/2026</t>
        </is>
      </c>
    </row>
    <row r="80" ht="19.95" customHeight="1" s="227">
      <c r="A80" s="196" t="n">
        <v>76</v>
      </c>
      <c r="B80" s="197" t="inlineStr">
        <is>
          <t>BM-110</t>
        </is>
      </c>
      <c r="C80" s="197" t="n">
        <v>152</v>
      </c>
      <c r="D80" s="198" t="inlineStr">
        <is>
          <t>H.M.R.E. Mazatlán</t>
        </is>
      </c>
      <c r="E80" s="196" t="inlineStr">
        <is>
          <t>SINALOA</t>
        </is>
      </c>
      <c r="F80" s="198" t="inlineStr">
        <is>
          <t>III Región Militar (Sinaloa)</t>
        </is>
      </c>
      <c r="G80" s="198" t="inlineStr">
        <is>
          <t>Impresora para placas radiográficas, marca Codonics, modelo Horizon Ci</t>
        </is>
      </c>
      <c r="H80" s="196" t="inlineStr">
        <is>
          <t>50C00404C</t>
        </is>
      </c>
      <c r="I80" s="196" t="inlineStr">
        <is>
          <t>IMAGEN</t>
        </is>
      </c>
      <c r="J80" s="197" t="n">
        <v>1</v>
      </c>
      <c r="K80" s="197" t="n">
        <v>2</v>
      </c>
      <c r="L80" s="206" t="inlineStr">
        <is>
          <t>Ing. Rogelio Ramos Centeno</t>
        </is>
      </c>
      <c r="M80" s="197" t="inlineStr">
        <is>
          <t>21/10/2026</t>
        </is>
      </c>
    </row>
    <row r="81" ht="19.95" customHeight="1" s="227">
      <c r="A81" s="192" t="n">
        <v>77</v>
      </c>
      <c r="B81" s="193" t="inlineStr">
        <is>
          <t>BM-068</t>
        </is>
      </c>
      <c r="C81" s="193" t="n">
        <v>154</v>
      </c>
      <c r="D81" s="194" t="inlineStr">
        <is>
          <t>H.M.R.E. Mazatlán</t>
        </is>
      </c>
      <c r="E81" s="192" t="inlineStr">
        <is>
          <t>SINALOA</t>
        </is>
      </c>
      <c r="F81" s="194" t="inlineStr">
        <is>
          <t>III Región Militar (Sinaloa)</t>
        </is>
      </c>
      <c r="G81" s="194" t="inlineStr">
        <is>
          <t>Microscopio para cirugía, marca Haag-Streit Surgical, modelo Moller Wedel</t>
        </is>
      </c>
      <c r="H81" s="192" t="inlineStr">
        <is>
          <t>30155514</t>
        </is>
      </c>
      <c r="I81" s="192" t="inlineStr">
        <is>
          <t>OFTALMO</t>
        </is>
      </c>
      <c r="J81" s="193" t="n">
        <v>1</v>
      </c>
      <c r="K81" s="193" t="n">
        <v>2</v>
      </c>
      <c r="L81" s="206" t="inlineStr">
        <is>
          <t>Ing. Rogelio Ramos Centeno</t>
        </is>
      </c>
      <c r="M81" s="193" t="inlineStr">
        <is>
          <t>21/10/2026</t>
        </is>
      </c>
    </row>
    <row r="82" ht="19.95" customHeight="1" s="227">
      <c r="A82" s="196" t="n">
        <v>78</v>
      </c>
      <c r="B82" s="197" t="inlineStr">
        <is>
          <t>BM-069</t>
        </is>
      </c>
      <c r="C82" s="197" t="n">
        <v>156</v>
      </c>
      <c r="D82" s="198" t="inlineStr">
        <is>
          <t>H.C.M. Lomas de Sotelo</t>
        </is>
      </c>
      <c r="E82" s="196" t="inlineStr">
        <is>
          <t>CDMX</t>
        </is>
      </c>
      <c r="F82" s="198" t="inlineStr">
        <is>
          <t>I Región Militar (Sede Central SEDENA)</t>
        </is>
      </c>
      <c r="G82" s="198" t="inlineStr">
        <is>
          <t>Equipo de rayos X móvil, marca Technix, modelo TMS 320</t>
        </is>
      </c>
      <c r="H82" s="196" t="inlineStr">
        <is>
          <t>80-16-79-150</t>
        </is>
      </c>
      <c r="I82" s="196" t="inlineStr">
        <is>
          <t>IMAGEN</t>
        </is>
      </c>
      <c r="J82" s="197" t="n">
        <v>1</v>
      </c>
      <c r="K82" s="197" t="n">
        <v>2</v>
      </c>
      <c r="L82" s="195" t="inlineStr">
        <is>
          <t>Ing. Axel Evangelista Salinas</t>
        </is>
      </c>
      <c r="M82" s="197" t="inlineStr">
        <is>
          <t>13/10/2026</t>
        </is>
      </c>
    </row>
    <row r="83" ht="19.95" customHeight="1" s="227">
      <c r="A83" s="192" t="n">
        <v>79</v>
      </c>
      <c r="B83" s="193" t="inlineStr">
        <is>
          <t>BM-070</t>
        </is>
      </c>
      <c r="C83" s="193" t="n">
        <v>159</v>
      </c>
      <c r="D83" s="194" t="inlineStr">
        <is>
          <t>H.M.R.E. Monterrey</t>
        </is>
      </c>
      <c r="E83" s="192" t="inlineStr">
        <is>
          <t>NUEVO LEON</t>
        </is>
      </c>
      <c r="F83" s="194" t="inlineStr">
        <is>
          <t>IV Región Militar (Noreste)</t>
        </is>
      </c>
      <c r="G83" s="194" t="inlineStr">
        <is>
          <t>Microscopio para cirugía, marca Haag-Streit Surgical, modelo HS Hi-R 700</t>
        </is>
      </c>
      <c r="H83" s="192" t="inlineStr">
        <is>
          <t>1303</t>
        </is>
      </c>
      <c r="I83" s="192" t="inlineStr">
        <is>
          <t>OFTALMO</t>
        </is>
      </c>
      <c r="J83" s="193" t="n">
        <v>1</v>
      </c>
      <c r="K83" s="193" t="n">
        <v>2</v>
      </c>
      <c r="L83" s="207" t="inlineStr">
        <is>
          <t>Ing. Axel Evangelista Salinas</t>
        </is>
      </c>
      <c r="M83" s="193" t="inlineStr">
        <is>
          <t>22/10/2026</t>
        </is>
      </c>
    </row>
    <row r="84" ht="19.95" customHeight="1" s="227">
      <c r="A84" s="196" t="n">
        <v>80</v>
      </c>
      <c r="B84" s="197" t="inlineStr">
        <is>
          <t>BM-111</t>
        </is>
      </c>
      <c r="C84" s="197" t="n">
        <v>162</v>
      </c>
      <c r="D84" s="198" t="inlineStr">
        <is>
          <t>H.M.R. Tampico</t>
        </is>
      </c>
      <c r="E84" s="196" t="inlineStr">
        <is>
          <t>TAMAULIPAS</t>
        </is>
      </c>
      <c r="F84" s="198" t="inlineStr">
        <is>
          <t>IV Región Militar (Tamaulipas)</t>
        </is>
      </c>
      <c r="G84" s="198" t="inlineStr">
        <is>
          <t>Equipo de rayos X móvil, marca Technix, modelo TMS 320</t>
        </is>
      </c>
      <c r="H84" s="196" t="inlineStr">
        <is>
          <t>80-16-89-160</t>
        </is>
      </c>
      <c r="I84" s="196" t="inlineStr">
        <is>
          <t>IMAGEN</t>
        </is>
      </c>
      <c r="J84" s="197" t="n">
        <v>1</v>
      </c>
      <c r="K84" s="197" t="n">
        <v>2</v>
      </c>
      <c r="L84" s="202" t="inlineStr">
        <is>
          <t>Ing. Ángel Rodríguez Zavala</t>
        </is>
      </c>
      <c r="M84" s="197" t="inlineStr">
        <is>
          <t>28/10/2026</t>
        </is>
      </c>
    </row>
    <row r="85" ht="19.95" customHeight="1" s="227">
      <c r="A85" s="192" t="n">
        <v>81</v>
      </c>
      <c r="B85" s="193" t="inlineStr">
        <is>
          <t>BM-112</t>
        </is>
      </c>
      <c r="C85" s="193" t="n">
        <v>163</v>
      </c>
      <c r="D85" s="194" t="inlineStr">
        <is>
          <t>H.M.Z. El Vergel, Iztapalapa</t>
        </is>
      </c>
      <c r="E85" s="192" t="inlineStr">
        <is>
          <t>CDMX</t>
        </is>
      </c>
      <c r="F85" s="194" t="inlineStr">
        <is>
          <t>I Región Militar (Campo 1-E)</t>
        </is>
      </c>
      <c r="G85" s="194" t="inlineStr">
        <is>
          <t>Equipo de rayos X móvil, marca Technix, modelo TMS 320</t>
        </is>
      </c>
      <c r="H85" s="192" t="inlineStr">
        <is>
          <t>80-16-90-161</t>
        </is>
      </c>
      <c r="I85" s="192" t="inlineStr">
        <is>
          <t>IMAGEN</t>
        </is>
      </c>
      <c r="J85" s="193" t="n">
        <v>1</v>
      </c>
      <c r="K85" s="193" t="n">
        <v>2</v>
      </c>
      <c r="L85" s="208" t="inlineStr">
        <is>
          <t>Ing. Nuevo</t>
        </is>
      </c>
      <c r="M85" s="193" t="inlineStr">
        <is>
          <t>14/10/2026</t>
        </is>
      </c>
    </row>
    <row r="86" ht="19.95" customHeight="1" s="227">
      <c r="A86" s="196" t="n">
        <v>82</v>
      </c>
      <c r="B86" s="197" t="inlineStr">
        <is>
          <t>BM-113</t>
        </is>
      </c>
      <c r="C86" s="197" t="n">
        <v>164</v>
      </c>
      <c r="D86" s="198" t="inlineStr">
        <is>
          <t>H.M.Z. Zapopan</t>
        </is>
      </c>
      <c r="E86" s="196" t="inlineStr">
        <is>
          <t>JALISCO</t>
        </is>
      </c>
      <c r="F86" s="198" t="inlineStr">
        <is>
          <t>V Región Militar (Base Aérea Militar No. 5)</t>
        </is>
      </c>
      <c r="G86" s="198" t="inlineStr">
        <is>
          <t>Equipo de rayos X móvil, marca Technix, modelo TMS 320</t>
        </is>
      </c>
      <c r="H86" s="196" t="inlineStr">
        <is>
          <t>80-16-95-166</t>
        </is>
      </c>
      <c r="I86" s="196" t="inlineStr">
        <is>
          <t>IMAGEN</t>
        </is>
      </c>
      <c r="J86" s="197" t="n">
        <v>1</v>
      </c>
      <c r="K86" s="197" t="n">
        <v>2</v>
      </c>
      <c r="L86" s="206" t="inlineStr">
        <is>
          <t>Ing. Rogelio Ramos Centeno</t>
        </is>
      </c>
      <c r="M86" s="197" t="inlineStr">
        <is>
          <t>14/10/2026</t>
        </is>
      </c>
      <c r="N86" t="inlineStr">
        <is>
          <t>SEMANA 1 (LOCAL/LEICA)</t>
        </is>
      </c>
    </row>
    <row r="87" ht="19.95" customHeight="1" s="227">
      <c r="A87" s="192" t="n">
        <v>83</v>
      </c>
      <c r="B87" s="193" t="inlineStr">
        <is>
          <t>BM-114</t>
        </is>
      </c>
      <c r="C87" s="193" t="n">
        <v>165</v>
      </c>
      <c r="D87" s="194" t="inlineStr">
        <is>
          <t>H.M.Z. Temamatla</t>
        </is>
      </c>
      <c r="E87" s="192" t="inlineStr">
        <is>
          <t>EDO DE MEX</t>
        </is>
      </c>
      <c r="F87" s="194" t="inlineStr">
        <is>
          <t>I Región Militar (Campo Militar 37-B)</t>
        </is>
      </c>
      <c r="G87" s="194" t="inlineStr">
        <is>
          <t>Equipo de rayos X móvil, marca Technix, modelo TMS 320</t>
        </is>
      </c>
      <c r="H87" s="192" t="inlineStr">
        <is>
          <t>80-16-105-176</t>
        </is>
      </c>
      <c r="I87" s="192" t="inlineStr">
        <is>
          <t>IMAGEN</t>
        </is>
      </c>
      <c r="J87" s="193" t="n">
        <v>1</v>
      </c>
      <c r="K87" s="193" t="n">
        <v>2</v>
      </c>
      <c r="L87" s="201" t="inlineStr">
        <is>
          <t>Ing. Jose Jorge Olivares Velazquez</t>
        </is>
      </c>
      <c r="M87" s="193" t="inlineStr">
        <is>
          <t>14/10/2026</t>
        </is>
      </c>
    </row>
    <row r="88" ht="19.95" customHeight="1" s="227">
      <c r="A88" s="196" t="n">
        <v>84</v>
      </c>
      <c r="B88" s="197" t="inlineStr">
        <is>
          <t>BM-115</t>
        </is>
      </c>
      <c r="C88" s="197" t="n">
        <v>166</v>
      </c>
      <c r="D88" s="198" t="inlineStr">
        <is>
          <t>H.M.Z. Ixcotel</t>
        </is>
      </c>
      <c r="E88" s="196" t="inlineStr">
        <is>
          <t>OAXACA</t>
        </is>
      </c>
      <c r="F88" s="198" t="inlineStr">
        <is>
          <t>VIII Región Militar (Oaxaca)</t>
        </is>
      </c>
      <c r="G88" s="198" t="inlineStr">
        <is>
          <t>Equipo de rayos X móvil, marca Technix, modelo TMS 320</t>
        </is>
      </c>
      <c r="H88" s="196" t="inlineStr">
        <is>
          <t>80-16-104-175</t>
        </is>
      </c>
      <c r="I88" s="196" t="inlineStr">
        <is>
          <t>IMAGEN</t>
        </is>
      </c>
      <c r="J88" s="197" t="n">
        <v>1</v>
      </c>
      <c r="K88" s="197" t="n">
        <v>2</v>
      </c>
      <c r="L88" s="199" t="inlineStr">
        <is>
          <t>Ing. Jose Romero Najera</t>
        </is>
      </c>
      <c r="M88" s="197" t="inlineStr">
        <is>
          <t>20/10/2026</t>
        </is>
      </c>
    </row>
    <row r="89" ht="19.95" customHeight="1" s="227">
      <c r="A89" s="192" t="n">
        <v>85</v>
      </c>
      <c r="B89" s="193" t="inlineStr">
        <is>
          <t>BM-116</t>
        </is>
      </c>
      <c r="C89" s="193" t="n">
        <v>167</v>
      </c>
      <c r="D89" s="194" t="inlineStr">
        <is>
          <t>H.M.R. Hermosillo</t>
        </is>
      </c>
      <c r="E89" s="192" t="inlineStr">
        <is>
          <t>SONORA</t>
        </is>
      </c>
      <c r="F89" s="194" t="inlineStr">
        <is>
          <t>II Región Militar (4/a. Zona Militar)</t>
        </is>
      </c>
      <c r="G89" s="194" t="inlineStr">
        <is>
          <t>Equipo de rayos X móvil, marca Technix, modelo TMS 320</t>
        </is>
      </c>
      <c r="H89" s="192" t="inlineStr">
        <is>
          <t>80-16-80-151</t>
        </is>
      </c>
      <c r="I89" s="192" t="inlineStr">
        <is>
          <t>IMAGEN</t>
        </is>
      </c>
      <c r="J89" s="193" t="n">
        <v>1</v>
      </c>
      <c r="K89" s="193" t="n">
        <v>2</v>
      </c>
      <c r="L89" s="209" t="inlineStr">
        <is>
          <t>Ing. Rogelio Ramos Centeno</t>
        </is>
      </c>
      <c r="M89" s="193" t="inlineStr">
        <is>
          <t>27/10/2026</t>
        </is>
      </c>
    </row>
    <row r="90" ht="19.95" customHeight="1" s="227">
      <c r="A90" s="196" t="n">
        <v>86</v>
      </c>
      <c r="B90" s="197" t="inlineStr">
        <is>
          <t>BM-117</t>
        </is>
      </c>
      <c r="C90" s="197" t="n">
        <v>168</v>
      </c>
      <c r="D90" s="198" t="inlineStr">
        <is>
          <t>H.M.R. Tuxtla Gutiérrez</t>
        </is>
      </c>
      <c r="E90" s="196" t="inlineStr">
        <is>
          <t>CHIAPAS</t>
        </is>
      </c>
      <c r="F90" s="198" t="inlineStr">
        <is>
          <t>VII Región Militar (Chiapas)</t>
        </is>
      </c>
      <c r="G90" s="198" t="inlineStr">
        <is>
          <t>Equipo de rayos X móvil, marca Technix, modelo TMS 320</t>
        </is>
      </c>
      <c r="H90" s="196" t="inlineStr">
        <is>
          <t>80-16-102-173</t>
        </is>
      </c>
      <c r="I90" s="196" t="inlineStr">
        <is>
          <t>IMAGEN</t>
        </is>
      </c>
      <c r="J90" s="197" t="n">
        <v>1</v>
      </c>
      <c r="K90" s="197" t="n">
        <v>2</v>
      </c>
      <c r="L90" s="204" t="inlineStr">
        <is>
          <t>Ing. Nuevo</t>
        </is>
      </c>
      <c r="M90" s="197" t="inlineStr">
        <is>
          <t>26/10/2026</t>
        </is>
      </c>
      <c r="N90" t="inlineStr">
        <is>
          <t>SEMANA 3 (FORÁNEO)</t>
        </is>
      </c>
    </row>
    <row r="91" ht="19.95" customHeight="1" s="227">
      <c r="A91" s="192" t="n">
        <v>87</v>
      </c>
      <c r="B91" s="193" t="inlineStr">
        <is>
          <t>BM-118</t>
        </is>
      </c>
      <c r="C91" s="193" t="n">
        <v>171</v>
      </c>
      <c r="D91" s="194" t="inlineStr">
        <is>
          <t>H.M.Z. Cuernavaca</t>
        </is>
      </c>
      <c r="E91" s="192" t="inlineStr">
        <is>
          <t>MORELOS</t>
        </is>
      </c>
      <c r="F91" s="194" t="inlineStr">
        <is>
          <t>I Región Militar (24/a. Zona Militar)</t>
        </is>
      </c>
      <c r="G91" s="194" t="inlineStr">
        <is>
          <t>Equipo de rayos X móvil, marca Technix, modelo TMS 320</t>
        </is>
      </c>
      <c r="H91" s="192" t="inlineStr">
        <is>
          <t>80-16-88-159</t>
        </is>
      </c>
      <c r="I91" s="192" t="inlineStr">
        <is>
          <t>IMAGEN</t>
        </is>
      </c>
      <c r="J91" s="193" t="n">
        <v>1</v>
      </c>
      <c r="K91" s="193" t="n">
        <v>2</v>
      </c>
      <c r="L91" s="201" t="inlineStr">
        <is>
          <t>Ing. Jose Jorge Olivares Velazquez</t>
        </is>
      </c>
      <c r="M91" s="193" t="inlineStr">
        <is>
          <t>20/10/2026</t>
        </is>
      </c>
    </row>
    <row r="92" ht="19.95" customHeight="1" s="227">
      <c r="A92" s="196" t="n">
        <v>88</v>
      </c>
      <c r="B92" s="197" t="inlineStr">
        <is>
          <t>BM-119</t>
        </is>
      </c>
      <c r="C92" s="197" t="n">
        <v>172</v>
      </c>
      <c r="D92" s="198" t="inlineStr">
        <is>
          <t>H.M.Z. Mexicali</t>
        </is>
      </c>
      <c r="E92" s="196" t="inlineStr">
        <is>
          <t>BAJA CALIFORNIA</t>
        </is>
      </c>
      <c r="F92" s="198" t="inlineStr">
        <is>
          <t>II Región Militar (2/a. Zona Militar)</t>
        </is>
      </c>
      <c r="G92" s="198" t="inlineStr">
        <is>
          <t>Equipo de rayos X móvil, marca Technix, modelo TMS 320</t>
        </is>
      </c>
      <c r="H92" s="196" t="inlineStr">
        <is>
          <t>80-16-83-154</t>
        </is>
      </c>
      <c r="I92" s="196" t="inlineStr">
        <is>
          <t>IMAGEN</t>
        </is>
      </c>
      <c r="J92" s="197" t="n">
        <v>1</v>
      </c>
      <c r="K92" s="197" t="n">
        <v>2</v>
      </c>
      <c r="L92" s="209" t="inlineStr">
        <is>
          <t>Ing. Rogelio Ramos Centeno</t>
        </is>
      </c>
      <c r="M92" s="197" t="inlineStr">
        <is>
          <t>28/10/2026</t>
        </is>
      </c>
    </row>
    <row r="93" ht="19.95" customHeight="1" s="227">
      <c r="A93" s="192" t="n">
        <v>89</v>
      </c>
      <c r="B93" s="193" t="inlineStr">
        <is>
          <t>BM-120</t>
        </is>
      </c>
      <c r="C93" s="193" t="n">
        <v>175</v>
      </c>
      <c r="D93" s="194" t="inlineStr">
        <is>
          <t>H.M.R. El Ciprés</t>
        </is>
      </c>
      <c r="E93" s="192" t="inlineStr">
        <is>
          <t>BAJA CALIFORNIA</t>
        </is>
      </c>
      <c r="F93" s="194" t="inlineStr">
        <is>
          <t>II Región Militar (Base El Ciprés)</t>
        </is>
      </c>
      <c r="G93" s="194" t="inlineStr">
        <is>
          <t>Equipo de rayos X móvil, marca Technix, modelo TMS 320</t>
        </is>
      </c>
      <c r="H93" s="192" t="inlineStr">
        <is>
          <t>80-16-81-152</t>
        </is>
      </c>
      <c r="I93" s="192" t="inlineStr">
        <is>
          <t>IMAGEN</t>
        </is>
      </c>
      <c r="J93" s="193" t="n">
        <v>1</v>
      </c>
      <c r="K93" s="193" t="n">
        <v>2</v>
      </c>
      <c r="L93" s="209" t="inlineStr">
        <is>
          <t>Ing. Rogelio Ramos Centeno</t>
        </is>
      </c>
      <c r="M93" s="193" t="inlineStr">
        <is>
          <t>29/10/2026</t>
        </is>
      </c>
    </row>
    <row r="94" ht="19.95" customHeight="1" s="227">
      <c r="A94" s="196" t="n">
        <v>90</v>
      </c>
      <c r="B94" s="197" t="inlineStr">
        <is>
          <t>BM-121</t>
        </is>
      </c>
      <c r="C94" s="197" t="n">
        <v>179</v>
      </c>
      <c r="D94" s="198" t="inlineStr">
        <is>
          <t>H.M.R.E. Guadalajara</t>
        </is>
      </c>
      <c r="E94" s="196" t="inlineStr">
        <is>
          <t>JALISCO</t>
        </is>
      </c>
      <c r="F94" s="198" t="inlineStr">
        <is>
          <t>V Región Militar (Occidente)</t>
        </is>
      </c>
      <c r="G94" s="198" t="inlineStr">
        <is>
          <t>Equipo de rayos X móvil, marca Technix, modelo TMS 320</t>
        </is>
      </c>
      <c r="H94" s="196" t="inlineStr">
        <is>
          <t>80-16-91-162</t>
        </is>
      </c>
      <c r="I94" s="196" t="inlineStr">
        <is>
          <t>IMAGEN</t>
        </is>
      </c>
      <c r="J94" s="197" t="n">
        <v>1</v>
      </c>
      <c r="K94" s="197" t="n">
        <v>2</v>
      </c>
      <c r="L94" s="210" t="inlineStr">
        <is>
          <t>Ing. Rogelio Ramos Centeno</t>
        </is>
      </c>
      <c r="M94" s="197" t="inlineStr">
        <is>
          <t>19/10/2026</t>
        </is>
      </c>
    </row>
    <row r="95" ht="19.95" customHeight="1" s="227">
      <c r="A95" s="192" t="n">
        <v>91</v>
      </c>
      <c r="B95" s="193" t="inlineStr">
        <is>
          <t>BM-122</t>
        </is>
      </c>
      <c r="C95" s="193" t="n">
        <v>183</v>
      </c>
      <c r="D95" s="194" t="inlineStr">
        <is>
          <t>H.M.R.E. Mazatlán</t>
        </is>
      </c>
      <c r="E95" s="192" t="inlineStr">
        <is>
          <t>SINALOA</t>
        </is>
      </c>
      <c r="F95" s="194" t="inlineStr">
        <is>
          <t>III Región Militar (Sinaloa)</t>
        </is>
      </c>
      <c r="G95" s="194" t="inlineStr">
        <is>
          <t>Impresora para placas radiográficas, marca Fujifilm, modelo Drypix Smart</t>
        </is>
      </c>
      <c r="H95" s="192" t="inlineStr">
        <is>
          <t>56728475</t>
        </is>
      </c>
      <c r="I95" s="192" t="inlineStr">
        <is>
          <t>IMAGEN</t>
        </is>
      </c>
      <c r="J95" s="193" t="n">
        <v>1</v>
      </c>
      <c r="K95" s="193" t="n">
        <v>2</v>
      </c>
      <c r="L95" s="206" t="inlineStr">
        <is>
          <t>Ing. Rogelio Ramos Centeno</t>
        </is>
      </c>
      <c r="M95" s="193" t="inlineStr">
        <is>
          <t>21/10/2026</t>
        </is>
      </c>
    </row>
    <row r="96" ht="19.95" customHeight="1" s="227">
      <c r="A96" s="196" t="n">
        <v>92</v>
      </c>
      <c r="B96" s="197" t="inlineStr">
        <is>
          <t>BM-123</t>
        </is>
      </c>
      <c r="C96" s="197" t="n">
        <v>184</v>
      </c>
      <c r="D96" s="198" t="inlineStr">
        <is>
          <t>H.M.R.E. Mazatlán</t>
        </is>
      </c>
      <c r="E96" s="196" t="inlineStr">
        <is>
          <t>SINALOA</t>
        </is>
      </c>
      <c r="F96" s="198" t="inlineStr">
        <is>
          <t>III Región Militar (Sinaloa)</t>
        </is>
      </c>
      <c r="G96" s="198" t="inlineStr">
        <is>
          <t>Impresora para placas radiográficas, marca Fujifilm, modelo Drypix Smart</t>
        </is>
      </c>
      <c r="H96" s="196" t="inlineStr">
        <is>
          <t>66131122</t>
        </is>
      </c>
      <c r="I96" s="196" t="inlineStr">
        <is>
          <t>IMAGEN</t>
        </is>
      </c>
      <c r="J96" s="197" t="n">
        <v>1</v>
      </c>
      <c r="K96" s="197" t="n">
        <v>2</v>
      </c>
      <c r="L96" s="206" t="inlineStr">
        <is>
          <t>Ing. Rogelio Ramos Centeno</t>
        </is>
      </c>
      <c r="M96" s="197" t="inlineStr">
        <is>
          <t>21/10/2026</t>
        </is>
      </c>
    </row>
    <row r="97" ht="19.95" customHeight="1" s="227">
      <c r="A97" s="192" t="n">
        <v>93</v>
      </c>
      <c r="B97" s="193" t="inlineStr">
        <is>
          <t>BM-071</t>
        </is>
      </c>
      <c r="C97" s="193" t="n">
        <v>185</v>
      </c>
      <c r="D97" s="194" t="inlineStr">
        <is>
          <t>H.C.M. Lomas de Sotelo</t>
        </is>
      </c>
      <c r="E97" s="192" t="inlineStr">
        <is>
          <t>CDMX</t>
        </is>
      </c>
      <c r="F97" s="194" t="inlineStr">
        <is>
          <t>I Región Militar (Sede Central SEDENA)</t>
        </is>
      </c>
      <c r="G97" s="194" t="inlineStr">
        <is>
          <t>Sistema de diagnóstico oftálmico avanzado, marca Heidelberg Engineering, modelo Spectralis</t>
        </is>
      </c>
      <c r="H97" s="192" t="inlineStr">
        <is>
          <t>SPECT-KT-05789</t>
        </is>
      </c>
      <c r="I97" s="192" t="inlineStr">
        <is>
          <t>OFTALMO</t>
        </is>
      </c>
      <c r="J97" s="193" t="n">
        <v>2</v>
      </c>
      <c r="K97" s="193" t="n">
        <v>4</v>
      </c>
      <c r="L97" s="195" t="inlineStr">
        <is>
          <t>Ing. Axel Evangelista Salinas</t>
        </is>
      </c>
      <c r="M97" s="193" t="inlineStr">
        <is>
          <t>13/10/2026</t>
        </is>
      </c>
    </row>
    <row r="98" ht="19.95" customHeight="1" s="227">
      <c r="A98" s="196" t="n">
        <v>94</v>
      </c>
      <c r="B98" s="197" t="inlineStr">
        <is>
          <t>BM-072</t>
        </is>
      </c>
      <c r="C98" s="197" t="n">
        <v>196</v>
      </c>
      <c r="D98" s="198" t="inlineStr">
        <is>
          <t>H.M.R.E. Monterrey</t>
        </is>
      </c>
      <c r="E98" s="196" t="inlineStr">
        <is>
          <t>NUEVO LEON</t>
        </is>
      </c>
      <c r="F98" s="198" t="inlineStr">
        <is>
          <t>IV Región Militar (Noreste)</t>
        </is>
      </c>
      <c r="G98" s="198" t="inlineStr">
        <is>
          <t>Sistema de digitalización de imágenes, marca SUNI, modelo SUNI</t>
        </is>
      </c>
      <c r="H98" s="196" t="inlineStr">
        <is>
          <t>DI2014106149</t>
        </is>
      </c>
      <c r="I98" s="196" t="inlineStr">
        <is>
          <t>IMAGEN</t>
        </is>
      </c>
      <c r="J98" s="197" t="n">
        <v>1</v>
      </c>
      <c r="K98" s="197" t="n">
        <v>2</v>
      </c>
      <c r="L98" s="207" t="inlineStr">
        <is>
          <t>Ing. Axel Evangelista Salinas</t>
        </is>
      </c>
      <c r="M98" s="197" t="inlineStr">
        <is>
          <t>22/10/2026</t>
        </is>
      </c>
    </row>
    <row r="99" ht="19.95" customHeight="1" s="227">
      <c r="A99" s="192" t="n">
        <v>95</v>
      </c>
      <c r="B99" s="193" t="inlineStr">
        <is>
          <t>BM-124</t>
        </is>
      </c>
      <c r="C99" s="193" t="n">
        <v>198</v>
      </c>
      <c r="D99" s="194" t="inlineStr">
        <is>
          <t>H.M.Z. La Boticaría</t>
        </is>
      </c>
      <c r="E99" s="192" t="inlineStr">
        <is>
          <t>VERACRUZ</t>
        </is>
      </c>
      <c r="F99" s="194" t="inlineStr">
        <is>
          <t>VI Región Militar (Veracruz)</t>
        </is>
      </c>
      <c r="G99" s="194" t="inlineStr">
        <is>
          <t>Arco en C, marca Ziehm Imaging, modelo Vision R</t>
        </is>
      </c>
      <c r="H99" s="192" t="inlineStr">
        <is>
          <t>10704</t>
        </is>
      </c>
      <c r="I99" s="192" t="inlineStr">
        <is>
          <t>IMAGEN</t>
        </is>
      </c>
      <c r="J99" s="193" t="n">
        <v>1</v>
      </c>
      <c r="K99" s="193" t="n">
        <v>2</v>
      </c>
      <c r="L99" s="195" t="inlineStr">
        <is>
          <t>Ing. Axel Evangelista Salinas</t>
        </is>
      </c>
      <c r="M99" s="193" t="inlineStr">
        <is>
          <t>20/10/2026</t>
        </is>
      </c>
    </row>
    <row r="100" ht="19.95" customHeight="1" s="227">
      <c r="A100" s="196" t="n">
        <v>96</v>
      </c>
      <c r="B100" s="197" t="inlineStr">
        <is>
          <t>BM-125</t>
        </is>
      </c>
      <c r="C100" s="197" t="n">
        <v>200</v>
      </c>
      <c r="D100" s="198" t="inlineStr">
        <is>
          <t>H.M.R. Chihuahua</t>
        </is>
      </c>
      <c r="E100" s="196" t="inlineStr">
        <is>
          <t>CHIHUAHUA</t>
        </is>
      </c>
      <c r="F100" s="198" t="inlineStr">
        <is>
          <t>XI Región Militar (5/a. Zona Militar)</t>
        </is>
      </c>
      <c r="G100" s="198" t="inlineStr">
        <is>
          <t>Arco en C, marca Ziehm Imaging, modelo Vision R</t>
        </is>
      </c>
      <c r="H100" s="196" t="inlineStr">
        <is>
          <t>10703</t>
        </is>
      </c>
      <c r="I100" s="196" t="inlineStr">
        <is>
          <t>IMAGEN</t>
        </is>
      </c>
      <c r="J100" s="197" t="n">
        <v>1</v>
      </c>
      <c r="K100" s="197" t="n">
        <v>2</v>
      </c>
      <c r="L100" s="202" t="inlineStr">
        <is>
          <t>Ing. Ángel Rodríguez Zavala</t>
        </is>
      </c>
      <c r="M100" s="197" t="inlineStr">
        <is>
          <t>27/10/2026</t>
        </is>
      </c>
    </row>
    <row r="101" ht="19.95" customHeight="1" s="227">
      <c r="A101" s="192" t="n">
        <v>97</v>
      </c>
      <c r="B101" s="193" t="inlineStr">
        <is>
          <t>BM-126</t>
        </is>
      </c>
      <c r="C101" s="193" t="n">
        <v>203</v>
      </c>
      <c r="D101" s="194" t="inlineStr">
        <is>
          <t>H.M.R. Tuxtla Gutiérrez</t>
        </is>
      </c>
      <c r="E101" s="192" t="inlineStr">
        <is>
          <t>CHIAPAS</t>
        </is>
      </c>
      <c r="F101" s="194" t="inlineStr">
        <is>
          <t>VII Región Militar (Chiapas)</t>
        </is>
      </c>
      <c r="G101" s="194" t="inlineStr">
        <is>
          <t>Topógrafo corneal , marca Bausch &amp; Lomb, modelo ORBSCAN lll</t>
        </is>
      </c>
      <c r="H101" s="192" t="inlineStr">
        <is>
          <t>50004019-0093</t>
        </is>
      </c>
      <c r="I101" s="192" t="inlineStr">
        <is>
          <t>OFTALMO</t>
        </is>
      </c>
      <c r="J101" s="193" t="n">
        <v>1</v>
      </c>
      <c r="K101" s="193" t="n">
        <v>2</v>
      </c>
      <c r="L101" s="204" t="inlineStr">
        <is>
          <t>Ing. Nuevo</t>
        </is>
      </c>
      <c r="M101" s="193" t="inlineStr">
        <is>
          <t>26/10/2026</t>
        </is>
      </c>
      <c r="N101" t="inlineStr">
        <is>
          <t>SEMANA 3 (FORÁNEO)</t>
        </is>
      </c>
    </row>
    <row r="102" ht="19.95" customHeight="1" s="227">
      <c r="A102" s="196" t="n">
        <v>98</v>
      </c>
      <c r="B102" s="197" t="inlineStr">
        <is>
          <t>BM-073</t>
        </is>
      </c>
      <c r="C102" s="197" t="n">
        <v>208</v>
      </c>
      <c r="D102" s="198" t="inlineStr">
        <is>
          <t>H.M.R.E. Mérida</t>
        </is>
      </c>
      <c r="E102" s="196" t="inlineStr">
        <is>
          <t>YUCATAN</t>
        </is>
      </c>
      <c r="F102" s="198" t="inlineStr">
        <is>
          <t>X Región Militar (Península)</t>
        </is>
      </c>
      <c r="G102" s="198" t="inlineStr">
        <is>
          <t>Microscopio para cirugía, marca Leica, modelo M844F40</t>
        </is>
      </c>
      <c r="H102" s="196" t="inlineStr">
        <is>
          <t>160516003</t>
        </is>
      </c>
      <c r="I102" s="196" t="inlineStr">
        <is>
          <t>OFTALMO</t>
        </is>
      </c>
      <c r="J102" s="197" t="n">
        <v>1</v>
      </c>
      <c r="K102" s="197" t="n">
        <v>2</v>
      </c>
      <c r="L102" s="205" t="inlineStr">
        <is>
          <t>Ing. Fernando Javier Michel Euan</t>
        </is>
      </c>
      <c r="M102" s="197" t="inlineStr">
        <is>
          <t>15/10/2026</t>
        </is>
      </c>
      <c r="N102" t="inlineStr">
        <is>
          <t>SEMANA 1 (LEICA/SEDE BASE)</t>
        </is>
      </c>
    </row>
    <row r="103" ht="19.95" customHeight="1" s="227">
      <c r="A103" s="192" t="n">
        <v>99</v>
      </c>
      <c r="B103" s="193" t="inlineStr">
        <is>
          <t>BM-127</t>
        </is>
      </c>
      <c r="C103" s="193" t="n">
        <v>213</v>
      </c>
      <c r="D103" s="194" t="inlineStr">
        <is>
          <t>H.M.E.O. Constituyentes</t>
        </is>
      </c>
      <c r="E103" s="192" t="inlineStr">
        <is>
          <t>CDMX</t>
        </is>
      </c>
      <c r="F103" s="194" t="inlineStr">
        <is>
          <t>I Región Militar (Valle de México)</t>
        </is>
      </c>
      <c r="G103" s="194" t="inlineStr">
        <is>
          <t>Ultrasonido modo A-B y UBM, marca Quantel Medical, modelo Compact Touch</t>
        </is>
      </c>
      <c r="H103" s="192" t="inlineStr">
        <is>
          <t>2746</t>
        </is>
      </c>
      <c r="I103" s="192" t="inlineStr">
        <is>
          <t>OFTALMO</t>
        </is>
      </c>
      <c r="J103" s="193" t="n">
        <v>1</v>
      </c>
      <c r="K103" s="193" t="n">
        <v>2</v>
      </c>
      <c r="L103" s="200" t="inlineStr">
        <is>
          <t>Ing. Sophia López Ramírez</t>
        </is>
      </c>
      <c r="M103" s="193" t="inlineStr">
        <is>
          <t>23/10/2026</t>
        </is>
      </c>
    </row>
    <row r="104" ht="19.95" customHeight="1" s="227">
      <c r="A104" s="196" t="n">
        <v>100</v>
      </c>
      <c r="B104" s="197" t="inlineStr">
        <is>
          <t>BM-074</t>
        </is>
      </c>
      <c r="C104" s="197" t="n">
        <v>214</v>
      </c>
      <c r="D104" s="198" t="inlineStr">
        <is>
          <t>H.M.E.O. Constituyentes</t>
        </is>
      </c>
      <c r="E104" s="196" t="inlineStr">
        <is>
          <t>CDMX</t>
        </is>
      </c>
      <c r="F104" s="198" t="inlineStr">
        <is>
          <t>I Región Militar (Valle de México)</t>
        </is>
      </c>
      <c r="G104" s="198" t="inlineStr">
        <is>
          <t>Cámara de Scheimpflug, marca Oculus, modelo Pentacam HR</t>
        </is>
      </c>
      <c r="H104" s="196" t="inlineStr">
        <is>
          <t>64835160</t>
        </is>
      </c>
      <c r="I104" s="196" t="inlineStr">
        <is>
          <t>OFTALMO</t>
        </is>
      </c>
      <c r="J104" s="197" t="n">
        <v>1</v>
      </c>
      <c r="K104" s="197" t="n">
        <v>2</v>
      </c>
      <c r="L104" s="200" t="inlineStr">
        <is>
          <t>Ing. Sophia López Ramírez</t>
        </is>
      </c>
      <c r="M104" s="197" t="inlineStr">
        <is>
          <t>23/10/2026</t>
        </is>
      </c>
    </row>
    <row r="105" ht="19.95" customHeight="1" s="227">
      <c r="A105" s="192" t="n">
        <v>101</v>
      </c>
      <c r="B105" s="193" t="inlineStr">
        <is>
          <t>BM-075</t>
        </is>
      </c>
      <c r="C105" s="193" t="n">
        <v>215</v>
      </c>
      <c r="D105" s="194" t="inlineStr">
        <is>
          <t>H.M.E.O. Constituyentes</t>
        </is>
      </c>
      <c r="E105" s="192" t="inlineStr">
        <is>
          <t>CDMX</t>
        </is>
      </c>
      <c r="F105" s="194" t="inlineStr">
        <is>
          <t>I Región Militar (Valle de México)</t>
        </is>
      </c>
      <c r="G105" s="194" t="inlineStr">
        <is>
          <t>Unidad de banco de ojos, marca Varios, modelo Varios</t>
        </is>
      </c>
      <c r="H105" s="192" t="inlineStr">
        <is>
          <t>Varios</t>
        </is>
      </c>
      <c r="I105" s="192" t="inlineStr">
        <is>
          <t>OFTALMO</t>
        </is>
      </c>
      <c r="J105" s="193" t="n">
        <v>1</v>
      </c>
      <c r="K105" s="193" t="n">
        <v>2</v>
      </c>
      <c r="L105" s="200" t="inlineStr">
        <is>
          <t>Ing. Sophia López Ramírez</t>
        </is>
      </c>
      <c r="M105" s="193" t="inlineStr">
        <is>
          <t>23/10/2026</t>
        </is>
      </c>
    </row>
    <row r="106" ht="19.95" customHeight="1" s="227">
      <c r="A106" s="196" t="n">
        <v>102</v>
      </c>
      <c r="B106" s="197" t="inlineStr">
        <is>
          <t>BM-076</t>
        </is>
      </c>
      <c r="C106" s="197" t="n">
        <v>218</v>
      </c>
      <c r="D106" s="198" t="inlineStr">
        <is>
          <t>H.M.E.M. Y N. Lomas de Sotelo</t>
        </is>
      </c>
      <c r="E106" s="196" t="inlineStr">
        <is>
          <t>CDMX</t>
        </is>
      </c>
      <c r="F106" s="198" t="inlineStr">
        <is>
          <t>I Región Militar (Complejo Sotelo)</t>
        </is>
      </c>
      <c r="G106" s="198" t="inlineStr">
        <is>
          <t>Impresora para placas radiográficas, marca Codonics, modelo Horizon Ci</t>
        </is>
      </c>
      <c r="H106" s="196" t="inlineStr">
        <is>
          <t>50C00394C</t>
        </is>
      </c>
      <c r="I106" s="196" t="inlineStr">
        <is>
          <t>IMAGEN</t>
        </is>
      </c>
      <c r="J106" s="197" t="n">
        <v>1</v>
      </c>
      <c r="K106" s="197" t="n">
        <v>2</v>
      </c>
      <c r="L106" s="195" t="inlineStr">
        <is>
          <t>Ing. Axel Evangelista Salinas</t>
        </is>
      </c>
      <c r="M106" s="197" t="inlineStr">
        <is>
          <t>14/10/2026</t>
        </is>
      </c>
    </row>
    <row r="107" ht="19.95" customHeight="1" s="227">
      <c r="A107" s="192" t="n">
        <v>103</v>
      </c>
      <c r="B107" s="193" t="inlineStr">
        <is>
          <t>BM-077</t>
        </is>
      </c>
      <c r="C107" s="193" t="n">
        <v>221</v>
      </c>
      <c r="D107" s="194" t="inlineStr">
        <is>
          <t>H.M.Z. La Boticaría</t>
        </is>
      </c>
      <c r="E107" s="192" t="inlineStr">
        <is>
          <t>VERACRUZ</t>
        </is>
      </c>
      <c r="F107" s="194" t="inlineStr">
        <is>
          <t>VI Región Militar (Veracruz)</t>
        </is>
      </c>
      <c r="G107" s="194" t="inlineStr">
        <is>
          <t>Sistema de digitalización de imágenes, marca Fujifilm, modelo Digitalizador: FCR Capsula XLII (CR-IR 359) Impresora: Drypix Plus</t>
        </is>
      </c>
      <c r="H107" s="192" t="inlineStr">
        <is>
          <t>Digitalizador: 46770610 Impresora: 36753809</t>
        </is>
      </c>
      <c r="I107" s="192" t="inlineStr">
        <is>
          <t>IMAGEN</t>
        </is>
      </c>
      <c r="J107" s="193" t="n">
        <v>1</v>
      </c>
      <c r="K107" s="193" t="n">
        <v>2</v>
      </c>
      <c r="L107" s="195" t="inlineStr">
        <is>
          <t>Ing. Axel Evangelista Salinas</t>
        </is>
      </c>
      <c r="M107" s="193" t="inlineStr">
        <is>
          <t>20/10/2026</t>
        </is>
      </c>
    </row>
    <row r="108" ht="19.95" customHeight="1" s="227">
      <c r="A108" s="196" t="n">
        <v>104</v>
      </c>
      <c r="B108" s="197" t="inlineStr">
        <is>
          <t>BM-078</t>
        </is>
      </c>
      <c r="C108" s="197" t="n">
        <v>222</v>
      </c>
      <c r="D108" s="198" t="inlineStr">
        <is>
          <t>H.M.Z. La Boticaría</t>
        </is>
      </c>
      <c r="E108" s="196" t="inlineStr">
        <is>
          <t>VERACRUZ</t>
        </is>
      </c>
      <c r="F108" s="198" t="inlineStr">
        <is>
          <t>VI Región Militar (Veracruz)</t>
        </is>
      </c>
      <c r="G108" s="198" t="inlineStr">
        <is>
          <t>Ultrasonido oftálmico, marca OPTIKON, modelo HiScan</t>
        </is>
      </c>
      <c r="H108" s="196" t="inlineStr">
        <is>
          <t>387BC</t>
        </is>
      </c>
      <c r="I108" s="196" t="inlineStr">
        <is>
          <t>OFTALMO</t>
        </is>
      </c>
      <c r="J108" s="197" t="n">
        <v>1</v>
      </c>
      <c r="K108" s="197" t="n">
        <v>2</v>
      </c>
      <c r="L108" s="195" t="inlineStr">
        <is>
          <t>Ing. Axel Evangelista Salinas</t>
        </is>
      </c>
      <c r="M108" s="197" t="inlineStr">
        <is>
          <t>20/10/2026</t>
        </is>
      </c>
    </row>
    <row r="109" ht="19.95" customHeight="1" s="227">
      <c r="A109" s="192" t="n">
        <v>105</v>
      </c>
      <c r="B109" s="193" t="inlineStr">
        <is>
          <t>BM-128</t>
        </is>
      </c>
      <c r="C109" s="193" t="n">
        <v>223</v>
      </c>
      <c r="D109" s="194" t="inlineStr">
        <is>
          <t>H.M.R. Chilpancingo</t>
        </is>
      </c>
      <c r="E109" s="192" t="inlineStr">
        <is>
          <t>GUERRERO</t>
        </is>
      </c>
      <c r="F109" s="194" t="inlineStr">
        <is>
          <t>IX Región Militar (35/a. Zona Militar)</t>
        </is>
      </c>
      <c r="G109" s="194" t="inlineStr">
        <is>
          <t>Rayos X móvil, marca Shimadzu, modelo MobileArt Evolution</t>
        </is>
      </c>
      <c r="H109" s="192" t="inlineStr">
        <is>
          <t>41000333B017</t>
        </is>
      </c>
      <c r="I109" s="192" t="inlineStr">
        <is>
          <t>IMAGEN</t>
        </is>
      </c>
      <c r="J109" s="193" t="n">
        <v>1</v>
      </c>
      <c r="K109" s="193" t="n">
        <v>2</v>
      </c>
      <c r="L109" s="211" t="inlineStr">
        <is>
          <t>Ing. Jose Jorge Olivares Velazquez</t>
        </is>
      </c>
      <c r="M109" s="193" t="inlineStr">
        <is>
          <t>21/10/2026</t>
        </is>
      </c>
    </row>
    <row r="110" ht="19.95" customHeight="1" s="227">
      <c r="A110" s="196" t="n">
        <v>106</v>
      </c>
      <c r="B110" s="197" t="inlineStr">
        <is>
          <t>BM-129</t>
        </is>
      </c>
      <c r="C110" s="197" t="n">
        <v>225</v>
      </c>
      <c r="D110" s="198" t="inlineStr">
        <is>
          <t>H.M.Z. Guadalupe</t>
        </is>
      </c>
      <c r="E110" s="196" t="inlineStr">
        <is>
          <t>ZACATECAS</t>
        </is>
      </c>
      <c r="F110" s="198" t="inlineStr">
        <is>
          <t>V Región Militar (11/a. Zona Militar)</t>
        </is>
      </c>
      <c r="G110" s="198" t="inlineStr">
        <is>
          <t>Equipo de rayos X móvil, marca Technix, modelo TMS 320</t>
        </is>
      </c>
      <c r="H110" s="196" t="inlineStr">
        <is>
          <t>80-16-86-157</t>
        </is>
      </c>
      <c r="I110" s="196" t="inlineStr">
        <is>
          <t>IMAGEN</t>
        </is>
      </c>
      <c r="J110" s="197" t="n">
        <v>1</v>
      </c>
      <c r="K110" s="197" t="n">
        <v>2</v>
      </c>
      <c r="L110" s="202" t="inlineStr">
        <is>
          <t>Ing. Ángel Rodríguez Zavala</t>
        </is>
      </c>
      <c r="M110" s="197" t="inlineStr">
        <is>
          <t>21/10/2026</t>
        </is>
      </c>
    </row>
    <row r="111" ht="19.95" customHeight="1" s="227">
      <c r="A111" s="192" t="n">
        <v>107</v>
      </c>
      <c r="B111" s="193" t="inlineStr">
        <is>
          <t>BM-130</t>
        </is>
      </c>
      <c r="C111" s="193" t="n">
        <v>226</v>
      </c>
      <c r="D111" s="194" t="inlineStr">
        <is>
          <t>H.M.R. Chihuahua</t>
        </is>
      </c>
      <c r="E111" s="192" t="inlineStr">
        <is>
          <t>CHIHUAHUA</t>
        </is>
      </c>
      <c r="F111" s="194" t="inlineStr">
        <is>
          <t>XI Región Militar (5/a. Zona Militar)</t>
        </is>
      </c>
      <c r="G111" s="194" t="inlineStr">
        <is>
          <t>Sistema de digitalización de imágenes, marca Fujifilm, modelo Digitalizador: FCR Capsula XLII (CR-IR 359) Impresora: Drypix 4000</t>
        </is>
      </c>
      <c r="H111" s="192" t="inlineStr">
        <is>
          <t>Digitalizador: 37240106 Impresora: 36653761</t>
        </is>
      </c>
      <c r="I111" s="192" t="inlineStr">
        <is>
          <t>IMAGEN</t>
        </is>
      </c>
      <c r="J111" s="193" t="n">
        <v>1</v>
      </c>
      <c r="K111" s="193" t="n">
        <v>2</v>
      </c>
      <c r="L111" s="202" t="inlineStr">
        <is>
          <t>Ing. Ángel Rodríguez Zavala</t>
        </is>
      </c>
      <c r="M111" s="193" t="inlineStr">
        <is>
          <t>27/10/2026</t>
        </is>
      </c>
    </row>
    <row r="112" ht="19.95" customHeight="1" s="227">
      <c r="A112" s="196" t="n">
        <v>108</v>
      </c>
      <c r="B112" s="197" t="inlineStr">
        <is>
          <t>BM-079</t>
        </is>
      </c>
      <c r="C112" s="197" t="n">
        <v>227</v>
      </c>
      <c r="D112" s="198" t="inlineStr">
        <is>
          <t>H.M.Z. Temamatla</t>
        </is>
      </c>
      <c r="E112" s="196" t="inlineStr">
        <is>
          <t>EDO DE MEX</t>
        </is>
      </c>
      <c r="F112" s="198" t="inlineStr">
        <is>
          <t>I Región Militar (Campo Militar 37-B)</t>
        </is>
      </c>
      <c r="G112" s="198" t="inlineStr">
        <is>
          <t>Sistema de digitalización de imágenes, marca Fujifilm, modelo Digitalizador: FCR Capsula XLII (CR-IR 359) Impresora: Drypix 4000</t>
        </is>
      </c>
      <c r="H112" s="196" t="inlineStr">
        <is>
          <t>Digitalizador: 46370281 Impresora: 36753805</t>
        </is>
      </c>
      <c r="I112" s="196" t="inlineStr">
        <is>
          <t>IMAGEN</t>
        </is>
      </c>
      <c r="J112" s="197" t="n">
        <v>1</v>
      </c>
      <c r="K112" s="197" t="n">
        <v>2</v>
      </c>
      <c r="L112" s="201" t="inlineStr">
        <is>
          <t>Ing. Jose Jorge Olivares Velazquez</t>
        </is>
      </c>
      <c r="M112" s="197" t="inlineStr">
        <is>
          <t>14/10/2026</t>
        </is>
      </c>
    </row>
    <row r="113" ht="19.95" customHeight="1" s="227">
      <c r="A113" s="192" t="n">
        <v>109</v>
      </c>
      <c r="B113" s="193" t="inlineStr">
        <is>
          <t>BM-080</t>
        </is>
      </c>
      <c r="C113" s="193" t="n">
        <v>228</v>
      </c>
      <c r="D113" s="194" t="inlineStr">
        <is>
          <t>H.M.Z. Temamatla</t>
        </is>
      </c>
      <c r="E113" s="192" t="inlineStr">
        <is>
          <t>EDO DE MEX</t>
        </is>
      </c>
      <c r="F113" s="194" t="inlineStr">
        <is>
          <t>I Región Militar (Campo Militar 37-B)</t>
        </is>
      </c>
      <c r="G113" s="194" t="inlineStr">
        <is>
          <t>Impresora para placas radiográficas, marca Konica Minolta, modelo DryPro 873</t>
        </is>
      </c>
      <c r="H113" s="192" t="inlineStr">
        <is>
          <t>0992-50128</t>
        </is>
      </c>
      <c r="I113" s="192" t="inlineStr">
        <is>
          <t>IMAGEN</t>
        </is>
      </c>
      <c r="J113" s="193" t="n">
        <v>1</v>
      </c>
      <c r="K113" s="193" t="n">
        <v>2</v>
      </c>
      <c r="L113" s="201" t="inlineStr">
        <is>
          <t>Ing. Jose Jorge Olivares Velazquez</t>
        </is>
      </c>
      <c r="M113" s="193" t="inlineStr">
        <is>
          <t>14/10/2026</t>
        </is>
      </c>
    </row>
    <row r="114" ht="19.95" customHeight="1" s="227">
      <c r="A114" s="196" t="n">
        <v>110</v>
      </c>
      <c r="B114" s="197" t="inlineStr">
        <is>
          <t>BM-131</t>
        </is>
      </c>
      <c r="C114" s="197" t="n">
        <v>230</v>
      </c>
      <c r="D114" s="198" t="inlineStr">
        <is>
          <t>H.M.R., Irapuato</t>
        </is>
      </c>
      <c r="E114" s="196" t="inlineStr">
        <is>
          <t>GUANAJUATO</t>
        </is>
      </c>
      <c r="F114" s="198" t="inlineStr">
        <is>
          <t>XII Región Militar (Guanajuato)</t>
        </is>
      </c>
      <c r="G114" s="198" t="inlineStr">
        <is>
          <t>Equipo de rayos X móvil, marca Technix, modelo TMS 320</t>
        </is>
      </c>
      <c r="H114" s="196" t="inlineStr">
        <is>
          <t>80-16-85-156</t>
        </is>
      </c>
      <c r="I114" s="196" t="inlineStr">
        <is>
          <t>IMAGEN</t>
        </is>
      </c>
      <c r="J114" s="197" t="n">
        <v>1</v>
      </c>
      <c r="K114" s="197" t="n">
        <v>2</v>
      </c>
      <c r="L114" s="202" t="inlineStr">
        <is>
          <t>Ing. Ángel Rodríguez Zavala</t>
        </is>
      </c>
      <c r="M114" s="197" t="inlineStr">
        <is>
          <t>19/10/2026</t>
        </is>
      </c>
    </row>
    <row r="115" ht="19.95" customHeight="1" s="227">
      <c r="A115" s="192" t="n">
        <v>111</v>
      </c>
      <c r="B115" s="193" t="inlineStr">
        <is>
          <t>BM-081</t>
        </is>
      </c>
      <c r="C115" s="193" t="n">
        <v>231</v>
      </c>
      <c r="D115" s="194" t="inlineStr">
        <is>
          <t>H.M.Z. Cuernavaca</t>
        </is>
      </c>
      <c r="E115" s="192" t="inlineStr">
        <is>
          <t>MORELOS</t>
        </is>
      </c>
      <c r="F115" s="194" t="inlineStr">
        <is>
          <t>I Región Militar (24/a. Zona Militar)</t>
        </is>
      </c>
      <c r="G115" s="194" t="inlineStr">
        <is>
          <t>Sistema de digitalización de imágenes, marca Fujifilm, modelo Digitalizador: FCR Capsula XLII (CR-IR 359) Impresora: Drypix 4000</t>
        </is>
      </c>
      <c r="H115" s="192" t="inlineStr">
        <is>
          <t>Digitalizador: 46770614 Impresora: 36653758</t>
        </is>
      </c>
      <c r="I115" s="192" t="inlineStr">
        <is>
          <t>IMAGEN</t>
        </is>
      </c>
      <c r="J115" s="193" t="n">
        <v>1</v>
      </c>
      <c r="K115" s="193" t="n">
        <v>2</v>
      </c>
      <c r="L115" s="201" t="inlineStr">
        <is>
          <t>Ing. Jose Jorge Olivares Velazquez</t>
        </is>
      </c>
      <c r="M115" s="193" t="inlineStr">
        <is>
          <t>20/10/2026</t>
        </is>
      </c>
    </row>
    <row r="116" ht="19.95" customHeight="1" s="227">
      <c r="A116" s="196" t="n">
        <v>112</v>
      </c>
      <c r="B116" s="197" t="inlineStr">
        <is>
          <t>BM-082</t>
        </is>
      </c>
      <c r="C116" s="197" t="n">
        <v>232</v>
      </c>
      <c r="D116" s="198" t="inlineStr">
        <is>
          <t>H.M.R. Acapulco</t>
        </is>
      </c>
      <c r="E116" s="196" t="inlineStr">
        <is>
          <t>GUERRERO</t>
        </is>
      </c>
      <c r="F116" s="198" t="inlineStr">
        <is>
          <t>IX Región Militar (Guerrero)</t>
        </is>
      </c>
      <c r="G116" s="198" t="inlineStr">
        <is>
          <t>Digitalizador de placas radiográficas, marca Fujifilm, modelo CR-IR359</t>
        </is>
      </c>
      <c r="H116" s="196" t="inlineStr">
        <is>
          <t>46270262</t>
        </is>
      </c>
      <c r="I116" s="196" t="inlineStr">
        <is>
          <t>IMAGEN</t>
        </is>
      </c>
      <c r="J116" s="197" t="n">
        <v>1</v>
      </c>
      <c r="K116" s="197" t="n">
        <v>2</v>
      </c>
      <c r="L116" s="201" t="inlineStr">
        <is>
          <t>Ing. Jose Jorge Olivares Velazquez</t>
        </is>
      </c>
      <c r="M116" s="197" t="inlineStr">
        <is>
          <t>22/10/2026</t>
        </is>
      </c>
    </row>
    <row r="117" ht="19.95" customHeight="1" s="227">
      <c r="A117" s="192" t="n">
        <v>113</v>
      </c>
      <c r="B117" s="193" t="inlineStr">
        <is>
          <t>BM-132</t>
        </is>
      </c>
      <c r="C117" s="193" t="n">
        <v>265</v>
      </c>
      <c r="D117" s="194" t="inlineStr">
        <is>
          <t>H.M.Z. Santa María Rayón</t>
        </is>
      </c>
      <c r="E117" s="192" t="inlineStr">
        <is>
          <t>EDO DE MEX</t>
        </is>
      </c>
      <c r="F117" s="194" t="inlineStr">
        <is>
          <t>I Región Militar (22/a. Zona Militar)</t>
        </is>
      </c>
      <c r="G117" s="194" t="inlineStr">
        <is>
          <t>Rayos X móvil, marca Listem, modelo MOBIX-1000</t>
        </is>
      </c>
      <c r="H117" s="192" t="inlineStr">
        <is>
          <t>10 0155</t>
        </is>
      </c>
      <c r="I117" s="192" t="inlineStr">
        <is>
          <t>IMAGEN</t>
        </is>
      </c>
      <c r="J117" s="193" t="n">
        <v>1</v>
      </c>
      <c r="K117" s="193" t="n">
        <v>2</v>
      </c>
      <c r="L117" s="208" t="inlineStr">
        <is>
          <t>Ing. Nuevo</t>
        </is>
      </c>
      <c r="M117" s="193" t="inlineStr">
        <is>
          <t>13/10/2026</t>
        </is>
      </c>
    </row>
    <row r="118" ht="19.95" customHeight="1" s="227">
      <c r="A118" s="196" t="n">
        <v>114</v>
      </c>
      <c r="B118" s="197" t="inlineStr">
        <is>
          <t>BM-083</t>
        </is>
      </c>
      <c r="C118" s="197" t="n">
        <v>268</v>
      </c>
      <c r="D118" s="198" t="inlineStr">
        <is>
          <t>H.M.Z. Ixcotel</t>
        </is>
      </c>
      <c r="E118" s="196" t="inlineStr">
        <is>
          <t>OAXACA</t>
        </is>
      </c>
      <c r="F118" s="198" t="inlineStr">
        <is>
          <t>VIII Región Militar (Oaxaca)</t>
        </is>
      </c>
      <c r="G118" s="198" t="inlineStr">
        <is>
          <t>Fotocoagulador láser , marca Meridian AG, modelo SLA-UNI</t>
        </is>
      </c>
      <c r="H118" s="196" t="inlineStr">
        <is>
          <t>0069</t>
        </is>
      </c>
      <c r="I118" s="196" t="inlineStr">
        <is>
          <t>OFTALMO</t>
        </is>
      </c>
      <c r="J118" s="197" t="n">
        <v>1</v>
      </c>
      <c r="K118" s="197" t="n">
        <v>2</v>
      </c>
      <c r="L118" s="199" t="inlineStr">
        <is>
          <t>Ing. Jose Romero Najera</t>
        </is>
      </c>
      <c r="M118" s="197" t="inlineStr">
        <is>
          <t>20/10/2026</t>
        </is>
      </c>
    </row>
    <row r="119" ht="19.95" customHeight="1" s="227">
      <c r="A119" s="192" t="n">
        <v>115</v>
      </c>
      <c r="B119" s="193" t="inlineStr">
        <is>
          <t>BM-084</t>
        </is>
      </c>
      <c r="C119" s="193" t="n">
        <v>273</v>
      </c>
      <c r="D119" s="194" t="inlineStr">
        <is>
          <t>H.M.Z. Ixcotel</t>
        </is>
      </c>
      <c r="E119" s="192" t="inlineStr">
        <is>
          <t>OAXACA</t>
        </is>
      </c>
      <c r="F119" s="194" t="inlineStr">
        <is>
          <t>VIII Región Militar (Oaxaca)</t>
        </is>
      </c>
      <c r="G119" s="194" t="inlineStr">
        <is>
          <t>Láser oftálmico, marca Alcon, modelo 3000LE</t>
        </is>
      </c>
      <c r="H119" s="192" t="inlineStr">
        <is>
          <t>5342LX</t>
        </is>
      </c>
      <c r="I119" s="192" t="inlineStr">
        <is>
          <t>OFTALMO</t>
        </is>
      </c>
      <c r="J119" s="193" t="n">
        <v>1</v>
      </c>
      <c r="K119" s="193" t="n">
        <v>2</v>
      </c>
      <c r="L119" s="199" t="inlineStr">
        <is>
          <t>Ing. Jose Romero Najera</t>
        </is>
      </c>
      <c r="M119" s="193" t="inlineStr">
        <is>
          <t>20/10/2026</t>
        </is>
      </c>
    </row>
    <row r="120" ht="19.95" customHeight="1" s="227">
      <c r="A120" s="196" t="n">
        <v>116</v>
      </c>
      <c r="B120" s="197" t="inlineStr">
        <is>
          <t>BM-085</t>
        </is>
      </c>
      <c r="C120" s="197" t="n">
        <v>283</v>
      </c>
      <c r="D120" s="198" t="inlineStr">
        <is>
          <t>H.M.E.O. Constituyentes</t>
        </is>
      </c>
      <c r="E120" s="196" t="inlineStr">
        <is>
          <t>CDMX</t>
        </is>
      </c>
      <c r="F120" s="198" t="inlineStr">
        <is>
          <t>I Región Militar (Valle de México)</t>
        </is>
      </c>
      <c r="G120" s="198" t="inlineStr">
        <is>
          <t>Láser excimer, marca Bausch &amp; Lomb, modelo Zyoptix XP</t>
        </is>
      </c>
      <c r="H120" s="196" t="inlineStr">
        <is>
          <t>2805</t>
        </is>
      </c>
      <c r="I120" s="196" t="inlineStr">
        <is>
          <t>OFTALMO</t>
        </is>
      </c>
      <c r="J120" s="197" t="n">
        <v>1</v>
      </c>
      <c r="K120" s="197" t="n">
        <v>2</v>
      </c>
      <c r="L120" s="200" t="inlineStr">
        <is>
          <t>Ing. Sophia López Ramírez</t>
        </is>
      </c>
      <c r="M120" s="197" t="inlineStr">
        <is>
          <t>23/10/2026</t>
        </is>
      </c>
    </row>
    <row r="121" ht="19.95" customHeight="1" s="227">
      <c r="A121" s="192" t="n">
        <v>117</v>
      </c>
      <c r="B121" s="193" t="inlineStr">
        <is>
          <t>BM-086</t>
        </is>
      </c>
      <c r="C121" s="193" t="n">
        <v>291</v>
      </c>
      <c r="D121" s="194" t="inlineStr">
        <is>
          <t>H.M.E.O. Constituyentes</t>
        </is>
      </c>
      <c r="E121" s="192" t="inlineStr">
        <is>
          <t>CDMX</t>
        </is>
      </c>
      <c r="F121" s="194" t="inlineStr">
        <is>
          <t>I Región Militar (Valle de México)</t>
        </is>
      </c>
      <c r="G121" s="194" t="inlineStr">
        <is>
          <t>Láser excimer, marca Bausch &amp; Lomb, modelo Zyoptix XP</t>
        </is>
      </c>
      <c r="H121" s="192" t="inlineStr">
        <is>
          <t>XL500322</t>
        </is>
      </c>
      <c r="I121" s="192" t="inlineStr">
        <is>
          <t>OFTALMO</t>
        </is>
      </c>
      <c r="J121" s="193" t="n">
        <v>1</v>
      </c>
      <c r="K121" s="193" t="n">
        <v>2</v>
      </c>
      <c r="L121" s="200" t="inlineStr">
        <is>
          <t>Ing. Sophia López Ramírez</t>
        </is>
      </c>
      <c r="M121" s="193" t="inlineStr">
        <is>
          <t>23/10/2026</t>
        </is>
      </c>
    </row>
    <row r="122" ht="19.95" customHeight="1" s="227">
      <c r="A122" s="196" t="n">
        <v>118</v>
      </c>
      <c r="B122" s="197" t="inlineStr">
        <is>
          <t>BM-087</t>
        </is>
      </c>
      <c r="C122" s="197" t="n">
        <v>292</v>
      </c>
      <c r="D122" s="198" t="inlineStr">
        <is>
          <t>H.M.E.O. Constituyentes</t>
        </is>
      </c>
      <c r="E122" s="196" t="inlineStr">
        <is>
          <t>CDMX</t>
        </is>
      </c>
      <c r="F122" s="198" t="inlineStr">
        <is>
          <t>I Región Militar (Valle de México)</t>
        </is>
      </c>
      <c r="G122" s="198" t="inlineStr">
        <is>
          <t>Microscopio especular, marca Konan, modelo CellChek XL NSP9900</t>
        </is>
      </c>
      <c r="H122" s="196" t="inlineStr">
        <is>
          <t>NPA-3-1816</t>
        </is>
      </c>
      <c r="I122" s="196" t="inlineStr">
        <is>
          <t>OFTALMO</t>
        </is>
      </c>
      <c r="J122" s="197" t="n">
        <v>1</v>
      </c>
      <c r="K122" s="197" t="n">
        <v>2</v>
      </c>
      <c r="L122" s="200" t="inlineStr">
        <is>
          <t>Ing. Sophia López Ramírez</t>
        </is>
      </c>
      <c r="M122" s="197" t="inlineStr">
        <is>
          <t>23/10/2026</t>
        </is>
      </c>
    </row>
    <row r="123" ht="19.95" customHeight="1" s="227">
      <c r="A123" s="192" t="n">
        <v>119</v>
      </c>
      <c r="B123" s="193" t="inlineStr">
        <is>
          <t>BM-088</t>
        </is>
      </c>
      <c r="C123" s="193" t="n">
        <v>298</v>
      </c>
      <c r="D123" s="194" t="inlineStr">
        <is>
          <t>H.M.Z. Chetumal</t>
        </is>
      </c>
      <c r="E123" s="192" t="inlineStr">
        <is>
          <t>QUINTANA ROO</t>
        </is>
      </c>
      <c r="F123" s="194" t="inlineStr">
        <is>
          <t>X Región Militar (34/a. Zona Militar)</t>
        </is>
      </c>
      <c r="G123" s="194" t="inlineStr">
        <is>
          <t>Sistema de digitalización de imágenes, marca Fujifilm, modelo Digitalizador: FCR Capsula XLII (CR-IR 359)</t>
        </is>
      </c>
      <c r="H123" s="192" t="inlineStr">
        <is>
          <t>46770608</t>
        </is>
      </c>
      <c r="I123" s="192" t="inlineStr">
        <is>
          <t>IMAGEN</t>
        </is>
      </c>
      <c r="J123" s="193" t="n">
        <v>1</v>
      </c>
      <c r="K123" s="193" t="n">
        <v>2</v>
      </c>
      <c r="L123" s="205" t="inlineStr">
        <is>
          <t>Ing. Fernando Javier Michel Euan</t>
        </is>
      </c>
      <c r="M123" s="193" t="inlineStr">
        <is>
          <t>20/10/2026</t>
        </is>
      </c>
      <c r="N123" t="inlineStr">
        <is>
          <t>SEMANA 2 (FORÁNEO)</t>
        </is>
      </c>
    </row>
    <row r="124" ht="19.95" customHeight="1" s="227">
      <c r="A124" s="196" t="n">
        <v>120</v>
      </c>
      <c r="B124" s="197" t="inlineStr">
        <is>
          <t>BM-133</t>
        </is>
      </c>
      <c r="C124" s="197" t="n">
        <v>301</v>
      </c>
      <c r="D124" s="198" t="inlineStr">
        <is>
          <t>Subcentro de Evaluación Médica, Campo Militar 1-A</t>
        </is>
      </c>
      <c r="E124" s="196" t="inlineStr">
        <is>
          <t>CDMX</t>
        </is>
      </c>
      <c r="F124" s="198" t="inlineStr">
        <is>
          <t>I Región Militar (Valle de México)</t>
        </is>
      </c>
      <c r="G124" s="198" t="inlineStr">
        <is>
          <t>Rayos X fijo, marca Osko, modelo XR5</t>
        </is>
      </c>
      <c r="H124" s="196" t="inlineStr">
        <is>
          <t>XRC1094990MX</t>
        </is>
      </c>
      <c r="I124" s="196" t="inlineStr">
        <is>
          <t>IMAGEN</t>
        </is>
      </c>
      <c r="J124" s="197" t="n">
        <v>1</v>
      </c>
      <c r="K124" s="197" t="n">
        <v>2</v>
      </c>
      <c r="L124" s="212" t="inlineStr">
        <is>
          <t>Ing. Axel Evangelista Salinas</t>
        </is>
      </c>
      <c r="M124" s="197" t="inlineStr">
        <is>
          <t>16/10/2026</t>
        </is>
      </c>
    </row>
    <row r="125" ht="19.95" customHeight="1" s="227">
      <c r="A125" s="192" t="n">
        <v>121</v>
      </c>
      <c r="B125" s="193" t="inlineStr">
        <is>
          <t>BM-134</t>
        </is>
      </c>
      <c r="C125" s="193" t="n">
        <v>302</v>
      </c>
      <c r="D125" s="194" t="inlineStr">
        <is>
          <t>Subcentro de Evaluación Médica, Campo Militar 1-A</t>
        </is>
      </c>
      <c r="E125" s="192" t="inlineStr">
        <is>
          <t>CDMX</t>
        </is>
      </c>
      <c r="F125" s="194" t="inlineStr">
        <is>
          <t>I Región Militar (Valle de México)</t>
        </is>
      </c>
      <c r="G125" s="194" t="inlineStr">
        <is>
          <t>Rayos X fijo, marca Osko, modelo XR5</t>
        </is>
      </c>
      <c r="H125" s="192" t="inlineStr">
        <is>
          <t>XRC1095095MX</t>
        </is>
      </c>
      <c r="I125" s="192" t="inlineStr">
        <is>
          <t>IMAGEN</t>
        </is>
      </c>
      <c r="J125" s="193" t="n">
        <v>1</v>
      </c>
      <c r="K125" s="193" t="n">
        <v>2</v>
      </c>
      <c r="L125" s="212" t="inlineStr">
        <is>
          <t>Ing. Axel Evangelista Salinas</t>
        </is>
      </c>
      <c r="M125" s="193" t="inlineStr">
        <is>
          <t>16/10/2026</t>
        </is>
      </c>
    </row>
    <row r="126" ht="19.95" customHeight="1" s="227">
      <c r="A126" s="196" t="n">
        <v>122</v>
      </c>
      <c r="B126" s="197" t="inlineStr">
        <is>
          <t>BM-135</t>
        </is>
      </c>
      <c r="C126" s="197" t="n">
        <v>303</v>
      </c>
      <c r="D126" s="198" t="inlineStr">
        <is>
          <t>Subcentro de Evaluación Médica, Campo Militar 1-A</t>
        </is>
      </c>
      <c r="E126" s="196" t="inlineStr">
        <is>
          <t>CDMX</t>
        </is>
      </c>
      <c r="F126" s="198" t="inlineStr">
        <is>
          <t>I Región Militar (Valle de México)</t>
        </is>
      </c>
      <c r="G126" s="198" t="inlineStr">
        <is>
          <t>Rayos X fijo, marca Osko, modelo XR5</t>
        </is>
      </c>
      <c r="H126" s="196" t="inlineStr">
        <is>
          <t>XRC1094988MX</t>
        </is>
      </c>
      <c r="I126" s="196" t="inlineStr">
        <is>
          <t>IMAGEN</t>
        </is>
      </c>
      <c r="J126" s="197" t="n">
        <v>1</v>
      </c>
      <c r="K126" s="197" t="n">
        <v>2</v>
      </c>
      <c r="L126" s="212" t="inlineStr">
        <is>
          <t>Ing. Axel Evangelista Salinas</t>
        </is>
      </c>
      <c r="M126" s="197" t="inlineStr">
        <is>
          <t>16/10/2026</t>
        </is>
      </c>
    </row>
    <row r="127" ht="19.95" customHeight="1" s="227">
      <c r="A127" s="192" t="n">
        <v>123</v>
      </c>
      <c r="B127" s="193" t="inlineStr">
        <is>
          <t>BM-089</t>
        </is>
      </c>
      <c r="C127" s="193" t="n">
        <v>304</v>
      </c>
      <c r="D127" s="194" t="inlineStr">
        <is>
          <t>Subcentro de Evaluación Médica, Campo Militar 1-A</t>
        </is>
      </c>
      <c r="E127" s="192" t="inlineStr">
        <is>
          <t>CDMX</t>
        </is>
      </c>
      <c r="F127" s="194" t="inlineStr">
        <is>
          <t>I Región Militar (Valle de México)</t>
        </is>
      </c>
      <c r="G127" s="194" t="inlineStr">
        <is>
          <t>Impresora para placas radiográficas, marca Fujifilm, modelo Drypix 8000</t>
        </is>
      </c>
      <c r="H127" s="192" t="inlineStr">
        <is>
          <t>17130510</t>
        </is>
      </c>
      <c r="I127" s="192" t="inlineStr">
        <is>
          <t>IMAGEN</t>
        </is>
      </c>
      <c r="J127" s="193" t="n">
        <v>1</v>
      </c>
      <c r="K127" s="193" t="n">
        <v>2</v>
      </c>
      <c r="L127" s="212" t="inlineStr">
        <is>
          <t>Ing. Axel Evangelista Salinas</t>
        </is>
      </c>
      <c r="M127" s="193" t="inlineStr">
        <is>
          <t>16/10/2026</t>
        </is>
      </c>
    </row>
    <row r="128" ht="19.95" customHeight="1" s="227">
      <c r="A128" s="196" t="n">
        <v>124</v>
      </c>
      <c r="B128" s="197" t="inlineStr">
        <is>
          <t>BM-090</t>
        </is>
      </c>
      <c r="C128" s="197" t="n">
        <v>305</v>
      </c>
      <c r="D128" s="198" t="inlineStr">
        <is>
          <t>Subcentro de Evaluación Médica, Campo Militar 1-A</t>
        </is>
      </c>
      <c r="E128" s="196" t="inlineStr">
        <is>
          <t>CDMX</t>
        </is>
      </c>
      <c r="F128" s="198" t="inlineStr">
        <is>
          <t>I Región Militar (Valle de México)</t>
        </is>
      </c>
      <c r="G128" s="198" t="inlineStr">
        <is>
          <t>Impresora para placas radiográficas, marca Fujifilm, modelo Drypix 8000</t>
        </is>
      </c>
      <c r="H128" s="196" t="inlineStr">
        <is>
          <t>17130513</t>
        </is>
      </c>
      <c r="I128" s="196" t="inlineStr">
        <is>
          <t>IMAGEN</t>
        </is>
      </c>
      <c r="J128" s="197" t="n">
        <v>1</v>
      </c>
      <c r="K128" s="197" t="n">
        <v>2</v>
      </c>
      <c r="L128" s="212" t="inlineStr">
        <is>
          <t>Ing. Axel Evangelista Salinas</t>
        </is>
      </c>
      <c r="M128" s="197" t="inlineStr">
        <is>
          <t>16/10/2026</t>
        </is>
      </c>
    </row>
    <row r="129" ht="19.95" customHeight="1" s="227">
      <c r="A129" s="192" t="n">
        <v>125</v>
      </c>
      <c r="B129" s="193" t="inlineStr">
        <is>
          <t>BM-091</t>
        </is>
      </c>
      <c r="C129" s="193" t="n">
        <v>306</v>
      </c>
      <c r="D129" s="194" t="inlineStr">
        <is>
          <t>Subcentro de Evaluación Médica, Campo Militar 1-A</t>
        </is>
      </c>
      <c r="E129" s="192" t="inlineStr">
        <is>
          <t>CDMX</t>
        </is>
      </c>
      <c r="F129" s="194" t="inlineStr">
        <is>
          <t>I Región Militar (Valle de México)</t>
        </is>
      </c>
      <c r="G129" s="194" t="inlineStr">
        <is>
          <t>Impresora para placas radiográficas, marca Fujifilm, modelo Drypix 8000</t>
        </is>
      </c>
      <c r="H129" s="192" t="inlineStr">
        <is>
          <t>17130554</t>
        </is>
      </c>
      <c r="I129" s="192" t="inlineStr">
        <is>
          <t>IMAGEN</t>
        </is>
      </c>
      <c r="J129" s="193" t="n">
        <v>1</v>
      </c>
      <c r="K129" s="193" t="n">
        <v>2</v>
      </c>
      <c r="L129" s="212" t="inlineStr">
        <is>
          <t>Ing. Axel Evangelista Salinas</t>
        </is>
      </c>
      <c r="M129" s="193" t="inlineStr">
        <is>
          <t>16/10/2026</t>
        </is>
      </c>
    </row>
    <row r="130" ht="19.95" customHeight="1" s="227">
      <c r="A130" s="196" t="n">
        <v>126</v>
      </c>
      <c r="B130" s="197" t="inlineStr">
        <is>
          <t>BM-092</t>
        </is>
      </c>
      <c r="C130" s="197" t="n">
        <v>307</v>
      </c>
      <c r="D130" s="198" t="inlineStr">
        <is>
          <t>Subcentro de Evaluación Médica, Campo Militar 1-A</t>
        </is>
      </c>
      <c r="E130" s="196" t="inlineStr">
        <is>
          <t>CDMX</t>
        </is>
      </c>
      <c r="F130" s="198" t="inlineStr">
        <is>
          <t>I Región Militar (Valle de México)</t>
        </is>
      </c>
      <c r="G130" s="198" t="inlineStr">
        <is>
          <t>Cámara de Scheimpflug, marca Oculus, modelo Pentacam HR</t>
        </is>
      </c>
      <c r="H130" s="196" t="inlineStr">
        <is>
          <t>70900 2455 1210</t>
        </is>
      </c>
      <c r="I130" s="196" t="inlineStr">
        <is>
          <t>OFTALMO</t>
        </is>
      </c>
      <c r="J130" s="197" t="n">
        <v>1</v>
      </c>
      <c r="K130" s="197" t="n">
        <v>2</v>
      </c>
      <c r="L130" s="212" t="inlineStr">
        <is>
          <t>Ing. Axel Evangelista Salinas</t>
        </is>
      </c>
      <c r="M130" s="197" t="inlineStr">
        <is>
          <t>16/10/2026</t>
        </is>
      </c>
    </row>
    <row r="131" ht="19.95" customHeight="1" s="227">
      <c r="A131" s="192" t="n">
        <v>127</v>
      </c>
      <c r="B131" s="193" t="inlineStr">
        <is>
          <t>BM-136</t>
        </is>
      </c>
      <c r="C131" s="193" t="n">
        <v>309</v>
      </c>
      <c r="D131" s="194" t="inlineStr">
        <is>
          <t>H.M.R. La Paz</t>
        </is>
      </c>
      <c r="E131" s="192" t="inlineStr">
        <is>
          <t>BAJA CALIFORNIA SUR</t>
        </is>
      </c>
      <c r="F131" s="194" t="inlineStr">
        <is>
          <t>II Región Militar (3/a. Zona Militar)</t>
        </is>
      </c>
      <c r="G131" s="194" t="inlineStr">
        <is>
          <t>Equipo de rayos X móvil, marca Technix, modelo TMS 320</t>
        </is>
      </c>
      <c r="H131" s="192" t="inlineStr">
        <is>
          <t>80-16-82-153</t>
        </is>
      </c>
      <c r="I131" s="192" t="inlineStr">
        <is>
          <t>IMAGEN</t>
        </is>
      </c>
      <c r="J131" s="193" t="n">
        <v>1</v>
      </c>
      <c r="K131" s="193" t="n">
        <v>2</v>
      </c>
      <c r="L131" s="210" t="inlineStr">
        <is>
          <t>Ing. Rogelio Ramos Centeno</t>
        </is>
      </c>
      <c r="M131" s="193" t="inlineStr">
        <is>
          <t>26/10/2026</t>
        </is>
      </c>
    </row>
    <row r="132" ht="19.95" customHeight="1" s="227">
      <c r="A132" s="196" t="n">
        <v>128</v>
      </c>
      <c r="B132" s="197" t="inlineStr">
        <is>
          <t>BM-093</t>
        </is>
      </c>
      <c r="C132" s="197" t="n">
        <v>310</v>
      </c>
      <c r="D132" s="198" t="inlineStr">
        <is>
          <t>H.M.R. La Paz</t>
        </is>
      </c>
      <c r="E132" s="196" t="inlineStr">
        <is>
          <t>BAJA CALIFORNIA SUR</t>
        </is>
      </c>
      <c r="F132" s="198" t="inlineStr">
        <is>
          <t>II Región Militar (3/a. Zona Militar)</t>
        </is>
      </c>
      <c r="G132" s="198" t="inlineStr">
        <is>
          <t>Fotocoagulador láser , marca Quantel Medical, modelo Supra Scan</t>
        </is>
      </c>
      <c r="H132" s="196" t="inlineStr">
        <is>
          <t>454</t>
        </is>
      </c>
      <c r="I132" s="196" t="inlineStr">
        <is>
          <t>OFTALMO</t>
        </is>
      </c>
      <c r="J132" s="197" t="n">
        <v>1</v>
      </c>
      <c r="K132" s="197" t="n">
        <v>2</v>
      </c>
      <c r="L132" s="210" t="inlineStr">
        <is>
          <t>Ing. Rogelio Ramos Centeno</t>
        </is>
      </c>
      <c r="M132" s="197" t="inlineStr">
        <is>
          <t>26/10/2026</t>
        </is>
      </c>
    </row>
    <row r="133" ht="19.95" customHeight="1" s="227">
      <c r="A133" s="192" t="n">
        <v>129</v>
      </c>
      <c r="B133" s="193" t="inlineStr">
        <is>
          <t>BM-137</t>
        </is>
      </c>
      <c r="C133" s="193" t="n">
        <v>313</v>
      </c>
      <c r="D133" s="194" t="inlineStr">
        <is>
          <t>H.M.R.E. Mazatlán</t>
        </is>
      </c>
      <c r="E133" s="192" t="inlineStr">
        <is>
          <t>SINALOA</t>
        </is>
      </c>
      <c r="F133" s="194" t="inlineStr">
        <is>
          <t>III Región Militar (Sinaloa)</t>
        </is>
      </c>
      <c r="G133" s="194" t="inlineStr">
        <is>
          <t>Rayos X móvil, marca Villa Sistemi Medicali, modelo Visitor T30 M-DR</t>
        </is>
      </c>
      <c r="H133" s="192" t="inlineStr">
        <is>
          <t>14-11-1038</t>
        </is>
      </c>
      <c r="I133" s="192" t="inlineStr">
        <is>
          <t>IMAGEN</t>
        </is>
      </c>
      <c r="J133" s="193" t="n">
        <v>1</v>
      </c>
      <c r="K133" s="193" t="n">
        <v>2</v>
      </c>
      <c r="L133" s="206" t="inlineStr">
        <is>
          <t>Ing. Rogelio Ramos Centeno</t>
        </is>
      </c>
      <c r="M133" s="193" t="inlineStr">
        <is>
          <t>21/10/2026</t>
        </is>
      </c>
    </row>
    <row r="134" ht="19.95" customHeight="1" s="227">
      <c r="A134" s="196" t="n">
        <v>130</v>
      </c>
      <c r="B134" s="197" t="inlineStr">
        <is>
          <t>BM-138</t>
        </is>
      </c>
      <c r="C134" s="197" t="n">
        <v>314</v>
      </c>
      <c r="D134" s="198" t="inlineStr">
        <is>
          <t>H.M.R. Puebla</t>
        </is>
      </c>
      <c r="E134" s="196" t="inlineStr">
        <is>
          <t>PUEBLA</t>
        </is>
      </c>
      <c r="F134" s="198" t="inlineStr">
        <is>
          <t>VI Región Militar (25/a. Zona Militar)</t>
        </is>
      </c>
      <c r="G134" s="198" t="inlineStr">
        <is>
          <t>Equipo de rayos X móvil, marca Technix, modelo TMS 320</t>
        </is>
      </c>
      <c r="H134" s="196" t="inlineStr">
        <is>
          <t>80-16-101-172</t>
        </is>
      </c>
      <c r="I134" s="196" t="inlineStr">
        <is>
          <t>IMAGEN</t>
        </is>
      </c>
      <c r="J134" s="197" t="n">
        <v>1</v>
      </c>
      <c r="K134" s="197" t="n">
        <v>2</v>
      </c>
      <c r="L134" s="208" t="inlineStr">
        <is>
          <t>Ing. Nuevo</t>
        </is>
      </c>
      <c r="M134" s="197" t="inlineStr">
        <is>
          <t>19/10/2026</t>
        </is>
      </c>
    </row>
    <row r="135" ht="19.95" customHeight="1" s="227">
      <c r="A135" s="192" t="n">
        <v>131</v>
      </c>
      <c r="B135" s="193" t="inlineStr">
        <is>
          <t>BM-139</t>
        </is>
      </c>
      <c r="C135" s="193" t="n">
        <v>316</v>
      </c>
      <c r="D135" s="194" t="inlineStr">
        <is>
          <t>H.M.R. Puebla</t>
        </is>
      </c>
      <c r="E135" s="192" t="inlineStr">
        <is>
          <t>PUEBLA</t>
        </is>
      </c>
      <c r="F135" s="194" t="inlineStr">
        <is>
          <t>VI Región Militar (25/a. Zona Militar)</t>
        </is>
      </c>
      <c r="G135" s="194" t="inlineStr">
        <is>
          <t>Equipo de rayos X móvil, marca Mindray, modelo MobiEye 700</t>
        </is>
      </c>
      <c r="H135" s="192" t="inlineStr">
        <is>
          <t>C8-05002378T</t>
        </is>
      </c>
      <c r="I135" s="192" t="inlineStr">
        <is>
          <t>IMAGEN</t>
        </is>
      </c>
      <c r="J135" s="193" t="n">
        <v>1</v>
      </c>
      <c r="K135" s="193" t="n">
        <v>2</v>
      </c>
      <c r="L135" s="208" t="inlineStr">
        <is>
          <t>Ing. Nuevo</t>
        </is>
      </c>
      <c r="M135" s="193" t="inlineStr">
        <is>
          <t>19/10/2026</t>
        </is>
      </c>
    </row>
    <row r="136" ht="19.95" customHeight="1" s="227">
      <c r="A136" s="196" t="n">
        <v>132</v>
      </c>
      <c r="B136" s="197" t="inlineStr">
        <is>
          <t>BM-094</t>
        </is>
      </c>
      <c r="C136" s="197" t="n">
        <v>319</v>
      </c>
      <c r="D136" s="198" t="inlineStr">
        <is>
          <t>H.M.Z. Campo Militar No. 1-A</t>
        </is>
      </c>
      <c r="E136" s="196" t="inlineStr">
        <is>
          <t>CDMX</t>
        </is>
      </c>
      <c r="F136" s="198" t="inlineStr">
        <is>
          <t>I Región Militar (Naucalpan)</t>
        </is>
      </c>
      <c r="G136" s="198" t="inlineStr">
        <is>
          <t>Arco en C, marca Ziehm Imaging, modelo Vision R</t>
        </is>
      </c>
      <c r="H136" s="196" t="inlineStr">
        <is>
          <t>10705</t>
        </is>
      </c>
      <c r="I136" s="196" t="inlineStr">
        <is>
          <t>IMAGEN</t>
        </is>
      </c>
      <c r="J136" s="197" t="n">
        <v>1</v>
      </c>
      <c r="K136" s="197" t="n">
        <v>2</v>
      </c>
      <c r="L136" s="212" t="inlineStr">
        <is>
          <t>Ing. Axel Evangelista Salinas</t>
        </is>
      </c>
      <c r="M136" s="197" t="inlineStr">
        <is>
          <t>15/10/2026</t>
        </is>
      </c>
    </row>
    <row r="137" ht="19.95" customHeight="1" s="227">
      <c r="A137" s="192" t="n">
        <v>133</v>
      </c>
      <c r="B137" s="193" t="inlineStr">
        <is>
          <t>BM-095</t>
        </is>
      </c>
      <c r="C137" s="193" t="n">
        <v>321</v>
      </c>
      <c r="D137" s="194" t="inlineStr">
        <is>
          <t>H.M.Z. Zapopan</t>
        </is>
      </c>
      <c r="E137" s="192" t="inlineStr">
        <is>
          <t>JALISCO</t>
        </is>
      </c>
      <c r="F137" s="194" t="inlineStr">
        <is>
          <t>V Región Militar (Base Aérea Militar No. 5)</t>
        </is>
      </c>
      <c r="G137" s="194" t="inlineStr">
        <is>
          <t>Microscopio quirúrgico oftalmológico, marca Leica, modelo M822 F40</t>
        </is>
      </c>
      <c r="H137" s="192" t="inlineStr">
        <is>
          <t>160219002</t>
        </is>
      </c>
      <c r="I137" s="192" t="inlineStr">
        <is>
          <t>OFTALMO</t>
        </is>
      </c>
      <c r="J137" s="193" t="n">
        <v>1</v>
      </c>
      <c r="K137" s="193" t="n">
        <v>2</v>
      </c>
      <c r="L137" s="206" t="inlineStr">
        <is>
          <t>Ing. Rogelio Ramos Centeno</t>
        </is>
      </c>
      <c r="M137" s="193" t="inlineStr">
        <is>
          <t>14/10/2026</t>
        </is>
      </c>
      <c r="N137" t="inlineStr">
        <is>
          <t>SEMANA 1 (LOCAL/LEICA)</t>
        </is>
      </c>
    </row>
    <row r="138" ht="19.95" customHeight="1" s="227">
      <c r="A138" s="196" t="n">
        <v>134</v>
      </c>
      <c r="B138" s="197" t="inlineStr">
        <is>
          <t>BM-140</t>
        </is>
      </c>
      <c r="C138" s="197" t="n">
        <v>335</v>
      </c>
      <c r="D138" s="198" t="inlineStr">
        <is>
          <t>H.M.E.M. Y N. Lomas de Sotelo</t>
        </is>
      </c>
      <c r="E138" s="196" t="inlineStr">
        <is>
          <t>CDMX</t>
        </is>
      </c>
      <c r="F138" s="198" t="inlineStr">
        <is>
          <t>I Región Militar (Complejo Sotelo)</t>
        </is>
      </c>
      <c r="G138" s="198" t="inlineStr">
        <is>
          <t>Rayos X móvil, marca Philips, modelo MobileDiagnost wDR Release 2</t>
        </is>
      </c>
      <c r="H138" s="196" t="inlineStr">
        <is>
          <t>15100252</t>
        </is>
      </c>
      <c r="I138" s="196" t="inlineStr">
        <is>
          <t>IMAGEN</t>
        </is>
      </c>
      <c r="J138" s="197" t="n">
        <v>1</v>
      </c>
      <c r="K138" s="197" t="n">
        <v>2</v>
      </c>
      <c r="L138" s="195" t="inlineStr">
        <is>
          <t>Ing. Axel Evangelista Salinas</t>
        </is>
      </c>
      <c r="M138" s="197" t="inlineStr">
        <is>
          <t>14/10/2026</t>
        </is>
      </c>
    </row>
    <row r="139" ht="19.95" customHeight="1" s="227">
      <c r="A139" s="192" t="n">
        <v>135</v>
      </c>
      <c r="B139" s="193" t="inlineStr">
        <is>
          <t>BM-141</t>
        </is>
      </c>
      <c r="C139" s="193" t="n">
        <v>336</v>
      </c>
      <c r="D139" s="194" t="inlineStr">
        <is>
          <t>H.M.R.E. Monterrey</t>
        </is>
      </c>
      <c r="E139" s="192" t="inlineStr">
        <is>
          <t>NUEVO LEON</t>
        </is>
      </c>
      <c r="F139" s="194" t="inlineStr">
        <is>
          <t>IV Región Militar (Noreste)</t>
        </is>
      </c>
      <c r="G139" s="194" t="inlineStr">
        <is>
          <t>Rayos X móvil, marca Philips, modelo MobileDiagnost wDR Release 2</t>
        </is>
      </c>
      <c r="H139" s="192" t="inlineStr">
        <is>
          <t>16200158</t>
        </is>
      </c>
      <c r="I139" s="192" t="inlineStr">
        <is>
          <t>IMAGEN</t>
        </is>
      </c>
      <c r="J139" s="193" t="n">
        <v>1</v>
      </c>
      <c r="K139" s="193" t="n">
        <v>2</v>
      </c>
      <c r="L139" s="207" t="inlineStr">
        <is>
          <t>Ing. Axel Evangelista Salinas</t>
        </is>
      </c>
      <c r="M139" s="193" t="inlineStr">
        <is>
          <t>22/10/2026</t>
        </is>
      </c>
    </row>
    <row r="140" ht="19.95" customHeight="1" s="227">
      <c r="A140" s="196" t="n">
        <v>136</v>
      </c>
      <c r="B140" s="197" t="inlineStr">
        <is>
          <t>BM-096</t>
        </is>
      </c>
      <c r="C140" s="197" t="n">
        <v>338</v>
      </c>
      <c r="D140" s="198" t="inlineStr">
        <is>
          <t>H.M.E.O. Constituyentes</t>
        </is>
      </c>
      <c r="E140" s="196" t="inlineStr">
        <is>
          <t>CDMX</t>
        </is>
      </c>
      <c r="F140" s="198" t="inlineStr">
        <is>
          <t>I Región Militar (Valle de México)</t>
        </is>
      </c>
      <c r="G140" s="198" t="inlineStr">
        <is>
          <t>Láser de femtosegundo, marca Alcon, modelo LenSx</t>
        </is>
      </c>
      <c r="H140" s="196" t="inlineStr">
        <is>
          <t>2102004501X</t>
        </is>
      </c>
      <c r="I140" s="196" t="inlineStr">
        <is>
          <t>OFTALMO</t>
        </is>
      </c>
      <c r="J140" s="197" t="n">
        <v>1</v>
      </c>
      <c r="K140" s="197" t="n">
        <v>2</v>
      </c>
      <c r="L140" s="200" t="inlineStr">
        <is>
          <t>Ing. Sophia López Ramírez</t>
        </is>
      </c>
      <c r="M140" s="197" t="inlineStr">
        <is>
          <t>23/10/2026</t>
        </is>
      </c>
    </row>
    <row r="141" ht="19.95" customHeight="1" s="227">
      <c r="A141" s="192" t="n">
        <v>137</v>
      </c>
      <c r="B141" s="193" t="inlineStr">
        <is>
          <t>BM-097</t>
        </is>
      </c>
      <c r="C141" s="193" t="n">
        <v>351</v>
      </c>
      <c r="D141" s="194" t="inlineStr">
        <is>
          <t>H.M.E.O. Constituyentes</t>
        </is>
      </c>
      <c r="E141" s="192" t="inlineStr">
        <is>
          <t>CDMX</t>
        </is>
      </c>
      <c r="F141" s="194" t="inlineStr">
        <is>
          <t>I Región Militar (Valle de México)</t>
        </is>
      </c>
      <c r="G141" s="194" t="inlineStr">
        <is>
          <t>Sistema de diagnóstico oftálmico avanzado, marca Nidek, modelo OPD-Scan III</t>
        </is>
      </c>
      <c r="H141" s="192" t="inlineStr">
        <is>
          <t>470023</t>
        </is>
      </c>
      <c r="I141" s="192" t="inlineStr">
        <is>
          <t>OFTALMO</t>
        </is>
      </c>
      <c r="J141" s="193" t="n">
        <v>1</v>
      </c>
      <c r="K141" s="193" t="n">
        <v>2</v>
      </c>
      <c r="L141" s="200" t="inlineStr">
        <is>
          <t>Ing. Sophia López Ramírez</t>
        </is>
      </c>
      <c r="M141" s="193" t="inlineStr">
        <is>
          <t>23/10/2026</t>
        </is>
      </c>
    </row>
    <row r="142" ht="19.95" customHeight="1" s="227">
      <c r="A142" s="196" t="n">
        <v>138</v>
      </c>
      <c r="B142" s="197" t="inlineStr">
        <is>
          <t>BM-142</t>
        </is>
      </c>
      <c r="C142" s="197" t="n">
        <v>353</v>
      </c>
      <c r="D142" s="198" t="inlineStr">
        <is>
          <t>U.M.C.E. Tlalpan</t>
        </is>
      </c>
      <c r="E142" s="196" t="inlineStr">
        <is>
          <t>CDMX</t>
        </is>
      </c>
      <c r="F142" s="198" t="inlineStr">
        <is>
          <t>I Región Militar (Heroico Colegio Militar)</t>
        </is>
      </c>
      <c r="G142" s="198" t="inlineStr">
        <is>
          <t>Rayos X portátil, marca Carestream, modelo DRX Revolution</t>
        </is>
      </c>
      <c r="H142" s="196" t="inlineStr">
        <is>
          <t>21F0363</t>
        </is>
      </c>
      <c r="I142" s="196" t="inlineStr">
        <is>
          <t>IMAGEN</t>
        </is>
      </c>
      <c r="J142" s="197" t="n">
        <v>1</v>
      </c>
      <c r="K142" s="197" t="n">
        <v>2</v>
      </c>
      <c r="L142" s="208" t="inlineStr">
        <is>
          <t>Ing. Nuevo</t>
        </is>
      </c>
      <c r="M142" s="197" t="inlineStr">
        <is>
          <t>15/10/2026</t>
        </is>
      </c>
    </row>
    <row r="143" ht="19.95" customHeight="1" s="227">
      <c r="A143" s="192" t="n">
        <v>139</v>
      </c>
      <c r="B143" s="193" t="inlineStr">
        <is>
          <t>BM-098</t>
        </is>
      </c>
      <c r="C143" s="193" t="n">
        <v>357</v>
      </c>
      <c r="D143" s="194" t="inlineStr">
        <is>
          <t>H.M.R.E. Monterrey</t>
        </is>
      </c>
      <c r="E143" s="192" t="inlineStr">
        <is>
          <t>NUEVO LEON</t>
        </is>
      </c>
      <c r="F143" s="194" t="inlineStr">
        <is>
          <t>IV Región Militar (Noreste)</t>
        </is>
      </c>
      <c r="G143" s="194" t="inlineStr">
        <is>
          <t>Topógrafo corneal, marca Zeiss, modelo Atlas 9000</t>
        </is>
      </c>
      <c r="H143" s="192" t="inlineStr">
        <is>
          <t>9000-2972</t>
        </is>
      </c>
      <c r="I143" s="192" t="inlineStr">
        <is>
          <t>OFTALMO</t>
        </is>
      </c>
      <c r="J143" s="193" t="n">
        <v>1</v>
      </c>
      <c r="K143" s="193" t="n">
        <v>2</v>
      </c>
      <c r="L143" s="207" t="inlineStr">
        <is>
          <t>Ing. Axel Evangelista Salinas</t>
        </is>
      </c>
      <c r="M143" s="193" t="inlineStr">
        <is>
          <t>22/10/2026</t>
        </is>
      </c>
    </row>
    <row r="144" ht="19.95" customHeight="1" s="227">
      <c r="A144" s="196" t="n">
        <v>140</v>
      </c>
      <c r="B144" s="197" t="inlineStr">
        <is>
          <t>BM-099</t>
        </is>
      </c>
      <c r="C144" s="197" t="n">
        <v>358</v>
      </c>
      <c r="D144" s="198" t="inlineStr">
        <is>
          <t>H.M.R.E. Guadalajara</t>
        </is>
      </c>
      <c r="E144" s="196" t="inlineStr">
        <is>
          <t>JALISCO</t>
        </is>
      </c>
      <c r="F144" s="198" t="inlineStr">
        <is>
          <t>V Región Militar (Occidente)</t>
        </is>
      </c>
      <c r="G144" s="198" t="inlineStr">
        <is>
          <t>Microscopio, marca Carl Zeiss, modelo OPMI Visu 160</t>
        </is>
      </c>
      <c r="H144" s="196" t="inlineStr">
        <is>
          <t>6213404030</t>
        </is>
      </c>
      <c r="I144" s="196" t="inlineStr">
        <is>
          <t>OFTALMO</t>
        </is>
      </c>
      <c r="J144" s="197" t="n">
        <v>1</v>
      </c>
      <c r="K144" s="197" t="n">
        <v>2</v>
      </c>
      <c r="L144" s="210" t="inlineStr">
        <is>
          <t>Ing. Rogelio Ramos Centeno</t>
        </is>
      </c>
      <c r="M144" s="197" t="inlineStr">
        <is>
          <t>19/10/2026</t>
        </is>
      </c>
    </row>
    <row r="145" ht="19.95" customHeight="1" s="227">
      <c r="A145" s="192" t="n">
        <v>141</v>
      </c>
      <c r="B145" s="193" t="inlineStr">
        <is>
          <t>BM-100</t>
        </is>
      </c>
      <c r="C145" s="193" t="n">
        <v>363</v>
      </c>
      <c r="D145" s="194" t="inlineStr">
        <is>
          <t>H.M.Z. Villahermosa</t>
        </is>
      </c>
      <c r="E145" s="192" t="inlineStr">
        <is>
          <t>TABASCO</t>
        </is>
      </c>
      <c r="F145" s="194" t="inlineStr">
        <is>
          <t>VII Región Militar (Tabasco)</t>
        </is>
      </c>
      <c r="G145" s="194" t="inlineStr">
        <is>
          <t>Campímetro, marca Carl Zeiss Meditec, modelo Humphrey 740I</t>
        </is>
      </c>
      <c r="H145" s="192" t="inlineStr">
        <is>
          <t>740I-14200</t>
        </is>
      </c>
      <c r="I145" s="192" t="inlineStr">
        <is>
          <t>OFTALMO</t>
        </is>
      </c>
      <c r="J145" s="193" t="n">
        <v>1</v>
      </c>
      <c r="K145" s="193" t="n">
        <v>2</v>
      </c>
      <c r="L145" s="205" t="inlineStr">
        <is>
          <t>Ing. Fernando Javier Michel Euan</t>
        </is>
      </c>
      <c r="M145" s="193" t="inlineStr">
        <is>
          <t>21/10/2026</t>
        </is>
      </c>
      <c r="N145" t="inlineStr">
        <is>
          <t>SEMANA 2 (FORÁNEO)</t>
        </is>
      </c>
    </row>
    <row r="146" ht="19.95" customHeight="1" s="227">
      <c r="A146" s="196" t="n">
        <v>142</v>
      </c>
      <c r="B146" s="197" t="inlineStr">
        <is>
          <t>BM-101</t>
        </is>
      </c>
      <c r="C146" s="197" t="n">
        <v>367</v>
      </c>
      <c r="D146" s="198" t="inlineStr">
        <is>
          <t>H.M.Z. Santa Gertrudis</t>
        </is>
      </c>
      <c r="E146" s="196" t="inlineStr">
        <is>
          <t>CHIHUAHUA</t>
        </is>
      </c>
      <c r="F146" s="198" t="inlineStr">
        <is>
          <t>XI Región Militar (Campo Militar 42-A)</t>
        </is>
      </c>
      <c r="G146" s="198" t="inlineStr">
        <is>
          <t>Equipo de rayos X móvil, marca Primax, modelo Raybow dR</t>
        </is>
      </c>
      <c r="H146" s="196" t="inlineStr">
        <is>
          <t>10076715</t>
        </is>
      </c>
      <c r="I146" s="196" t="inlineStr">
        <is>
          <t>IMAGEN</t>
        </is>
      </c>
      <c r="J146" s="197" t="n">
        <v>1</v>
      </c>
      <c r="K146" s="197" t="n">
        <v>2</v>
      </c>
      <c r="L146" s="213" t="inlineStr">
        <is>
          <t>Ing. Ángel Rodríguez Zavala</t>
        </is>
      </c>
      <c r="M146" s="197" t="inlineStr">
        <is>
          <t>26/10/2026</t>
        </is>
      </c>
    </row>
    <row r="147" ht="19.95" customHeight="1" s="227">
      <c r="A147" s="192" t="n">
        <v>143</v>
      </c>
      <c r="B147" s="193" t="inlineStr">
        <is>
          <t>BM-143</t>
        </is>
      </c>
      <c r="C147" s="193" t="n">
        <v>369</v>
      </c>
      <c r="D147" s="194" t="inlineStr">
        <is>
          <t>U.M.C.E. Reynosa</t>
        </is>
      </c>
      <c r="E147" s="192" t="inlineStr">
        <is>
          <t>TAMAULIPAS</t>
        </is>
      </c>
      <c r="F147" s="194" t="inlineStr">
        <is>
          <t>IV Región Militar (8/a. Zona Militar)</t>
        </is>
      </c>
      <c r="G147" s="194" t="inlineStr">
        <is>
          <t>Equipo de rayos X móvil, marca Primax, modelo Raybow dR</t>
        </is>
      </c>
      <c r="H147" s="192" t="inlineStr">
        <is>
          <t>10116715</t>
        </is>
      </c>
      <c r="I147" s="192" t="inlineStr">
        <is>
          <t>IMAGEN</t>
        </is>
      </c>
      <c r="J147" s="193" t="n">
        <v>1</v>
      </c>
      <c r="K147" s="193" t="n">
        <v>2</v>
      </c>
      <c r="L147" s="202" t="inlineStr">
        <is>
          <t>Ing. Ángel Rodríguez Zavala</t>
        </is>
      </c>
      <c r="M147" s="193" t="inlineStr">
        <is>
          <t>29/10/2026</t>
        </is>
      </c>
    </row>
    <row r="148" ht="24" customHeight="1" s="227" thickBot="1">
      <c r="A148" s="223" t="inlineStr">
        <is>
          <t>TOTAL DE EQUIPOS PROGRAMADOS (143 EQUIPOS EN 37 HOSPITALES):</t>
        </is>
      </c>
      <c r="B148" s="224" t="n"/>
      <c r="C148" s="224" t="n"/>
      <c r="D148" s="224" t="n"/>
      <c r="E148" s="224" t="n"/>
      <c r="F148" s="224" t="n"/>
      <c r="G148" s="224" t="n"/>
      <c r="H148" s="224" t="n"/>
      <c r="I148" s="225" t="n"/>
      <c r="J148" s="214">
        <f>SUM(J5:J147)</f>
        <v/>
      </c>
      <c r="K148" s="214">
        <f>SUM(K5:K147)</f>
        <v/>
      </c>
      <c r="L148" s="215" t="inlineStr">
        <is>
          <t>8 Ingenieros Asignados</t>
        </is>
      </c>
      <c r="M148" s="215" t="inlineStr">
        <is>
          <t>19 al 30 de Octubre</t>
        </is>
      </c>
    </row>
  </sheetData>
  <autoFilter ref="A4:M147"/>
  <mergeCells count="3">
    <mergeCell ref="A148:I148"/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90"/>
  <sheetViews>
    <sheetView view="pageBreakPreview" zoomScale="48" zoomScaleNormal="70" zoomScaleSheetLayoutView="90" workbookViewId="0">
      <selection activeCell="G121" sqref="G121"/>
    </sheetView>
  </sheetViews>
  <sheetFormatPr baseColWidth="10" defaultColWidth="11.44140625" defaultRowHeight="15.6"/>
  <cols>
    <col width="25.5546875" customWidth="1" style="267" min="1" max="1"/>
    <col width="9.44140625" customWidth="1" style="267" min="2" max="2"/>
    <col width="10.33203125" customWidth="1" style="267" min="3" max="3"/>
    <col width="14.88671875" customWidth="1" style="267" min="4" max="4"/>
    <col width="17.109375" customWidth="1" style="267" min="5" max="5"/>
    <col width="18" customWidth="1" style="267" min="6" max="6"/>
    <col width="63.33203125" customWidth="1" style="267" min="7" max="7"/>
    <col width="11.6640625" customWidth="1" style="267" min="8" max="8"/>
    <col width="6.5546875" customWidth="1" style="3" min="9" max="10"/>
    <col width="8.88671875" bestFit="1" customWidth="1" style="267" min="11" max="11"/>
    <col width="17.6640625" customWidth="1" style="277" min="12" max="13"/>
    <col width="18.109375" bestFit="1" customWidth="1" style="267" min="14" max="14"/>
    <col width="21.88671875" bestFit="1" customWidth="1" style="267" min="15" max="16"/>
    <col width="19.88671875" bestFit="1" customWidth="1" style="267" min="17" max="17"/>
    <col width="19.109375" bestFit="1" customWidth="1" style="267" min="18" max="18"/>
    <col width="19.88671875" bestFit="1" customWidth="1" style="267" min="19" max="19"/>
    <col width="32.44140625" customWidth="1" style="4" min="20" max="20"/>
    <col width="10.88671875" bestFit="1" customWidth="1" style="267" min="21" max="21"/>
    <col width="17" customWidth="1" style="267" min="22" max="22"/>
    <col width="23.109375" customWidth="1" style="267" min="23" max="23"/>
    <col width="18.5546875" bestFit="1" customWidth="1" style="64" min="24" max="24"/>
    <col width="11.44140625" customWidth="1" style="5" min="25" max="47"/>
    <col width="11.44140625" customWidth="1" style="5" min="48" max="16384"/>
  </cols>
  <sheetData>
    <row r="1">
      <c r="L1" s="267" t="n"/>
      <c r="M1" s="267" t="n"/>
    </row>
    <row r="2" ht="15.75" customHeight="1" s="227">
      <c r="A2" s="1" t="n"/>
      <c r="B2" s="1" t="n"/>
      <c r="L2" s="267" t="n"/>
      <c r="M2" s="267" t="n"/>
    </row>
    <row r="3" ht="15.75" customHeight="1" s="227">
      <c r="A3" s="1" t="n"/>
      <c r="B3" s="1" t="n"/>
      <c r="L3" s="267" t="n"/>
      <c r="M3" s="267" t="n"/>
    </row>
    <row r="4" ht="15.75" customHeight="1" s="227">
      <c r="A4" s="1" t="n"/>
      <c r="B4" s="1" t="n"/>
      <c r="G4" s="3" t="n"/>
      <c r="L4" s="267" t="n"/>
      <c r="M4" s="267" t="n"/>
    </row>
    <row r="5">
      <c r="A5" s="268" t="n"/>
      <c r="L5" s="267" t="n"/>
      <c r="M5" s="267" t="n"/>
    </row>
    <row r="6" ht="15.75" customHeight="1" s="227">
      <c r="L6" s="267" t="n"/>
      <c r="M6" s="267" t="n"/>
      <c r="Q6" s="5" t="n"/>
      <c r="T6" s="6" t="n"/>
    </row>
    <row r="7">
      <c r="L7" s="267" t="n"/>
      <c r="M7" s="267" t="n"/>
    </row>
    <row r="8" ht="33.75" customHeight="1" s="227">
      <c r="L8" s="267" t="n"/>
      <c r="M8" s="267" t="n"/>
      <c r="N8" s="266" t="inlineStr">
        <is>
          <t xml:space="preserve">COTIZACION
MEDICAL DIMEGAR S.A. DE C.V. </t>
        </is>
      </c>
    </row>
    <row r="9">
      <c r="L9" s="267" t="n"/>
      <c r="M9" s="267" t="n"/>
      <c r="R9" s="7" t="n">
        <v>0.16</v>
      </c>
    </row>
    <row r="10" ht="15.75" customFormat="1" customHeight="1" s="11">
      <c r="A10" s="8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255" t="n"/>
      <c r="W10" s="256" t="n"/>
      <c r="X10" s="254" t="n"/>
    </row>
    <row r="11" ht="15.6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13" t="inlineStr">
        <is>
          <t>Estado</t>
        </is>
      </c>
      <c r="C12" s="13" t="inlineStr">
        <is>
          <t>BL</t>
        </is>
      </c>
      <c r="D12" s="13" t="inlineStr">
        <is>
          <t>Equipo</t>
        </is>
      </c>
      <c r="E12" s="13" t="inlineStr">
        <is>
          <t>N/S</t>
        </is>
      </c>
      <c r="F12" s="13" t="inlineStr">
        <is>
          <t>Unidad Médica</t>
        </is>
      </c>
      <c r="G12" s="257" t="inlineStr">
        <is>
          <t>Descripcion del servicio</t>
        </is>
      </c>
      <c r="H12" s="258" t="inlineStr">
        <is>
          <t>Unidad de medida</t>
        </is>
      </c>
      <c r="I12" s="257" t="inlineStr">
        <is>
          <t>Cantidad solicitada</t>
        </is>
      </c>
      <c r="J12" s="254" t="n"/>
      <c r="K12" s="13" t="inlineStr">
        <is>
          <t xml:space="preserve">País de origen </t>
        </is>
      </c>
      <c r="L12" s="262" t="inlineStr">
        <is>
          <t>P. Máximo</t>
        </is>
      </c>
      <c r="M12" s="263" t="inlineStr">
        <is>
          <t>costo</t>
        </is>
      </c>
      <c r="N12" s="13" t="inlineStr">
        <is>
          <t>Precio Unitario</t>
        </is>
      </c>
      <c r="O12" s="14" t="inlineStr">
        <is>
          <t>Precio unitario sin I.V.A.</t>
        </is>
      </c>
      <c r="P12" s="15" t="inlineStr">
        <is>
          <t>Precio unitario sin I.V.A.</t>
        </is>
      </c>
      <c r="Q12" s="13" t="inlineStr">
        <is>
          <t>Total sin I.V.A.</t>
        </is>
      </c>
      <c r="R12" s="13" t="inlineStr">
        <is>
          <t>I.V.A.</t>
        </is>
      </c>
      <c r="S12" s="13" t="inlineStr">
        <is>
          <t>Total con I.V.A.</t>
        </is>
      </c>
      <c r="T12" s="16" t="inlineStr">
        <is>
          <t>Observaciones</t>
        </is>
      </c>
      <c r="U12" s="13" t="inlineStr">
        <is>
          <t xml:space="preserve">Garantía </t>
        </is>
      </c>
      <c r="V12" s="14" t="inlineStr">
        <is>
          <t>Cumple la normatividad</t>
        </is>
      </c>
      <c r="W12" s="260" t="inlineStr">
        <is>
          <t>ESPECIALIDAD</t>
        </is>
      </c>
      <c r="X12" s="260" t="inlineStr">
        <is>
          <t>PROVEEDOR</t>
        </is>
      </c>
    </row>
    <row r="13" ht="25.5" customFormat="1" customHeight="1" s="26">
      <c r="A13" s="259" t="n"/>
      <c r="B13" s="18" t="n"/>
      <c r="C13" s="19" t="n"/>
      <c r="D13" s="20" t="n"/>
      <c r="E13" s="20" t="n"/>
      <c r="F13" s="20" t="n"/>
      <c r="G13" s="259" t="n"/>
      <c r="H13" s="259" t="n"/>
      <c r="I13" s="21" t="n">
        <v>2026</v>
      </c>
      <c r="J13" s="21" t="n">
        <v>2027</v>
      </c>
      <c r="K13" s="20" t="n"/>
      <c r="L13" s="259" t="n"/>
      <c r="M13" s="259" t="n"/>
      <c r="N13" s="19" t="n"/>
      <c r="O13" s="22" t="n">
        <v>2026</v>
      </c>
      <c r="P13" s="23" t="n">
        <v>2027</v>
      </c>
      <c r="Q13" s="19" t="n"/>
      <c r="R13" s="19" t="n"/>
      <c r="S13" s="19" t="n"/>
      <c r="T13" s="24" t="n"/>
      <c r="U13" s="20" t="n"/>
      <c r="V13" s="25" t="inlineStr">
        <is>
          <t>Si/No</t>
        </is>
      </c>
      <c r="W13" s="261" t="n"/>
      <c r="X13" s="261" t="n"/>
    </row>
    <row r="14" ht="124.95" customFormat="1" customHeight="1" s="29">
      <c r="A14" s="49" t="n">
        <v>6</v>
      </c>
      <c r="B14" s="68" t="inlineStr">
        <is>
          <t>CDMX</t>
        </is>
      </c>
      <c r="C14" s="27" t="inlineStr">
        <is>
          <t>XP SU</t>
        </is>
      </c>
      <c r="D14" s="69" t="inlineStr">
        <is>
          <t>Microscopio avanzado, marca Leica, modelo M320F12</t>
        </is>
      </c>
      <c r="E14" s="70" t="inlineStr">
        <is>
          <t>10724001</t>
        </is>
      </c>
      <c r="F14" s="71" t="inlineStr">
        <is>
          <t>H.C.M. Lomas de Sotelo</t>
        </is>
      </c>
      <c r="G14" s="50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" s="51" t="inlineStr">
        <is>
          <t>Servicio</t>
        </is>
      </c>
      <c r="I14" s="52" t="n">
        <v>1</v>
      </c>
      <c r="J14" s="53" t="n">
        <v>2</v>
      </c>
      <c r="K14" s="54" t="inlineStr">
        <is>
          <t>México</t>
        </is>
      </c>
      <c r="L14" s="290" t="n">
        <v>156725</v>
      </c>
      <c r="M14" s="291" t="n">
        <v>125000</v>
      </c>
      <c r="N14" s="292" t="n">
        <v>150000</v>
      </c>
      <c r="O14" s="292">
        <f>I14*N14</f>
        <v/>
      </c>
      <c r="P14" s="292">
        <f>J14*N14</f>
        <v/>
      </c>
      <c r="Q14" s="292">
        <f>SUM(O14:P14)</f>
        <v/>
      </c>
      <c r="R14" s="292">
        <f>Q14*$R$9</f>
        <v/>
      </c>
      <c r="S14" s="292">
        <f>SUM(Q14:R14)</f>
        <v/>
      </c>
      <c r="T14" s="56" t="inlineStr">
        <is>
          <t>Accesorios: No incluye
Consumibles: No incluye</t>
        </is>
      </c>
      <c r="U14" s="54" t="inlineStr">
        <is>
          <t>Durante la vigencia del contrato</t>
        </is>
      </c>
      <c r="V14" s="57" t="inlineStr">
        <is>
          <t>SI</t>
        </is>
      </c>
      <c r="W14" s="54" t="inlineStr">
        <is>
          <t>OFTALMO</t>
        </is>
      </c>
      <c r="X14" s="66" t="inlineStr">
        <is>
          <t>COINDISA</t>
        </is>
      </c>
    </row>
    <row r="15" ht="140.4" customFormat="1" customHeight="1" s="29">
      <c r="A15" s="49" t="n">
        <v>16</v>
      </c>
      <c r="B15" s="68" t="inlineStr">
        <is>
          <t>OAXACA</t>
        </is>
      </c>
      <c r="C15" s="27" t="inlineStr">
        <is>
          <t>RO</t>
        </is>
      </c>
      <c r="D15" s="72" t="inlineStr">
        <is>
          <t>Sistema de diagnóstico oftálmico avanzado, marca Heidelberg Engineering, modelo Anterion</t>
        </is>
      </c>
      <c r="E15" s="73" t="inlineStr">
        <is>
          <t>01827B0106</t>
        </is>
      </c>
      <c r="F15" s="72" t="inlineStr">
        <is>
          <t>H.M.Z. Ixcotel</t>
        </is>
      </c>
      <c r="G15" s="50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5" s="51" t="inlineStr">
        <is>
          <t>Servicio</t>
        </is>
      </c>
      <c r="I15" s="52" t="n">
        <v>1</v>
      </c>
      <c r="J15" s="53" t="n">
        <v>2</v>
      </c>
      <c r="K15" s="54" t="inlineStr">
        <is>
          <t>México</t>
        </is>
      </c>
      <c r="L15" s="290" t="n">
        <v>182160</v>
      </c>
      <c r="M15" s="291" t="n">
        <v>110000</v>
      </c>
      <c r="N15" s="292" t="n">
        <v>180000</v>
      </c>
      <c r="O15" s="292">
        <f>I15*N15</f>
        <v/>
      </c>
      <c r="P15" s="292">
        <f>J15*N15</f>
        <v/>
      </c>
      <c r="Q15" s="292">
        <f>SUM(O15:P15)</f>
        <v/>
      </c>
      <c r="R15" s="292">
        <f>Q15*$R$9</f>
        <v/>
      </c>
      <c r="S15" s="292">
        <f>SUM(Q15:R15)</f>
        <v/>
      </c>
      <c r="T15" s="56" t="inlineStr">
        <is>
          <t>Accesorios: No incluye
Consumibles: No incluye</t>
        </is>
      </c>
      <c r="U15" s="54" t="inlineStr">
        <is>
          <t>Durante la vigencia del contrato</t>
        </is>
      </c>
      <c r="V15" s="57" t="inlineStr">
        <is>
          <t>SI</t>
        </is>
      </c>
      <c r="W15" s="54" t="inlineStr">
        <is>
          <t>OFTALMO</t>
        </is>
      </c>
      <c r="X15" s="66" t="inlineStr">
        <is>
          <t>ARFAMEX</t>
        </is>
      </c>
    </row>
    <row r="16" ht="140.4" customFormat="1" customHeight="1" s="29">
      <c r="A16" s="49" t="n">
        <v>17</v>
      </c>
      <c r="B16" s="68" t="inlineStr">
        <is>
          <t>OAXACA</t>
        </is>
      </c>
      <c r="C16" s="27" t="inlineStr">
        <is>
          <t>US</t>
        </is>
      </c>
      <c r="D16" s="69" t="inlineStr">
        <is>
          <t>Sistema de diagnóstico oftálmico avanzado, marca Heidelberg Engineering, modelo Spectralis</t>
        </is>
      </c>
      <c r="E16" s="70" t="inlineStr">
        <is>
          <t>SPEC-CAM-22694-S3610</t>
        </is>
      </c>
      <c r="F16" s="71" t="inlineStr">
        <is>
          <t>H.M.Z. Ixcotel</t>
        </is>
      </c>
      <c r="G16" s="50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" s="51" t="inlineStr">
        <is>
          <t>Servicio</t>
        </is>
      </c>
      <c r="I16" s="52" t="n">
        <v>1</v>
      </c>
      <c r="J16" s="53" t="n">
        <v>2</v>
      </c>
      <c r="K16" s="54" t="inlineStr">
        <is>
          <t>México</t>
        </is>
      </c>
      <c r="L16" s="290" t="n">
        <v>230215.52</v>
      </c>
      <c r="M16" s="291" t="n">
        <v>125000</v>
      </c>
      <c r="N16" s="292" t="n">
        <v>225000</v>
      </c>
      <c r="O16" s="292">
        <f>I16*N16</f>
        <v/>
      </c>
      <c r="P16" s="292">
        <f>J16*N16</f>
        <v/>
      </c>
      <c r="Q16" s="292">
        <f>SUM(O16:P16)</f>
        <v/>
      </c>
      <c r="R16" s="292">
        <f>Q16*$R$9</f>
        <v/>
      </c>
      <c r="S16" s="292">
        <f>SUM(Q16:R16)</f>
        <v/>
      </c>
      <c r="T16" s="56" t="inlineStr">
        <is>
          <t>Accesorios: No incluye
Consumibles: No incluye</t>
        </is>
      </c>
      <c r="U16" s="54" t="inlineStr">
        <is>
          <t>Durante la vigencia del contrato</t>
        </is>
      </c>
      <c r="V16" s="57" t="inlineStr">
        <is>
          <t>SI</t>
        </is>
      </c>
      <c r="W16" s="54" t="inlineStr">
        <is>
          <t>OFTALMO</t>
        </is>
      </c>
      <c r="X16" s="66" t="inlineStr">
        <is>
          <t>ARFAMEX</t>
        </is>
      </c>
    </row>
    <row r="17" ht="124.95" customFormat="1" customHeight="1" s="29">
      <c r="A17" s="49" t="n">
        <v>19</v>
      </c>
      <c r="B17" s="68" t="inlineStr">
        <is>
          <t>CDMX</t>
        </is>
      </c>
      <c r="C17" s="27" t="inlineStr">
        <is>
          <t>XP WH / D&amp;A</t>
        </is>
      </c>
      <c r="D17" s="72" t="inlineStr">
        <is>
          <t>Sistema de facoemulsificación, marca Alcon, modelo Centurion</t>
        </is>
      </c>
      <c r="E17" s="73" t="inlineStr">
        <is>
          <t>2201601801X</t>
        </is>
      </c>
      <c r="F17" s="72" t="inlineStr">
        <is>
          <t>H.M.E.O. Constituyentes</t>
        </is>
      </c>
      <c r="G17" s="50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7" s="51" t="inlineStr">
        <is>
          <t>Servicio</t>
        </is>
      </c>
      <c r="I17" s="52" t="n">
        <v>1</v>
      </c>
      <c r="J17" s="53" t="n">
        <v>2</v>
      </c>
      <c r="K17" s="54" t="inlineStr">
        <is>
          <t>México</t>
        </is>
      </c>
      <c r="L17" s="290" t="n">
        <v>230215.52</v>
      </c>
      <c r="M17" s="291" t="n">
        <v>75000</v>
      </c>
      <c r="N17" s="292" t="n">
        <v>160000</v>
      </c>
      <c r="O17" s="292">
        <f>I17*N17</f>
        <v/>
      </c>
      <c r="P17" s="292">
        <f>J17*N17</f>
        <v/>
      </c>
      <c r="Q17" s="292">
        <f>SUM(O17:P17)</f>
        <v/>
      </c>
      <c r="R17" s="292">
        <f>Q17*$R$9</f>
        <v/>
      </c>
      <c r="S17" s="292">
        <f>SUM(Q17:R17)</f>
        <v/>
      </c>
      <c r="T17" s="56" t="inlineStr">
        <is>
          <t>Accesorios: No incluye
Consumibles: No incluye</t>
        </is>
      </c>
      <c r="U17" s="54" t="inlineStr">
        <is>
          <t>Durante la vigencia del contrato</t>
        </is>
      </c>
      <c r="V17" s="57" t="inlineStr">
        <is>
          <t>SI</t>
        </is>
      </c>
      <c r="W17" s="54" t="inlineStr">
        <is>
          <t>OFTALMO</t>
        </is>
      </c>
      <c r="X17" s="66" t="inlineStr">
        <is>
          <t>ALCON</t>
        </is>
      </c>
    </row>
    <row r="18" ht="124.95" customFormat="1" customHeight="1" s="29">
      <c r="A18" s="49" t="n">
        <v>20</v>
      </c>
      <c r="B18" s="68" t="inlineStr">
        <is>
          <t>CDMX</t>
        </is>
      </c>
      <c r="C18" s="27" t="inlineStr">
        <is>
          <t>XP SU</t>
        </is>
      </c>
      <c r="D18" s="72" t="inlineStr">
        <is>
          <t>Sistema de facoemulsificación, marca Alcon, modelo Centurion</t>
        </is>
      </c>
      <c r="E18" s="68" t="inlineStr">
        <is>
          <t>2201483301X</t>
        </is>
      </c>
      <c r="F18" s="69" t="inlineStr">
        <is>
          <t>H.M.E.O. Constituyentes</t>
        </is>
      </c>
      <c r="G18" s="50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8" s="51" t="inlineStr">
        <is>
          <t>Servicio</t>
        </is>
      </c>
      <c r="I18" s="52" t="n">
        <v>1</v>
      </c>
      <c r="J18" s="53" t="n">
        <v>2</v>
      </c>
      <c r="K18" s="54" t="inlineStr">
        <is>
          <t>México</t>
        </is>
      </c>
      <c r="L18" s="290" t="n">
        <v>213318.97</v>
      </c>
      <c r="M18" s="291" t="n">
        <v>75000</v>
      </c>
      <c r="N18" s="292" t="n">
        <v>160000</v>
      </c>
      <c r="O18" s="292">
        <f>I18*N18</f>
        <v/>
      </c>
      <c r="P18" s="292">
        <f>J18*N18</f>
        <v/>
      </c>
      <c r="Q18" s="292">
        <f>SUM(O18:P18)</f>
        <v/>
      </c>
      <c r="R18" s="292">
        <f>Q18*$R$9</f>
        <v/>
      </c>
      <c r="S18" s="292">
        <f>SUM(Q18:R18)</f>
        <v/>
      </c>
      <c r="T18" s="56" t="inlineStr">
        <is>
          <t>Accesorios: No incluye
Consumibles: No incluye</t>
        </is>
      </c>
      <c r="U18" s="54" t="inlineStr">
        <is>
          <t>Durante la vigencia del contrato</t>
        </is>
      </c>
      <c r="V18" s="57" t="inlineStr">
        <is>
          <t>SI</t>
        </is>
      </c>
      <c r="W18" s="54" t="inlineStr">
        <is>
          <t>OFTALMO</t>
        </is>
      </c>
      <c r="X18" s="66" t="inlineStr">
        <is>
          <t>ALCON</t>
        </is>
      </c>
    </row>
    <row r="19" ht="140.4" customFormat="1" customHeight="1" s="29">
      <c r="A19" s="49" t="n">
        <v>21</v>
      </c>
      <c r="B19" s="68" t="inlineStr">
        <is>
          <t>CDMX</t>
        </is>
      </c>
      <c r="C19" s="27" t="inlineStr">
        <is>
          <t>AXA</t>
        </is>
      </c>
      <c r="D19" s="72" t="inlineStr">
        <is>
          <t>Sistema de facoemulsificación, marca Alcon, modelo Centurion</t>
        </is>
      </c>
      <c r="E19" s="73" t="inlineStr">
        <is>
          <t>2201602101X</t>
        </is>
      </c>
      <c r="F19" s="72" t="inlineStr">
        <is>
          <t>H.M.E.O. Constituyentes</t>
        </is>
      </c>
      <c r="G19" s="58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9" s="51" t="inlineStr">
        <is>
          <t>Servicio</t>
        </is>
      </c>
      <c r="I19" s="52" t="n">
        <v>1</v>
      </c>
      <c r="J19" s="53" t="n">
        <v>2</v>
      </c>
      <c r="K19" s="54" t="inlineStr">
        <is>
          <t>México</t>
        </is>
      </c>
      <c r="L19" s="290" t="n">
        <v>220410</v>
      </c>
      <c r="M19" s="291" t="n">
        <v>75000</v>
      </c>
      <c r="N19" s="292" t="n">
        <v>160000</v>
      </c>
      <c r="O19" s="292">
        <f>I19*N19</f>
        <v/>
      </c>
      <c r="P19" s="292">
        <f>J19*N19</f>
        <v/>
      </c>
      <c r="Q19" s="292">
        <f>SUM(O19:P19)</f>
        <v/>
      </c>
      <c r="R19" s="292">
        <f>Q19*$R$9</f>
        <v/>
      </c>
      <c r="S19" s="292">
        <f>SUM(Q19:R19)</f>
        <v/>
      </c>
      <c r="T19" s="56" t="inlineStr">
        <is>
          <t>Accesorios: No incluye
Consumibles: No incluye</t>
        </is>
      </c>
      <c r="U19" s="54" t="inlineStr">
        <is>
          <t>Durante la vigencia del contrato</t>
        </is>
      </c>
      <c r="V19" s="57" t="inlineStr">
        <is>
          <t>SI</t>
        </is>
      </c>
      <c r="W19" s="54" t="inlineStr">
        <is>
          <t>OFTALMO</t>
        </is>
      </c>
      <c r="X19" s="66" t="inlineStr">
        <is>
          <t>ALCON</t>
        </is>
      </c>
    </row>
    <row r="20" ht="124.95" customFormat="1" customHeight="1" s="29">
      <c r="A20" s="49" t="n">
        <v>22</v>
      </c>
      <c r="B20" s="68" t="inlineStr">
        <is>
          <t>CDMX</t>
        </is>
      </c>
      <c r="C20" s="27" t="inlineStr">
        <is>
          <t>AXA</t>
        </is>
      </c>
      <c r="D20" s="72" t="inlineStr">
        <is>
          <t>Sistema de facoemulsificación, marca Alcon, modelo Centurion</t>
        </is>
      </c>
      <c r="E20" s="68" t="inlineStr">
        <is>
          <t>2202291501X</t>
        </is>
      </c>
      <c r="F20" s="69" t="inlineStr">
        <is>
          <t>H.M.E.O. Constituyentes</t>
        </is>
      </c>
      <c r="G20" s="50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0" s="51" t="inlineStr">
        <is>
          <t>Servicio</t>
        </is>
      </c>
      <c r="I20" s="52" t="n">
        <v>1</v>
      </c>
      <c r="J20" s="53" t="n">
        <v>2</v>
      </c>
      <c r="K20" s="54" t="inlineStr">
        <is>
          <t>México</t>
        </is>
      </c>
      <c r="L20" s="290" t="n">
        <v>447758.62</v>
      </c>
      <c r="M20" s="291" t="n">
        <v>75000</v>
      </c>
      <c r="N20" s="292" t="n">
        <v>160000</v>
      </c>
      <c r="O20" s="292">
        <f>I20*N20</f>
        <v/>
      </c>
      <c r="P20" s="292">
        <f>J20*N20</f>
        <v/>
      </c>
      <c r="Q20" s="292">
        <f>SUM(O20:P20)</f>
        <v/>
      </c>
      <c r="R20" s="292">
        <f>Q20*$R$9</f>
        <v/>
      </c>
      <c r="S20" s="292">
        <f>SUM(Q20:R20)</f>
        <v/>
      </c>
      <c r="T20" s="56" t="inlineStr">
        <is>
          <t>Accesorios: No incluye
Consumibles: No incluye</t>
        </is>
      </c>
      <c r="U20" s="54" t="inlineStr">
        <is>
          <t>Durante la vigencia del contrato</t>
        </is>
      </c>
      <c r="V20" s="57" t="inlineStr">
        <is>
          <t>SI</t>
        </is>
      </c>
      <c r="W20" s="54" t="inlineStr">
        <is>
          <t>OFTALMO</t>
        </is>
      </c>
      <c r="X20" s="66" t="inlineStr">
        <is>
          <t>ALCON</t>
        </is>
      </c>
    </row>
    <row r="21" ht="124.95" customFormat="1" customHeight="1" s="29">
      <c r="A21" s="49" t="n">
        <v>23</v>
      </c>
      <c r="B21" s="68" t="inlineStr">
        <is>
          <t>CDMX</t>
        </is>
      </c>
      <c r="C21" s="27" t="inlineStr">
        <is>
          <t>XP WH / D&amp;A</t>
        </is>
      </c>
      <c r="D21" s="72" t="inlineStr">
        <is>
          <t>Sistema de cirugía vitreorretiniana, marca Alcon, modelo Constellation</t>
        </is>
      </c>
      <c r="E21" s="73" t="inlineStr">
        <is>
          <t>2201508001X</t>
        </is>
      </c>
      <c r="F21" s="72" t="inlineStr">
        <is>
          <t>H.M.E.O. Constituyentes</t>
        </is>
      </c>
      <c r="G21" s="50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1" s="51" t="inlineStr">
        <is>
          <t>Servicio</t>
        </is>
      </c>
      <c r="I21" s="52" t="n">
        <v>1</v>
      </c>
      <c r="J21" s="53" t="n">
        <v>2</v>
      </c>
      <c r="K21" s="54" t="inlineStr">
        <is>
          <t>México</t>
        </is>
      </c>
      <c r="L21" s="290" t="n">
        <v>447758.62</v>
      </c>
      <c r="M21" s="291" t="n">
        <v>120000</v>
      </c>
      <c r="N21" s="292" t="n">
        <v>350000</v>
      </c>
      <c r="O21" s="292">
        <f>I21*N21</f>
        <v/>
      </c>
      <c r="P21" s="292">
        <f>J21*N21</f>
        <v/>
      </c>
      <c r="Q21" s="292">
        <f>SUM(O21:P21)</f>
        <v/>
      </c>
      <c r="R21" s="292">
        <f>Q21*$R$9</f>
        <v/>
      </c>
      <c r="S21" s="292">
        <f>SUM(Q21:R21)</f>
        <v/>
      </c>
      <c r="T21" s="56" t="inlineStr">
        <is>
          <t>Accesorios: No incluye
Consumibles: No incluye</t>
        </is>
      </c>
      <c r="U21" s="54" t="inlineStr">
        <is>
          <t>Durante la vigencia del contrato</t>
        </is>
      </c>
      <c r="V21" s="57" t="inlineStr">
        <is>
          <t>SI</t>
        </is>
      </c>
      <c r="W21" s="54" t="inlineStr">
        <is>
          <t>OFTALMO</t>
        </is>
      </c>
      <c r="X21" s="66" t="inlineStr">
        <is>
          <t>ALCON</t>
        </is>
      </c>
    </row>
    <row r="22" ht="124.95" customFormat="1" customHeight="1" s="29">
      <c r="A22" s="49" t="n">
        <v>24</v>
      </c>
      <c r="B22" s="68" t="inlineStr">
        <is>
          <t>CDMX</t>
        </is>
      </c>
      <c r="C22" s="27" t="inlineStr">
        <is>
          <t>CT / D&amp;A</t>
        </is>
      </c>
      <c r="D22" s="72" t="inlineStr">
        <is>
          <t>Sistema de cirugía vitreorretiniana, marca Alcon, modelo Constellation</t>
        </is>
      </c>
      <c r="E22" s="73" t="inlineStr">
        <is>
          <t>2201508101X</t>
        </is>
      </c>
      <c r="F22" s="72" t="inlineStr">
        <is>
          <t>H.M.E.O. Constituyentes</t>
        </is>
      </c>
      <c r="G22" s="58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2" s="51" t="inlineStr">
        <is>
          <t>Servicio</t>
        </is>
      </c>
      <c r="I22" s="52" t="n">
        <v>1</v>
      </c>
      <c r="J22" s="53" t="n">
        <v>2</v>
      </c>
      <c r="K22" s="54" t="inlineStr">
        <is>
          <t>México</t>
        </is>
      </c>
      <c r="L22" s="290" t="n">
        <v>451982.76</v>
      </c>
      <c r="M22" s="291" t="n">
        <v>120000</v>
      </c>
      <c r="N22" s="292" t="n">
        <v>350000</v>
      </c>
      <c r="O22" s="292">
        <f>I22*N22</f>
        <v/>
      </c>
      <c r="P22" s="292">
        <f>J22*N22</f>
        <v/>
      </c>
      <c r="Q22" s="292">
        <f>SUM(O22:P22)</f>
        <v/>
      </c>
      <c r="R22" s="292">
        <f>Q22*$R$9</f>
        <v/>
      </c>
      <c r="S22" s="292">
        <f>SUM(Q22:R22)</f>
        <v/>
      </c>
      <c r="T22" s="56" t="inlineStr">
        <is>
          <t>Accesorios: No incluye
Consumibles: No incluye</t>
        </is>
      </c>
      <c r="U22" s="54" t="inlineStr">
        <is>
          <t>Durante la vigencia del contrato</t>
        </is>
      </c>
      <c r="V22" s="57" t="inlineStr">
        <is>
          <t>SI</t>
        </is>
      </c>
      <c r="W22" s="54" t="inlineStr">
        <is>
          <t>OFTALMO</t>
        </is>
      </c>
      <c r="X22" s="66" t="inlineStr">
        <is>
          <t>ALCON</t>
        </is>
      </c>
    </row>
    <row r="23" ht="124.95" customFormat="1" customHeight="1" s="29">
      <c r="A23" s="49" t="n">
        <v>25</v>
      </c>
      <c r="B23" s="68" t="inlineStr">
        <is>
          <t>CDMX</t>
        </is>
      </c>
      <c r="C23" s="27" t="inlineStr">
        <is>
          <t>AXA</t>
        </is>
      </c>
      <c r="D23" s="72" t="inlineStr">
        <is>
          <t>Sistema de cirugía vitreorretiniana, marca Alcon, modelo Constellation</t>
        </is>
      </c>
      <c r="E23" s="68" t="inlineStr">
        <is>
          <t>2201541901X</t>
        </is>
      </c>
      <c r="F23" s="69" t="inlineStr">
        <is>
          <t>H.M.E.O. Constituyentes</t>
        </is>
      </c>
      <c r="G23" s="50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3" s="51" t="inlineStr">
        <is>
          <t>Servicio</t>
        </is>
      </c>
      <c r="I23" s="52" t="n">
        <v>1</v>
      </c>
      <c r="J23" s="53" t="n">
        <v>2</v>
      </c>
      <c r="K23" s="54" t="inlineStr">
        <is>
          <t>México</t>
        </is>
      </c>
      <c r="L23" s="290" t="n">
        <v>439310.34</v>
      </c>
      <c r="M23" s="291" t="n">
        <v>120000</v>
      </c>
      <c r="N23" s="292" t="n">
        <v>350000</v>
      </c>
      <c r="O23" s="292">
        <f>I23*N23</f>
        <v/>
      </c>
      <c r="P23" s="292">
        <f>J23*N23</f>
        <v/>
      </c>
      <c r="Q23" s="292">
        <f>SUM(O23:P23)</f>
        <v/>
      </c>
      <c r="R23" s="292">
        <f>Q23*$R$9</f>
        <v/>
      </c>
      <c r="S23" s="292">
        <f>SUM(Q23:R23)</f>
        <v/>
      </c>
      <c r="T23" s="56" t="inlineStr">
        <is>
          <t>Accesorios: No incluye
Consumibles: No incluye</t>
        </is>
      </c>
      <c r="U23" s="54" t="inlineStr">
        <is>
          <t>Durante la vigencia del contrato</t>
        </is>
      </c>
      <c r="V23" s="57" t="inlineStr">
        <is>
          <t>SI</t>
        </is>
      </c>
      <c r="W23" s="54" t="inlineStr">
        <is>
          <t>OFTALMO</t>
        </is>
      </c>
      <c r="X23" s="66" t="inlineStr">
        <is>
          <t>ALCON</t>
        </is>
      </c>
    </row>
    <row r="24" ht="124.95" customFormat="1" customHeight="1" s="29">
      <c r="A24" s="49" t="n">
        <v>26</v>
      </c>
      <c r="B24" s="68" t="inlineStr">
        <is>
          <t>CDMX</t>
        </is>
      </c>
      <c r="C24" s="27" t="inlineStr">
        <is>
          <t>XP RF</t>
        </is>
      </c>
      <c r="D24" s="72" t="inlineStr">
        <is>
          <t>Láser de diodo, marca A.R.C. Laser, modelo FOX 810</t>
        </is>
      </c>
      <c r="E24" s="68" t="inlineStr">
        <is>
          <t>615423-AAAB</t>
        </is>
      </c>
      <c r="F24" s="69" t="inlineStr">
        <is>
          <t>H.M.E.O. Constituyentes</t>
        </is>
      </c>
      <c r="G24" s="50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4" s="51" t="inlineStr">
        <is>
          <t>Servicio</t>
        </is>
      </c>
      <c r="I24" s="52" t="n">
        <v>1</v>
      </c>
      <c r="J24" s="53" t="n">
        <v>2</v>
      </c>
      <c r="K24" s="54" t="inlineStr">
        <is>
          <t>México</t>
        </is>
      </c>
      <c r="L24" s="290" t="n">
        <v>566214</v>
      </c>
      <c r="M24" s="291" t="n">
        <v>1</v>
      </c>
      <c r="N24" s="292" t="n">
        <v>500000</v>
      </c>
      <c r="O24" s="292">
        <f>I24*N24</f>
        <v/>
      </c>
      <c r="P24" s="292">
        <f>J24*N24</f>
        <v/>
      </c>
      <c r="Q24" s="292">
        <f>SUM(O24:P24)</f>
        <v/>
      </c>
      <c r="R24" s="292">
        <f>Q24*$R$9</f>
        <v/>
      </c>
      <c r="S24" s="292">
        <f>SUM(Q24:R24)</f>
        <v/>
      </c>
      <c r="T24" s="56" t="inlineStr">
        <is>
          <t>Accesorios: No incluye
Consumibles: No incluye</t>
        </is>
      </c>
      <c r="U24" s="54" t="inlineStr">
        <is>
          <t>Durante la vigencia del contrato</t>
        </is>
      </c>
      <c r="V24" s="57" t="inlineStr">
        <is>
          <t>SI</t>
        </is>
      </c>
      <c r="W24" s="54" t="inlineStr">
        <is>
          <t>OFTALMO</t>
        </is>
      </c>
      <c r="X24" s="66" t="inlineStr">
        <is>
          <t>MD</t>
        </is>
      </c>
    </row>
    <row r="25" ht="124.95" customFormat="1" customHeight="1" s="29">
      <c r="A25" s="49" t="n">
        <v>27</v>
      </c>
      <c r="B25" s="68" t="inlineStr">
        <is>
          <t>CDMX</t>
        </is>
      </c>
      <c r="C25" s="27" t="inlineStr">
        <is>
          <t>XP WH / D&amp;A</t>
        </is>
      </c>
      <c r="D25" s="72" t="inlineStr">
        <is>
          <t>Electroretinógrafo portátil, marca LKC, modelo RETeval</t>
        </is>
      </c>
      <c r="E25" s="73" t="inlineStr">
        <is>
          <t>R002034</t>
        </is>
      </c>
      <c r="F25" s="72" t="inlineStr">
        <is>
          <t>H.M.E.O. Constituyentes</t>
        </is>
      </c>
      <c r="G25" s="50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5" s="51" t="inlineStr">
        <is>
          <t>Servicio</t>
        </is>
      </c>
      <c r="I25" s="52" t="n">
        <v>1</v>
      </c>
      <c r="J25" s="53" t="n">
        <v>2</v>
      </c>
      <c r="K25" s="54" t="inlineStr">
        <is>
          <t>México</t>
        </is>
      </c>
      <c r="L25" s="290" t="n">
        <v>435086.2</v>
      </c>
      <c r="M25" s="291" t="n"/>
      <c r="N25" s="292" t="n">
        <v>420000</v>
      </c>
      <c r="O25" s="292">
        <f>I25*N25</f>
        <v/>
      </c>
      <c r="P25" s="292">
        <f>J25*N25</f>
        <v/>
      </c>
      <c r="Q25" s="292">
        <f>SUM(O25:P25)</f>
        <v/>
      </c>
      <c r="R25" s="292">
        <f>Q25*$R$9</f>
        <v/>
      </c>
      <c r="S25" s="292">
        <f>SUM(Q25:R25)</f>
        <v/>
      </c>
      <c r="T25" s="56" t="inlineStr">
        <is>
          <t>Accesorios: No incluye
Consumibles: No incluye</t>
        </is>
      </c>
      <c r="U25" s="54" t="inlineStr">
        <is>
          <t>Durante la vigencia del contrato</t>
        </is>
      </c>
      <c r="V25" s="57" t="inlineStr">
        <is>
          <t>SI</t>
        </is>
      </c>
      <c r="W25" s="54" t="inlineStr">
        <is>
          <t>OFTALMO</t>
        </is>
      </c>
      <c r="X25" s="66" t="inlineStr">
        <is>
          <t>ARFAMEX</t>
        </is>
      </c>
    </row>
    <row r="26" ht="124.95" customFormat="1" customHeight="1" s="29">
      <c r="A26" s="49" t="n">
        <v>28</v>
      </c>
      <c r="B26" s="68" t="inlineStr">
        <is>
          <t>CDMX</t>
        </is>
      </c>
      <c r="C26" s="27" t="inlineStr">
        <is>
          <t>US</t>
        </is>
      </c>
      <c r="D26" s="72" t="inlineStr">
        <is>
          <t>Electroretinógrafo portátil, marca LKC, modelo RETeval</t>
        </is>
      </c>
      <c r="E26" s="68" t="inlineStr">
        <is>
          <t>R002556</t>
        </is>
      </c>
      <c r="F26" s="69" t="inlineStr">
        <is>
          <t>H.M.E.O. Constituyentes</t>
        </is>
      </c>
      <c r="G26" s="50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6" s="51" t="inlineStr">
        <is>
          <t>Servicio</t>
        </is>
      </c>
      <c r="I26" s="52" t="n">
        <v>1</v>
      </c>
      <c r="J26" s="53" t="n">
        <v>2</v>
      </c>
      <c r="K26" s="54" t="inlineStr">
        <is>
          <t>México</t>
        </is>
      </c>
      <c r="L26" s="290" t="n">
        <v>460000</v>
      </c>
      <c r="M26" s="291" t="n"/>
      <c r="N26" s="292" t="n">
        <v>420000</v>
      </c>
      <c r="O26" s="292">
        <f>I26*N26</f>
        <v/>
      </c>
      <c r="P26" s="292">
        <f>J26*N26</f>
        <v/>
      </c>
      <c r="Q26" s="292">
        <f>SUM(O26:P26)</f>
        <v/>
      </c>
      <c r="R26" s="292">
        <f>Q26*$R$9</f>
        <v/>
      </c>
      <c r="S26" s="292">
        <f>SUM(Q26:R26)</f>
        <v/>
      </c>
      <c r="T26" s="56" t="inlineStr">
        <is>
          <t>Accesorios: No incluye
Consumibles: No incluye</t>
        </is>
      </c>
      <c r="U26" s="54" t="inlineStr">
        <is>
          <t>Durante la vigencia del contrato</t>
        </is>
      </c>
      <c r="V26" s="57" t="inlineStr">
        <is>
          <t>SI</t>
        </is>
      </c>
      <c r="W26" s="54" t="inlineStr">
        <is>
          <t>OFTALMO</t>
        </is>
      </c>
      <c r="X26" s="66" t="inlineStr">
        <is>
          <t>ARFAMEX</t>
        </is>
      </c>
    </row>
    <row r="27" ht="124.95" customFormat="1" customHeight="1" s="29">
      <c r="A27" s="49" t="n">
        <v>29</v>
      </c>
      <c r="B27" s="68" t="inlineStr">
        <is>
          <t>CDMX</t>
        </is>
      </c>
      <c r="C27" s="27" t="inlineStr">
        <is>
          <t>XP RF</t>
        </is>
      </c>
      <c r="D27" s="72" t="inlineStr">
        <is>
          <t>Microscopio confocal, marca Heidelberg Engineering, modelo HRT3 RCM</t>
        </is>
      </c>
      <c r="E27" s="68" t="inlineStr">
        <is>
          <t>HRT3-08313</t>
        </is>
      </c>
      <c r="F27" s="69" t="inlineStr">
        <is>
          <t>H.M.E.O. Constituyentes</t>
        </is>
      </c>
      <c r="G27" s="50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7" s="51" t="inlineStr">
        <is>
          <t>Servicio</t>
        </is>
      </c>
      <c r="I27" s="52" t="n">
        <v>1</v>
      </c>
      <c r="J27" s="53" t="n">
        <v>2</v>
      </c>
      <c r="K27" s="54" t="inlineStr">
        <is>
          <t>México</t>
        </is>
      </c>
      <c r="L27" s="290" t="n">
        <v>151293.11</v>
      </c>
      <c r="M27" s="291" t="n">
        <v>75000</v>
      </c>
      <c r="N27" s="292" t="n">
        <v>150000</v>
      </c>
      <c r="O27" s="292">
        <f>I27*N27</f>
        <v/>
      </c>
      <c r="P27" s="292">
        <f>J27*N27</f>
        <v/>
      </c>
      <c r="Q27" s="292">
        <f>SUM(O27:P27)</f>
        <v/>
      </c>
      <c r="R27" s="292">
        <f>Q27*$R$9</f>
        <v/>
      </c>
      <c r="S27" s="292">
        <f>SUM(Q27:R27)</f>
        <v/>
      </c>
      <c r="T27" s="56" t="inlineStr">
        <is>
          <t>Accesorios: No incluye
Consumibles: No incluye</t>
        </is>
      </c>
      <c r="U27" s="54" t="inlineStr">
        <is>
          <t>Durante la vigencia del contrato</t>
        </is>
      </c>
      <c r="V27" s="57" t="inlineStr">
        <is>
          <t>SI</t>
        </is>
      </c>
      <c r="W27" s="54" t="inlineStr">
        <is>
          <t>OFTALMO</t>
        </is>
      </c>
      <c r="X27" s="66" t="inlineStr">
        <is>
          <t>ARFAMEX</t>
        </is>
      </c>
    </row>
    <row r="28" ht="140.4" customFormat="1" customHeight="1" s="29">
      <c r="A28" s="49" t="n">
        <v>30</v>
      </c>
      <c r="B28" s="68" t="inlineStr">
        <is>
          <t>CDMX</t>
        </is>
      </c>
      <c r="C28" s="27" t="inlineStr">
        <is>
          <t>CT / D&amp;A</t>
        </is>
      </c>
      <c r="D28" s="72" t="inlineStr">
        <is>
          <t>Topógrafo corneal con cámara Scheimpflug, marca Oculus, modelo Pentacam</t>
        </is>
      </c>
      <c r="E28" s="73" t="inlineStr">
        <is>
          <t>7010054522270</t>
        </is>
      </c>
      <c r="F28" s="72" t="inlineStr">
        <is>
          <t>H.M.E.O. Constituyentes</t>
        </is>
      </c>
      <c r="G28" s="50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8" s="51" t="inlineStr">
        <is>
          <t>Servicio</t>
        </is>
      </c>
      <c r="I28" s="52" t="n">
        <v>1</v>
      </c>
      <c r="J28" s="52" t="n">
        <v>2</v>
      </c>
      <c r="K28" s="54" t="inlineStr">
        <is>
          <t>México</t>
        </is>
      </c>
      <c r="L28" s="290" t="n">
        <v>207000</v>
      </c>
      <c r="M28" s="291" t="n">
        <v>50000</v>
      </c>
      <c r="N28" s="292" t="n">
        <v>150000</v>
      </c>
      <c r="O28" s="292">
        <f>I28*N28</f>
        <v/>
      </c>
      <c r="P28" s="292">
        <f>J28*N28</f>
        <v/>
      </c>
      <c r="Q28" s="292">
        <f>SUM(O28:P28)</f>
        <v/>
      </c>
      <c r="R28" s="292">
        <f>Q28*$R$9</f>
        <v/>
      </c>
      <c r="S28" s="292">
        <f>SUM(Q28:R28)</f>
        <v/>
      </c>
      <c r="T28" s="56" t="inlineStr">
        <is>
          <t>Accesorios: No incluye
Consumibles: No incluye</t>
        </is>
      </c>
      <c r="U28" s="54" t="inlineStr">
        <is>
          <t>Durante la vigencia del contrato</t>
        </is>
      </c>
      <c r="V28" s="57" t="inlineStr">
        <is>
          <t>SI</t>
        </is>
      </c>
      <c r="W28" s="54" t="inlineStr">
        <is>
          <t>OFTALMO</t>
        </is>
      </c>
      <c r="X28" s="66" t="inlineStr">
        <is>
          <t>CYAN</t>
        </is>
      </c>
    </row>
    <row r="29" ht="124.95" customFormat="1" customHeight="1" s="29">
      <c r="A29" s="49" t="n">
        <v>31</v>
      </c>
      <c r="B29" s="68" t="inlineStr">
        <is>
          <t>CDMX</t>
        </is>
      </c>
      <c r="C29" s="27" t="inlineStr">
        <is>
          <t>CT</t>
        </is>
      </c>
      <c r="D29" s="72" t="inlineStr">
        <is>
          <t>Ultrasonido, marca Quantel Medical, modelo Absolu</t>
        </is>
      </c>
      <c r="E29" s="68" t="inlineStr">
        <is>
          <t>1131</t>
        </is>
      </c>
      <c r="F29" s="69" t="inlineStr">
        <is>
          <t>H.M.E.O. Constituyentes</t>
        </is>
      </c>
      <c r="G29" s="50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9" s="51" t="inlineStr">
        <is>
          <t>Servicio</t>
        </is>
      </c>
      <c r="I29" s="52" t="n">
        <v>1</v>
      </c>
      <c r="J29" s="52" t="n">
        <v>2</v>
      </c>
      <c r="K29" s="54" t="inlineStr">
        <is>
          <t>México</t>
        </is>
      </c>
      <c r="L29" s="290" t="n">
        <v>225991.38</v>
      </c>
      <c r="M29" s="291" t="n">
        <v>70000</v>
      </c>
      <c r="N29" s="292" t="n">
        <v>200000</v>
      </c>
      <c r="O29" s="292">
        <f>I29*N29</f>
        <v/>
      </c>
      <c r="P29" s="292">
        <f>J29*N29</f>
        <v/>
      </c>
      <c r="Q29" s="292">
        <f>SUM(O29:P29)</f>
        <v/>
      </c>
      <c r="R29" s="292">
        <f>Q29*$R$9</f>
        <v/>
      </c>
      <c r="S29" s="292">
        <f>SUM(Q29:R29)</f>
        <v/>
      </c>
      <c r="T29" s="56" t="inlineStr">
        <is>
          <t>Accesorios: No incluye
Consumibles: No incluye</t>
        </is>
      </c>
      <c r="U29" s="54" t="inlineStr">
        <is>
          <t>Durante la vigencia del contrato</t>
        </is>
      </c>
      <c r="V29" s="57" t="inlineStr">
        <is>
          <t>SI</t>
        </is>
      </c>
      <c r="W29" s="54" t="inlineStr">
        <is>
          <t>OFTALMO</t>
        </is>
      </c>
      <c r="X29" s="66" t="inlineStr">
        <is>
          <t>ARFAMEX</t>
        </is>
      </c>
    </row>
    <row r="30" ht="140.4" customFormat="1" customHeight="1" s="29">
      <c r="A30" s="49" t="n">
        <v>32</v>
      </c>
      <c r="B30" s="68" t="inlineStr">
        <is>
          <t>CDMX</t>
        </is>
      </c>
      <c r="C30" s="27" t="inlineStr">
        <is>
          <t>CT / D&amp;A</t>
        </is>
      </c>
      <c r="D30" s="72" t="inlineStr">
        <is>
          <t>Sistema de fotocoagulación láser con estación de trabajo, marca OD-OS, modelo Navilas</t>
        </is>
      </c>
      <c r="E30" s="73" t="inlineStr">
        <is>
          <t>158000-3215</t>
        </is>
      </c>
      <c r="F30" s="72" t="inlineStr">
        <is>
          <t>H.M.E.O. Constituyentes</t>
        </is>
      </c>
      <c r="G30" s="50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0" s="51" t="inlineStr">
        <is>
          <t>Servicio</t>
        </is>
      </c>
      <c r="I30" s="52" t="n">
        <v>1</v>
      </c>
      <c r="J30" s="52" t="n">
        <v>2</v>
      </c>
      <c r="K30" s="54" t="inlineStr">
        <is>
          <t>México</t>
        </is>
      </c>
      <c r="L30" s="290" t="n">
        <v>363196.5</v>
      </c>
      <c r="M30" s="291" t="n">
        <v>165000</v>
      </c>
      <c r="N30" s="292" t="n">
        <v>330000</v>
      </c>
      <c r="O30" s="292">
        <f>I30*N30</f>
        <v/>
      </c>
      <c r="P30" s="292">
        <f>J30*N30</f>
        <v/>
      </c>
      <c r="Q30" s="292">
        <f>SUM(O30:P30)</f>
        <v/>
      </c>
      <c r="R30" s="292">
        <f>Q30*$R$9</f>
        <v/>
      </c>
      <c r="S30" s="292">
        <f>SUM(Q30:R30)</f>
        <v/>
      </c>
      <c r="T30" s="56" t="inlineStr">
        <is>
          <t>Accesorios: No incluye
Consumibles: No incluye</t>
        </is>
      </c>
      <c r="U30" s="54" t="inlineStr">
        <is>
          <t>Durante la vigencia del contrato</t>
        </is>
      </c>
      <c r="V30" s="57" t="inlineStr">
        <is>
          <t>SI</t>
        </is>
      </c>
      <c r="W30" s="54" t="inlineStr">
        <is>
          <t>OFTALMO</t>
        </is>
      </c>
      <c r="X30" s="66" t="inlineStr">
        <is>
          <t>FARBAC</t>
        </is>
      </c>
    </row>
    <row r="31" ht="124.95" customFormat="1" customHeight="1" s="29">
      <c r="A31" s="49" t="n">
        <v>33</v>
      </c>
      <c r="B31" s="68" t="inlineStr">
        <is>
          <t>CDMX</t>
        </is>
      </c>
      <c r="C31" s="27" t="inlineStr">
        <is>
          <t>XP WH / D&amp;A</t>
        </is>
      </c>
      <c r="D31" s="72" t="inlineStr">
        <is>
          <t>Cámara de campo ultra amplio, marca Natus, modelo RetCam Envision</t>
        </is>
      </c>
      <c r="E31" s="73" t="inlineStr">
        <is>
          <t>RE-0276</t>
        </is>
      </c>
      <c r="F31" s="72" t="inlineStr">
        <is>
          <t>H.M.E.O. Constituyentes</t>
        </is>
      </c>
      <c r="G31" s="50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1" s="51" t="inlineStr">
        <is>
          <t>Servicio</t>
        </is>
      </c>
      <c r="I31" s="52" t="n">
        <v>1</v>
      </c>
      <c r="J31" s="52" t="n">
        <v>2</v>
      </c>
      <c r="K31" s="54" t="inlineStr">
        <is>
          <t>México</t>
        </is>
      </c>
      <c r="L31" s="290" t="n">
        <v>150948.27</v>
      </c>
      <c r="M31" s="291" t="n"/>
      <c r="N31" s="292" t="n">
        <v>145000</v>
      </c>
      <c r="O31" s="292">
        <f>I31*N31</f>
        <v/>
      </c>
      <c r="P31" s="292">
        <f>J31*N31</f>
        <v/>
      </c>
      <c r="Q31" s="292">
        <f>SUM(O31:P31)</f>
        <v/>
      </c>
      <c r="R31" s="292">
        <f>Q31*$R$9</f>
        <v/>
      </c>
      <c r="S31" s="292">
        <f>SUM(Q31:R31)</f>
        <v/>
      </c>
      <c r="T31" s="56" t="inlineStr">
        <is>
          <t>Accesorios: No incluye
Consumibles: No incluye</t>
        </is>
      </c>
      <c r="U31" s="54" t="inlineStr">
        <is>
          <t>Durante la vigencia del contrato</t>
        </is>
      </c>
      <c r="V31" s="57" t="inlineStr">
        <is>
          <t>SI</t>
        </is>
      </c>
      <c r="W31" s="54" t="inlineStr">
        <is>
          <t>OFTALMO</t>
        </is>
      </c>
      <c r="X31" s="66" t="inlineStr">
        <is>
          <t>ARFAMEX</t>
        </is>
      </c>
    </row>
    <row r="32" ht="124.95" customFormat="1" customHeight="1" s="29">
      <c r="A32" s="49" t="n">
        <v>34</v>
      </c>
      <c r="B32" s="68" t="inlineStr">
        <is>
          <t>CDMX</t>
        </is>
      </c>
      <c r="C32" s="27" t="inlineStr">
        <is>
          <t>CT / D&amp;A</t>
        </is>
      </c>
      <c r="D32" s="72" t="inlineStr">
        <is>
          <t>Láser, marca Quantel Medical, modelo Vitra 810</t>
        </is>
      </c>
      <c r="E32" s="73" t="inlineStr">
        <is>
          <t>574</t>
        </is>
      </c>
      <c r="F32" s="72" t="inlineStr">
        <is>
          <t>H.M.E.O. Constituyentes</t>
        </is>
      </c>
      <c r="G32" s="50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2" s="51" t="inlineStr">
        <is>
          <t>Servicio</t>
        </is>
      </c>
      <c r="I32" s="52" t="n">
        <v>1</v>
      </c>
      <c r="J32" s="52" t="n">
        <v>2</v>
      </c>
      <c r="K32" s="54" t="inlineStr">
        <is>
          <t>México</t>
        </is>
      </c>
      <c r="L32" s="290" t="n">
        <v>272460</v>
      </c>
      <c r="M32" s="291" t="n">
        <v>60000</v>
      </c>
      <c r="N32" s="292" t="n">
        <v>175000</v>
      </c>
      <c r="O32" s="292">
        <f>I32*N32</f>
        <v/>
      </c>
      <c r="P32" s="292">
        <f>J32*N32</f>
        <v/>
      </c>
      <c r="Q32" s="292">
        <f>SUM(O32:P32)</f>
        <v/>
      </c>
      <c r="R32" s="292">
        <f>Q32*$R$9</f>
        <v/>
      </c>
      <c r="S32" s="292">
        <f>SUM(Q32:R32)</f>
        <v/>
      </c>
      <c r="T32" s="56" t="inlineStr">
        <is>
          <t>Accesorios: No incluye
Consumibles: No incluye</t>
        </is>
      </c>
      <c r="U32" s="54" t="inlineStr">
        <is>
          <t>Durante la vigencia del contrato</t>
        </is>
      </c>
      <c r="V32" s="57" t="inlineStr">
        <is>
          <t>SI</t>
        </is>
      </c>
      <c r="W32" s="54" t="inlineStr">
        <is>
          <t>OFTALMO</t>
        </is>
      </c>
      <c r="X32" s="66" t="inlineStr">
        <is>
          <t>ARFAMEX</t>
        </is>
      </c>
    </row>
    <row r="33" ht="124.95" customFormat="1" customHeight="1" s="29">
      <c r="A33" s="49" t="n">
        <v>35</v>
      </c>
      <c r="B33" s="68" t="inlineStr">
        <is>
          <t>CDMX</t>
        </is>
      </c>
      <c r="C33" s="27" t="inlineStr">
        <is>
          <t>CT / D&amp;A</t>
        </is>
      </c>
      <c r="D33" s="72" t="inlineStr">
        <is>
          <t>Láser, marca Quantel Medical, modelo Vitra 811</t>
        </is>
      </c>
      <c r="E33" s="73" t="inlineStr">
        <is>
          <t>575</t>
        </is>
      </c>
      <c r="F33" s="72" t="inlineStr">
        <is>
          <t>H.M.E.O. Constituyentes</t>
        </is>
      </c>
      <c r="G33" s="50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3" s="51" t="inlineStr">
        <is>
          <t>Servicio</t>
        </is>
      </c>
      <c r="I33" s="52" t="n">
        <v>1</v>
      </c>
      <c r="J33" s="52" t="n">
        <v>2</v>
      </c>
      <c r="K33" s="54" t="inlineStr">
        <is>
          <t>México</t>
        </is>
      </c>
      <c r="L33" s="290" t="n">
        <v>264880</v>
      </c>
      <c r="M33" s="291" t="n">
        <v>60000</v>
      </c>
      <c r="N33" s="292" t="n">
        <v>175000</v>
      </c>
      <c r="O33" s="292">
        <f>I33*N33</f>
        <v/>
      </c>
      <c r="P33" s="292">
        <f>J33*N33</f>
        <v/>
      </c>
      <c r="Q33" s="292">
        <f>SUM(O33:P33)</f>
        <v/>
      </c>
      <c r="R33" s="292">
        <f>Q33*$R$9</f>
        <v/>
      </c>
      <c r="S33" s="292">
        <f>SUM(Q33:R33)</f>
        <v/>
      </c>
      <c r="T33" s="56" t="inlineStr">
        <is>
          <t>Accesorios: No incluye
Consumibles: No incluye</t>
        </is>
      </c>
      <c r="U33" s="54" t="inlineStr">
        <is>
          <t>Durante la vigencia del contrato</t>
        </is>
      </c>
      <c r="V33" s="57" t="inlineStr">
        <is>
          <t>SI</t>
        </is>
      </c>
      <c r="W33" s="54" t="inlineStr">
        <is>
          <t>OFTALMO</t>
        </is>
      </c>
      <c r="X33" s="66" t="inlineStr">
        <is>
          <t>ARFAMEX</t>
        </is>
      </c>
    </row>
    <row r="34" ht="124.95" customFormat="1" customHeight="1" s="29">
      <c r="A34" s="49" t="n">
        <v>36</v>
      </c>
      <c r="B34" s="68" t="inlineStr">
        <is>
          <t>CDMX</t>
        </is>
      </c>
      <c r="C34" s="27" t="inlineStr">
        <is>
          <t>CT / D&amp;A</t>
        </is>
      </c>
      <c r="D34" s="72" t="inlineStr">
        <is>
          <t>Ultrasonido terapéutico, marca Eye Tech Care, modelo UCP Flex</t>
        </is>
      </c>
      <c r="E34" s="73" t="inlineStr">
        <is>
          <t>19/015</t>
        </is>
      </c>
      <c r="F34" s="72" t="inlineStr">
        <is>
          <t>H.M.E.O. Constituyentes</t>
        </is>
      </c>
      <c r="G34" s="50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4" s="51" t="inlineStr">
        <is>
          <t>Servicio</t>
        </is>
      </c>
      <c r="I34" s="52" t="n">
        <v>1</v>
      </c>
      <c r="J34" s="52" t="n">
        <v>2</v>
      </c>
      <c r="K34" s="54" t="inlineStr">
        <is>
          <t>México</t>
        </is>
      </c>
      <c r="L34" s="290" t="n">
        <v>235000</v>
      </c>
      <c r="M34" s="291" t="n"/>
      <c r="N34" s="292" t="n">
        <v>220000</v>
      </c>
      <c r="O34" s="292">
        <f>I34*N34</f>
        <v/>
      </c>
      <c r="P34" s="292">
        <f>J34*N34</f>
        <v/>
      </c>
      <c r="Q34" s="292">
        <f>SUM(O34:P34)</f>
        <v/>
      </c>
      <c r="R34" s="292">
        <f>Q34*$R$9</f>
        <v/>
      </c>
      <c r="S34" s="292">
        <f>SUM(Q34:R34)</f>
        <v/>
      </c>
      <c r="T34" s="56" t="inlineStr">
        <is>
          <t>Accesorios: No incluye
Consumibles: No incluye</t>
        </is>
      </c>
      <c r="U34" s="54" t="inlineStr">
        <is>
          <t>Durante la vigencia del contrato</t>
        </is>
      </c>
      <c r="V34" s="57" t="inlineStr">
        <is>
          <t>SI</t>
        </is>
      </c>
      <c r="W34" s="54" t="inlineStr">
        <is>
          <t>OFTALMO</t>
        </is>
      </c>
      <c r="X34" s="66" t="inlineStr">
        <is>
          <t>EYCCO</t>
        </is>
      </c>
    </row>
    <row r="35" ht="124.95" customFormat="1" customHeight="1" s="29">
      <c r="A35" s="49" t="n">
        <v>37</v>
      </c>
      <c r="B35" s="68" t="inlineStr">
        <is>
          <t>CDMX</t>
        </is>
      </c>
      <c r="C35" s="27" t="inlineStr">
        <is>
          <t>AXA</t>
        </is>
      </c>
      <c r="D35" s="72" t="inlineStr">
        <is>
          <t>Ultrasonido terapéutico, marca Eye Tech Care, modelo UCP Flex</t>
        </is>
      </c>
      <c r="E35" s="68" t="inlineStr">
        <is>
          <t>20/016</t>
        </is>
      </c>
      <c r="F35" s="69" t="inlineStr">
        <is>
          <t>H.M.E.O. Constituyentes</t>
        </is>
      </c>
      <c r="G35" s="50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5" s="51" t="inlineStr">
        <is>
          <t>Servicio</t>
        </is>
      </c>
      <c r="I35" s="52" t="n">
        <v>1</v>
      </c>
      <c r="J35" s="52" t="n">
        <v>2</v>
      </c>
      <c r="K35" s="54" t="inlineStr">
        <is>
          <t>México</t>
        </is>
      </c>
      <c r="L35" s="290" t="n">
        <v>235000</v>
      </c>
      <c r="M35" s="291" t="n"/>
      <c r="N35" s="292" t="n">
        <v>220000</v>
      </c>
      <c r="O35" s="292">
        <f>I35*N35</f>
        <v/>
      </c>
      <c r="P35" s="292">
        <f>J35*N35</f>
        <v/>
      </c>
      <c r="Q35" s="292">
        <f>SUM(O35:P35)</f>
        <v/>
      </c>
      <c r="R35" s="292">
        <f>Q35*$R$9</f>
        <v/>
      </c>
      <c r="S35" s="292">
        <f>SUM(Q35:R35)</f>
        <v/>
      </c>
      <c r="T35" s="56" t="inlineStr">
        <is>
          <t>Accesorios: No incluye
Consumibles: No incluye</t>
        </is>
      </c>
      <c r="U35" s="54" t="inlineStr">
        <is>
          <t>Durante la vigencia del contrato</t>
        </is>
      </c>
      <c r="V35" s="57" t="inlineStr">
        <is>
          <t>SI</t>
        </is>
      </c>
      <c r="W35" s="54" t="inlineStr">
        <is>
          <t>OFTALMO</t>
        </is>
      </c>
      <c r="X35" s="66" t="inlineStr">
        <is>
          <t>EYCCO</t>
        </is>
      </c>
    </row>
    <row r="36" ht="140.4" customFormat="1" customHeight="1" s="29">
      <c r="A36" s="49" t="n">
        <v>38</v>
      </c>
      <c r="B36" s="68" t="inlineStr">
        <is>
          <t>CDMX</t>
        </is>
      </c>
      <c r="C36" s="27" t="inlineStr">
        <is>
          <t>CT</t>
        </is>
      </c>
      <c r="D36" s="72" t="inlineStr">
        <is>
          <t>Retinógrafo portátil de campo amplio para neonatos, marca Visunex Medical Systems, modelo PanoCam</t>
        </is>
      </c>
      <c r="E36" s="68" t="inlineStr">
        <is>
          <t>A237402</t>
        </is>
      </c>
      <c r="F36" s="69" t="inlineStr">
        <is>
          <t>H.M.E.O. Constituyentes</t>
        </is>
      </c>
      <c r="G36" s="50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6" s="51" t="inlineStr">
        <is>
          <t>Servicio</t>
        </is>
      </c>
      <c r="I36" s="52" t="n">
        <v>1</v>
      </c>
      <c r="J36" s="53" t="n">
        <v>2</v>
      </c>
      <c r="K36" s="54" t="inlineStr">
        <is>
          <t>México</t>
        </is>
      </c>
      <c r="L36" s="290" t="n">
        <v>145000</v>
      </c>
      <c r="M36" s="291" t="n"/>
      <c r="N36" s="292" t="n">
        <v>140000</v>
      </c>
      <c r="O36" s="292">
        <f>I36*N36</f>
        <v/>
      </c>
      <c r="P36" s="292">
        <f>J36*N36</f>
        <v/>
      </c>
      <c r="Q36" s="292">
        <f>SUM(O36:P36)</f>
        <v/>
      </c>
      <c r="R36" s="292">
        <f>Q36*$R$9</f>
        <v/>
      </c>
      <c r="S36" s="292">
        <f>SUM(Q36:R36)</f>
        <v/>
      </c>
      <c r="T36" s="56" t="inlineStr">
        <is>
          <t>Accesorios: No incluye
Consumibles: No incluye</t>
        </is>
      </c>
      <c r="U36" s="54" t="inlineStr">
        <is>
          <t>Durante la vigencia del contrato</t>
        </is>
      </c>
      <c r="V36" s="57" t="inlineStr">
        <is>
          <t>SI</t>
        </is>
      </c>
      <c r="W36" s="54" t="inlineStr">
        <is>
          <t>OFTALMO</t>
        </is>
      </c>
      <c r="X36" s="66" t="inlineStr">
        <is>
          <t>MD</t>
        </is>
      </c>
    </row>
    <row r="37" ht="140.4" customFormat="1" customHeight="1" s="29">
      <c r="A37" s="49" t="n">
        <v>39</v>
      </c>
      <c r="B37" s="68" t="inlineStr">
        <is>
          <t>CDMX</t>
        </is>
      </c>
      <c r="C37" s="27" t="inlineStr">
        <is>
          <t>XP WH / D&amp;A</t>
        </is>
      </c>
      <c r="D37" s="72" t="inlineStr">
        <is>
          <t>Retinógrafo portátil de campo amplio para neonatos, marca Visunex Medical Systems, modelo PanoCam</t>
        </is>
      </c>
      <c r="E37" s="73" t="inlineStr">
        <is>
          <t>A237403</t>
        </is>
      </c>
      <c r="F37" s="72" t="inlineStr">
        <is>
          <t>H.M.E.O. Constituyentes</t>
        </is>
      </c>
      <c r="G37" s="50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7" s="51" t="inlineStr">
        <is>
          <t>Servicio</t>
        </is>
      </c>
      <c r="I37" s="52" t="n">
        <v>1</v>
      </c>
      <c r="J37" s="53" t="n">
        <v>2</v>
      </c>
      <c r="K37" s="54" t="inlineStr">
        <is>
          <t>México</t>
        </is>
      </c>
      <c r="L37" s="290" t="n">
        <v>145000</v>
      </c>
      <c r="M37" s="291" t="n"/>
      <c r="N37" s="292" t="n">
        <v>140000</v>
      </c>
      <c r="O37" s="292">
        <f>I37*N37</f>
        <v/>
      </c>
      <c r="P37" s="292">
        <f>J37*N37</f>
        <v/>
      </c>
      <c r="Q37" s="292">
        <f>SUM(O37:P37)</f>
        <v/>
      </c>
      <c r="R37" s="292">
        <f>Q37*$R$9</f>
        <v/>
      </c>
      <c r="S37" s="292">
        <f>SUM(Q37:R37)</f>
        <v/>
      </c>
      <c r="T37" s="56" t="inlineStr">
        <is>
          <t>Accesorios: No incluye
Consumibles: No incluye</t>
        </is>
      </c>
      <c r="U37" s="54" t="inlineStr">
        <is>
          <t>Durante la vigencia del contrato</t>
        </is>
      </c>
      <c r="V37" s="57" t="inlineStr">
        <is>
          <t>SI</t>
        </is>
      </c>
      <c r="W37" s="54" t="inlineStr">
        <is>
          <t>OFTALMO</t>
        </is>
      </c>
      <c r="X37" s="66" t="inlineStr">
        <is>
          <t>MD</t>
        </is>
      </c>
    </row>
    <row r="38" ht="140.4" customFormat="1" customHeight="1" s="29">
      <c r="A38" s="49" t="n">
        <v>40</v>
      </c>
      <c r="B38" s="68" t="inlineStr">
        <is>
          <t>CDMX</t>
        </is>
      </c>
      <c r="C38" s="27" t="inlineStr">
        <is>
          <t>CT / D&amp;A</t>
        </is>
      </c>
      <c r="D38" s="72" t="inlineStr">
        <is>
          <t>Retinógrafo portátil de campo amplio para neonatos, marca Visunex Medical Systems, modelo PanoCam</t>
        </is>
      </c>
      <c r="E38" s="73" t="inlineStr">
        <is>
          <t>A237401</t>
        </is>
      </c>
      <c r="F38" s="72" t="inlineStr">
        <is>
          <t>H.M.E.O. Constituyentes</t>
        </is>
      </c>
      <c r="G38" s="50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8" s="51" t="inlineStr">
        <is>
          <t>Servicio</t>
        </is>
      </c>
      <c r="I38" s="52" t="n">
        <v>1</v>
      </c>
      <c r="J38" s="53" t="n">
        <v>2</v>
      </c>
      <c r="K38" s="54" t="inlineStr">
        <is>
          <t>México</t>
        </is>
      </c>
      <c r="L38" s="290" t="n">
        <v>145000</v>
      </c>
      <c r="M38" s="291" t="n"/>
      <c r="N38" s="292" t="n">
        <v>140000</v>
      </c>
      <c r="O38" s="292">
        <f>I38*N38</f>
        <v/>
      </c>
      <c r="P38" s="292">
        <f>J38*N38</f>
        <v/>
      </c>
      <c r="Q38" s="292">
        <f>SUM(O38:P38)</f>
        <v/>
      </c>
      <c r="R38" s="292">
        <f>Q38*$R$9</f>
        <v/>
      </c>
      <c r="S38" s="292">
        <f>SUM(Q38:R38)</f>
        <v/>
      </c>
      <c r="T38" s="56" t="inlineStr">
        <is>
          <t>Accesorios: No incluye
Consumibles: No incluye</t>
        </is>
      </c>
      <c r="U38" s="54" t="inlineStr">
        <is>
          <t>Durante la vigencia del contrato</t>
        </is>
      </c>
      <c r="V38" s="57" t="inlineStr">
        <is>
          <t>SI</t>
        </is>
      </c>
      <c r="W38" s="54" t="inlineStr">
        <is>
          <t>OFTALMO</t>
        </is>
      </c>
      <c r="X38" s="66" t="inlineStr">
        <is>
          <t>MD</t>
        </is>
      </c>
    </row>
    <row r="39" ht="124.95" customFormat="1" customHeight="1" s="29">
      <c r="A39" s="49" t="n">
        <v>41</v>
      </c>
      <c r="B39" s="68" t="inlineStr">
        <is>
          <t>CDMX</t>
        </is>
      </c>
      <c r="C39" s="27" t="inlineStr">
        <is>
          <t>CT / D&amp;A</t>
        </is>
      </c>
      <c r="D39" s="72" t="inlineStr">
        <is>
          <t>Microscopio especular, marca TOMEY, modelo EM-4000</t>
        </is>
      </c>
      <c r="E39" s="73" t="inlineStr">
        <is>
          <t>354304</t>
        </is>
      </c>
      <c r="F39" s="72" t="inlineStr">
        <is>
          <t>H.M.E.O. Constituyentes</t>
        </is>
      </c>
      <c r="G39" s="50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9" s="51" t="inlineStr">
        <is>
          <t>Servicio</t>
        </is>
      </c>
      <c r="I39" s="52" t="n">
        <v>1</v>
      </c>
      <c r="J39" s="53" t="n">
        <v>2</v>
      </c>
      <c r="K39" s="54" t="inlineStr">
        <is>
          <t>México</t>
        </is>
      </c>
      <c r="L39" s="290" t="n">
        <v>153038.8</v>
      </c>
      <c r="M39" s="291" t="n">
        <v>55000</v>
      </c>
      <c r="N39" s="292" t="n">
        <v>125000</v>
      </c>
      <c r="O39" s="292">
        <f>I39*N39</f>
        <v/>
      </c>
      <c r="P39" s="292">
        <f>J39*N39</f>
        <v/>
      </c>
      <c r="Q39" s="292">
        <f>SUM(O39:P39)</f>
        <v/>
      </c>
      <c r="R39" s="292">
        <f>Q39*$R$9</f>
        <v/>
      </c>
      <c r="S39" s="292">
        <f>SUM(Q39:R39)</f>
        <v/>
      </c>
      <c r="T39" s="56" t="inlineStr">
        <is>
          <t>Accesorios: No incluye
Consumibles: No incluye</t>
        </is>
      </c>
      <c r="U39" s="54" t="inlineStr">
        <is>
          <t>Durante la vigencia del contrato</t>
        </is>
      </c>
      <c r="V39" s="57" t="inlineStr">
        <is>
          <t>SI</t>
        </is>
      </c>
      <c r="W39" s="54" t="inlineStr">
        <is>
          <t>OFTALMO</t>
        </is>
      </c>
      <c r="X39" s="66" t="inlineStr">
        <is>
          <t xml:space="preserve">ALDAI </t>
        </is>
      </c>
    </row>
    <row r="40" ht="124.95" customFormat="1" customHeight="1" s="29">
      <c r="A40" s="49" t="n">
        <v>42</v>
      </c>
      <c r="B40" s="68" t="inlineStr">
        <is>
          <t>CDMX</t>
        </is>
      </c>
      <c r="C40" s="27" t="inlineStr">
        <is>
          <t>CT / D&amp;A</t>
        </is>
      </c>
      <c r="D40" s="72" t="inlineStr">
        <is>
          <t>Microscopio especular, marca TOMEY, modelo EM-4001</t>
        </is>
      </c>
      <c r="E40" s="73" t="inlineStr">
        <is>
          <t>349103</t>
        </is>
      </c>
      <c r="F40" s="72" t="inlineStr">
        <is>
          <t>H.M.E.O. Constituyentes</t>
        </is>
      </c>
      <c r="G40" s="50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0" s="51" t="inlineStr">
        <is>
          <t>Servicio</t>
        </is>
      </c>
      <c r="I40" s="52" t="n">
        <v>1</v>
      </c>
      <c r="J40" s="53" t="n">
        <v>2</v>
      </c>
      <c r="K40" s="54" t="inlineStr">
        <is>
          <t>México</t>
        </is>
      </c>
      <c r="L40" s="290" t="n">
        <v>149700</v>
      </c>
      <c r="M40" s="291" t="n">
        <v>55000</v>
      </c>
      <c r="N40" s="292" t="n">
        <v>125000</v>
      </c>
      <c r="O40" s="292">
        <f>I40*N40</f>
        <v/>
      </c>
      <c r="P40" s="292">
        <f>J40*N40</f>
        <v/>
      </c>
      <c r="Q40" s="292">
        <f>SUM(O40:P40)</f>
        <v/>
      </c>
      <c r="R40" s="292">
        <f>Q40*$R$9</f>
        <v/>
      </c>
      <c r="S40" s="292">
        <f>SUM(Q40:R40)</f>
        <v/>
      </c>
      <c r="T40" s="56" t="inlineStr">
        <is>
          <t>Accesorios: No incluye
Consumibles: No incluye</t>
        </is>
      </c>
      <c r="U40" s="54" t="inlineStr">
        <is>
          <t>Durante la vigencia del contrato</t>
        </is>
      </c>
      <c r="V40" s="57" t="inlineStr">
        <is>
          <t>SI</t>
        </is>
      </c>
      <c r="W40" s="54" t="inlineStr">
        <is>
          <t>OFTALMO</t>
        </is>
      </c>
      <c r="X40" s="66" t="inlineStr">
        <is>
          <t xml:space="preserve">ALDAI </t>
        </is>
      </c>
    </row>
    <row r="41" ht="124.95" customFormat="1" customHeight="1" s="29">
      <c r="A41" s="49" t="n">
        <v>43</v>
      </c>
      <c r="B41" s="68" t="inlineStr">
        <is>
          <t>CDMX</t>
        </is>
      </c>
      <c r="C41" s="27" t="inlineStr">
        <is>
          <t>CT</t>
        </is>
      </c>
      <c r="D41" s="72" t="inlineStr">
        <is>
          <t>Ultrasonido modo A-B, marca TOMEY, modelo UD-800</t>
        </is>
      </c>
      <c r="E41" s="68" t="inlineStr">
        <is>
          <t>366702</t>
        </is>
      </c>
      <c r="F41" s="69" t="inlineStr">
        <is>
          <t>H.M.E.O. Constituyentes</t>
        </is>
      </c>
      <c r="G41" s="50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1" s="51" t="inlineStr">
        <is>
          <t>Servicio</t>
        </is>
      </c>
      <c r="I41" s="52" t="n">
        <v>1</v>
      </c>
      <c r="J41" s="52" t="n">
        <v>2</v>
      </c>
      <c r="K41" s="54" t="inlineStr">
        <is>
          <t>México</t>
        </is>
      </c>
      <c r="L41" s="290" t="n">
        <v>218300</v>
      </c>
      <c r="M41" s="291" t="n">
        <v>50000</v>
      </c>
      <c r="N41" s="292" t="n">
        <v>150000</v>
      </c>
      <c r="O41" s="292">
        <f>I41*N41</f>
        <v/>
      </c>
      <c r="P41" s="292">
        <f>J41*N41</f>
        <v/>
      </c>
      <c r="Q41" s="292">
        <f>SUM(O41:P41)</f>
        <v/>
      </c>
      <c r="R41" s="292">
        <f>Q41*$R$9</f>
        <v/>
      </c>
      <c r="S41" s="292">
        <f>SUM(Q41:R41)</f>
        <v/>
      </c>
      <c r="T41" s="56" t="inlineStr">
        <is>
          <t>Accesorios: No incluye
Consumibles: No incluye</t>
        </is>
      </c>
      <c r="U41" s="54" t="inlineStr">
        <is>
          <t>Durante la vigencia del contrato</t>
        </is>
      </c>
      <c r="V41" s="57" t="inlineStr">
        <is>
          <t>SI</t>
        </is>
      </c>
      <c r="W41" s="54" t="inlineStr">
        <is>
          <t>OFTALMO</t>
        </is>
      </c>
      <c r="X41" s="66" t="inlineStr">
        <is>
          <t xml:space="preserve">ALDAI </t>
        </is>
      </c>
    </row>
    <row r="42" ht="124.95" customFormat="1" customHeight="1" s="29">
      <c r="A42" s="49" t="n">
        <v>44</v>
      </c>
      <c r="B42" s="68" t="inlineStr">
        <is>
          <t>CDMX</t>
        </is>
      </c>
      <c r="C42" s="27" t="inlineStr">
        <is>
          <t>XP WH / D&amp;A</t>
        </is>
      </c>
      <c r="D42" s="72" t="inlineStr">
        <is>
          <t>Ultrasonido modo A-B, marca TOMEY, modelo UD-801</t>
        </is>
      </c>
      <c r="E42" s="73" t="inlineStr">
        <is>
          <t>372404</t>
        </is>
      </c>
      <c r="F42" s="72" t="inlineStr">
        <is>
          <t>H.M.E.O. Constituyentes</t>
        </is>
      </c>
      <c r="G42" s="50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2" s="51" t="inlineStr">
        <is>
          <t>Servicio</t>
        </is>
      </c>
      <c r="I42" s="52" t="n">
        <v>1</v>
      </c>
      <c r="J42" s="52" t="n">
        <v>2</v>
      </c>
      <c r="K42" s="54" t="inlineStr">
        <is>
          <t>México</t>
        </is>
      </c>
      <c r="L42" s="290" t="n">
        <v>215431.04</v>
      </c>
      <c r="M42" s="291" t="n">
        <v>50000</v>
      </c>
      <c r="N42" s="292" t="n">
        <v>150000</v>
      </c>
      <c r="O42" s="292">
        <f>I42*N42</f>
        <v/>
      </c>
      <c r="P42" s="292">
        <f>J42*N42</f>
        <v/>
      </c>
      <c r="Q42" s="292">
        <f>SUM(O42:P42)</f>
        <v/>
      </c>
      <c r="R42" s="292">
        <f>Q42*$R$9</f>
        <v/>
      </c>
      <c r="S42" s="292">
        <f>SUM(Q42:R42)</f>
        <v/>
      </c>
      <c r="T42" s="56" t="inlineStr">
        <is>
          <t>Accesorios: No incluye
Consumibles: No incluye</t>
        </is>
      </c>
      <c r="U42" s="54" t="inlineStr">
        <is>
          <t>Durante la vigencia del contrato</t>
        </is>
      </c>
      <c r="V42" s="57" t="inlineStr">
        <is>
          <t>SI</t>
        </is>
      </c>
      <c r="W42" s="54" t="inlineStr">
        <is>
          <t>OFTALMO</t>
        </is>
      </c>
      <c r="X42" s="66" t="inlineStr">
        <is>
          <t xml:space="preserve">ALDAI </t>
        </is>
      </c>
    </row>
    <row r="43" ht="124.95" customFormat="1" customHeight="1" s="29">
      <c r="A43" s="49" t="n">
        <v>45</v>
      </c>
      <c r="B43" s="68" t="inlineStr">
        <is>
          <t>CDMX</t>
        </is>
      </c>
      <c r="C43" s="27" t="inlineStr">
        <is>
          <t>CT</t>
        </is>
      </c>
      <c r="D43" s="72" t="inlineStr">
        <is>
          <t>Autorrefractómetro, marca SUOER, modelo Ocular Screening SW-800</t>
        </is>
      </c>
      <c r="E43" s="68" t="inlineStr">
        <is>
          <t>BC0013GY1C</t>
        </is>
      </c>
      <c r="F43" s="69" t="inlineStr">
        <is>
          <t>H.M.E.O. Constituyentes</t>
        </is>
      </c>
      <c r="G43" s="50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3" s="51" t="inlineStr">
        <is>
          <t>Servicio</t>
        </is>
      </c>
      <c r="I43" s="52" t="n">
        <v>1</v>
      </c>
      <c r="J43" s="53" t="n">
        <v>2</v>
      </c>
      <c r="K43" s="54" t="inlineStr">
        <is>
          <t>México</t>
        </is>
      </c>
      <c r="L43" s="290" t="n">
        <v>170925</v>
      </c>
      <c r="M43" s="291" t="n"/>
      <c r="N43" s="292" t="n">
        <v>150000</v>
      </c>
      <c r="O43" s="292">
        <f>I43*N43</f>
        <v/>
      </c>
      <c r="P43" s="292">
        <f>J43*N43</f>
        <v/>
      </c>
      <c r="Q43" s="292">
        <f>SUM(O43:P43)</f>
        <v/>
      </c>
      <c r="R43" s="292">
        <f>Q43*$R$9</f>
        <v/>
      </c>
      <c r="S43" s="292">
        <f>SUM(Q43:R43)</f>
        <v/>
      </c>
      <c r="T43" s="56" t="inlineStr">
        <is>
          <t>Accesorios: No incluye
Consumibles: No incluye</t>
        </is>
      </c>
      <c r="U43" s="54" t="inlineStr">
        <is>
          <t>Durante la vigencia del contrato</t>
        </is>
      </c>
      <c r="V43" s="57" t="inlineStr">
        <is>
          <t>SI</t>
        </is>
      </c>
      <c r="W43" s="54" t="inlineStr">
        <is>
          <t>OFTALMO</t>
        </is>
      </c>
      <c r="X43" s="66" t="inlineStr">
        <is>
          <t>MD</t>
        </is>
      </c>
    </row>
    <row r="44" ht="124.95" customFormat="1" customHeight="1" s="29">
      <c r="A44" s="49" t="n">
        <v>46</v>
      </c>
      <c r="B44" s="68" t="inlineStr">
        <is>
          <t>CDMX</t>
        </is>
      </c>
      <c r="C44" s="27" t="inlineStr">
        <is>
          <t>CT / D&amp;A</t>
        </is>
      </c>
      <c r="D44" s="72" t="inlineStr">
        <is>
          <t>Autorrefractómetro, marca SUOER, modelo Ocular Screening SW-800</t>
        </is>
      </c>
      <c r="E44" s="73" t="inlineStr">
        <is>
          <t>BC0007GY1C</t>
        </is>
      </c>
      <c r="F44" s="72" t="inlineStr">
        <is>
          <t>H.M.E.O. Constituyentes</t>
        </is>
      </c>
      <c r="G44" s="50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4" s="51" t="inlineStr">
        <is>
          <t>Servicio</t>
        </is>
      </c>
      <c r="I44" s="52" t="n">
        <v>1</v>
      </c>
      <c r="J44" s="53" t="n">
        <v>2</v>
      </c>
      <c r="K44" s="54" t="inlineStr">
        <is>
          <t>México</t>
        </is>
      </c>
      <c r="L44" s="290" t="n">
        <v>182350</v>
      </c>
      <c r="M44" s="291" t="n"/>
      <c r="N44" s="292" t="n">
        <v>150000</v>
      </c>
      <c r="O44" s="292">
        <f>I44*N44</f>
        <v/>
      </c>
      <c r="P44" s="292">
        <f>J44*N44</f>
        <v/>
      </c>
      <c r="Q44" s="292">
        <f>SUM(O44:P44)</f>
        <v/>
      </c>
      <c r="R44" s="292">
        <f>Q44*$R$9</f>
        <v/>
      </c>
      <c r="S44" s="292">
        <f>SUM(Q44:R44)</f>
        <v/>
      </c>
      <c r="T44" s="56" t="inlineStr">
        <is>
          <t>Accesorios: No incluye
Consumibles: No incluye</t>
        </is>
      </c>
      <c r="U44" s="54" t="inlineStr">
        <is>
          <t>Durante la vigencia del contrato</t>
        </is>
      </c>
      <c r="V44" s="57" t="inlineStr">
        <is>
          <t>SI</t>
        </is>
      </c>
      <c r="W44" s="54" t="inlineStr">
        <is>
          <t>OFTALMO</t>
        </is>
      </c>
      <c r="X44" s="66" t="inlineStr">
        <is>
          <t>MD</t>
        </is>
      </c>
    </row>
    <row r="45" ht="124.95" customFormat="1" customHeight="1" s="29">
      <c r="A45" s="49" t="n">
        <v>47</v>
      </c>
      <c r="B45" s="68" t="inlineStr">
        <is>
          <t>CDMX</t>
        </is>
      </c>
      <c r="C45" s="27" t="inlineStr">
        <is>
          <t>AXA</t>
        </is>
      </c>
      <c r="D45" s="72" t="inlineStr">
        <is>
          <t>Autorrefractómetro, marca SUOER, modelo Ocular Screening SW-800</t>
        </is>
      </c>
      <c r="E45" s="68" t="inlineStr">
        <is>
          <t>BB0042GY1C</t>
        </is>
      </c>
      <c r="F45" s="69" t="inlineStr">
        <is>
          <t>H.M.E.O. Constituyentes</t>
        </is>
      </c>
      <c r="G45" s="50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5" s="51" t="inlineStr">
        <is>
          <t>Servicio</t>
        </is>
      </c>
      <c r="I45" s="52" t="n">
        <v>1</v>
      </c>
      <c r="J45" s="53" t="n">
        <v>2</v>
      </c>
      <c r="K45" s="54" t="inlineStr">
        <is>
          <t>México</t>
        </is>
      </c>
      <c r="L45" s="290" t="n">
        <v>183135.77</v>
      </c>
      <c r="M45" s="291" t="n"/>
      <c r="N45" s="292" t="n">
        <v>150000</v>
      </c>
      <c r="O45" s="292">
        <f>I45*N45</f>
        <v/>
      </c>
      <c r="P45" s="292">
        <f>J45*N45</f>
        <v/>
      </c>
      <c r="Q45" s="292">
        <f>SUM(O45:P45)</f>
        <v/>
      </c>
      <c r="R45" s="292">
        <f>Q45*$R$9</f>
        <v/>
      </c>
      <c r="S45" s="292">
        <f>SUM(Q45:R45)</f>
        <v/>
      </c>
      <c r="T45" s="56" t="inlineStr">
        <is>
          <t>Accesorios: No incluye
Consumibles: No incluye</t>
        </is>
      </c>
      <c r="U45" s="54" t="inlineStr">
        <is>
          <t>Durante la vigencia del contrato</t>
        </is>
      </c>
      <c r="V45" s="57" t="inlineStr">
        <is>
          <t>SI</t>
        </is>
      </c>
      <c r="W45" s="54" t="inlineStr">
        <is>
          <t>OFTALMO</t>
        </is>
      </c>
      <c r="X45" s="66" t="inlineStr">
        <is>
          <t>MD</t>
        </is>
      </c>
    </row>
    <row r="46" ht="124.95" customFormat="1" customHeight="1" s="29">
      <c r="A46" s="49" t="n">
        <v>48</v>
      </c>
      <c r="B46" s="68" t="inlineStr">
        <is>
          <t>CDMX</t>
        </is>
      </c>
      <c r="C46" s="27" t="inlineStr">
        <is>
          <t>XP WH / D&amp;A</t>
        </is>
      </c>
      <c r="D46" s="72" t="inlineStr">
        <is>
          <t>Autorrefractómetro, marca SUOER, modelo Ocular Screening SW-800</t>
        </is>
      </c>
      <c r="E46" s="73" t="inlineStr">
        <is>
          <t>BB0043GY1C</t>
        </is>
      </c>
      <c r="F46" s="72" t="inlineStr">
        <is>
          <t>H.M.E.O. Constituyentes</t>
        </is>
      </c>
      <c r="G46" s="50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6" s="51" t="inlineStr">
        <is>
          <t>Servicio</t>
        </is>
      </c>
      <c r="I46" s="52" t="n">
        <v>1</v>
      </c>
      <c r="J46" s="53" t="n">
        <v>2</v>
      </c>
      <c r="K46" s="54" t="inlineStr">
        <is>
          <t>México</t>
        </is>
      </c>
      <c r="L46" s="290" t="n">
        <v>181357.75</v>
      </c>
      <c r="M46" s="291" t="n"/>
      <c r="N46" s="292" t="n">
        <v>150000</v>
      </c>
      <c r="O46" s="292">
        <f>I46*N46</f>
        <v/>
      </c>
      <c r="P46" s="292">
        <f>J46*N46</f>
        <v/>
      </c>
      <c r="Q46" s="292">
        <f>SUM(O46:P46)</f>
        <v/>
      </c>
      <c r="R46" s="292">
        <f>Q46*$R$9</f>
        <v/>
      </c>
      <c r="S46" s="292">
        <f>SUM(Q46:R46)</f>
        <v/>
      </c>
      <c r="T46" s="56" t="inlineStr">
        <is>
          <t>Accesorios: No incluye
Consumibles: No incluye</t>
        </is>
      </c>
      <c r="U46" s="54" t="inlineStr">
        <is>
          <t>Durante la vigencia del contrato</t>
        </is>
      </c>
      <c r="V46" s="57" t="inlineStr">
        <is>
          <t>SI</t>
        </is>
      </c>
      <c r="W46" s="54" t="inlineStr">
        <is>
          <t>OFTALMO</t>
        </is>
      </c>
      <c r="X46" s="66" t="inlineStr">
        <is>
          <t>MD</t>
        </is>
      </c>
    </row>
    <row r="47" ht="124.95" customFormat="1" customHeight="1" s="29">
      <c r="A47" s="49" t="n">
        <v>49</v>
      </c>
      <c r="B47" s="68" t="inlineStr">
        <is>
          <t>CDMX</t>
        </is>
      </c>
      <c r="C47" s="27" t="inlineStr">
        <is>
          <t>CT / D&amp;A</t>
        </is>
      </c>
      <c r="D47" s="72" t="inlineStr">
        <is>
          <t>Autoqueratorrefractor, marca Nidek, modelo ARK-F</t>
        </is>
      </c>
      <c r="E47" s="73" t="inlineStr">
        <is>
          <t>270021</t>
        </is>
      </c>
      <c r="F47" s="72" t="inlineStr">
        <is>
          <t>H.M.E.O. Constituyentes</t>
        </is>
      </c>
      <c r="G47" s="50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7" s="51" t="inlineStr">
        <is>
          <t>Servicio</t>
        </is>
      </c>
      <c r="I47" s="52" t="n">
        <v>1</v>
      </c>
      <c r="J47" s="53" t="n">
        <v>2</v>
      </c>
      <c r="K47" s="54" t="inlineStr">
        <is>
          <t>México</t>
        </is>
      </c>
      <c r="L47" s="290" t="n">
        <v>403448.27</v>
      </c>
      <c r="M47" s="291" t="n">
        <v>15000</v>
      </c>
      <c r="N47" s="292" t="n">
        <v>120000</v>
      </c>
      <c r="O47" s="292">
        <f>I47*N47</f>
        <v/>
      </c>
      <c r="P47" s="292">
        <f>J47*N47</f>
        <v/>
      </c>
      <c r="Q47" s="292">
        <f>SUM(O47:P47)</f>
        <v/>
      </c>
      <c r="R47" s="292">
        <f>Q47*$R$9</f>
        <v/>
      </c>
      <c r="S47" s="292">
        <f>SUM(Q47:R47)</f>
        <v/>
      </c>
      <c r="T47" s="56" t="inlineStr">
        <is>
          <t>Accesorios: No incluye
Consumibles: No incluye</t>
        </is>
      </c>
      <c r="U47" s="54" t="inlineStr">
        <is>
          <t>Durante la vigencia del contrato</t>
        </is>
      </c>
      <c r="V47" s="57" t="inlineStr">
        <is>
          <t>SI</t>
        </is>
      </c>
      <c r="W47" s="54" t="inlineStr">
        <is>
          <t>OFTALMO</t>
        </is>
      </c>
      <c r="X47" s="66" t="inlineStr">
        <is>
          <t>S4</t>
        </is>
      </c>
    </row>
    <row r="48" ht="124.95" customFormat="1" customHeight="1" s="29">
      <c r="A48" s="49" t="n">
        <v>50</v>
      </c>
      <c r="B48" s="68" t="inlineStr">
        <is>
          <t>CDMX</t>
        </is>
      </c>
      <c r="C48" s="27" t="inlineStr">
        <is>
          <t>XP SU</t>
        </is>
      </c>
      <c r="D48" s="72" t="inlineStr">
        <is>
          <t>Autoqueratorrefractor, marca Nidek, modelo ARK-F</t>
        </is>
      </c>
      <c r="E48" s="68" t="inlineStr">
        <is>
          <t>270029</t>
        </is>
      </c>
      <c r="F48" s="69" t="inlineStr">
        <is>
          <t>H.M.E.O. Constituyentes</t>
        </is>
      </c>
      <c r="G48" s="50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8" s="51" t="inlineStr">
        <is>
          <t>Servicio</t>
        </is>
      </c>
      <c r="I48" s="52" t="n">
        <v>1</v>
      </c>
      <c r="J48" s="53" t="n">
        <v>2</v>
      </c>
      <c r="K48" s="54" t="inlineStr">
        <is>
          <t>México</t>
        </is>
      </c>
      <c r="L48" s="290" t="n">
        <v>413600</v>
      </c>
      <c r="M48" s="291" t="n">
        <v>15000</v>
      </c>
      <c r="N48" s="292" t="n">
        <v>120000</v>
      </c>
      <c r="O48" s="292">
        <f>I48*N48</f>
        <v/>
      </c>
      <c r="P48" s="292">
        <f>J48*N48</f>
        <v/>
      </c>
      <c r="Q48" s="292">
        <f>SUM(O48:P48)</f>
        <v/>
      </c>
      <c r="R48" s="292">
        <f>Q48*$R$9</f>
        <v/>
      </c>
      <c r="S48" s="292">
        <f>SUM(Q48:R48)</f>
        <v/>
      </c>
      <c r="T48" s="56" t="inlineStr">
        <is>
          <t>Accesorios: No incluye
Consumibles: No incluye</t>
        </is>
      </c>
      <c r="U48" s="54" t="inlineStr">
        <is>
          <t>Durante la vigencia del contrato</t>
        </is>
      </c>
      <c r="V48" s="57" t="inlineStr">
        <is>
          <t>SI</t>
        </is>
      </c>
      <c r="W48" s="54" t="inlineStr">
        <is>
          <t>OFTALMO</t>
        </is>
      </c>
      <c r="X48" s="66" t="inlineStr">
        <is>
          <t>S4</t>
        </is>
      </c>
    </row>
    <row r="49" ht="124.95" customFormat="1" customHeight="1" s="29">
      <c r="A49" s="49" t="n">
        <v>51</v>
      </c>
      <c r="B49" s="68" t="inlineStr">
        <is>
          <t>CDMX</t>
        </is>
      </c>
      <c r="C49" s="27" t="inlineStr">
        <is>
          <t>XP WH / D&amp;A</t>
        </is>
      </c>
      <c r="D49" s="72" t="inlineStr">
        <is>
          <t>Autoqueratorrefractor, marca Nidek, modelo ARK-F</t>
        </is>
      </c>
      <c r="E49" s="73" t="inlineStr">
        <is>
          <t>270031</t>
        </is>
      </c>
      <c r="F49" s="72" t="inlineStr">
        <is>
          <t>H.M.E.O. Constituyentes</t>
        </is>
      </c>
      <c r="G49" s="50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9" s="51" t="inlineStr">
        <is>
          <t>Servicio</t>
        </is>
      </c>
      <c r="I49" s="52" t="n">
        <v>1</v>
      </c>
      <c r="J49" s="53" t="n">
        <v>2</v>
      </c>
      <c r="K49" s="54" t="inlineStr">
        <is>
          <t>México</t>
        </is>
      </c>
      <c r="L49" s="290" t="n">
        <v>415086.2</v>
      </c>
      <c r="M49" s="291" t="n">
        <v>15000</v>
      </c>
      <c r="N49" s="292" t="n">
        <v>120000</v>
      </c>
      <c r="O49" s="292">
        <f>I49*N49</f>
        <v/>
      </c>
      <c r="P49" s="292">
        <f>J49*N49</f>
        <v/>
      </c>
      <c r="Q49" s="292">
        <f>SUM(O49:P49)</f>
        <v/>
      </c>
      <c r="R49" s="292">
        <f>Q49*$R$9</f>
        <v/>
      </c>
      <c r="S49" s="292">
        <f>SUM(Q49:R49)</f>
        <v/>
      </c>
      <c r="T49" s="56" t="inlineStr">
        <is>
          <t>Accesorios: No incluye
Consumibles: No incluye</t>
        </is>
      </c>
      <c r="U49" s="54" t="inlineStr">
        <is>
          <t>Durante la vigencia del contrato</t>
        </is>
      </c>
      <c r="V49" s="57" t="inlineStr">
        <is>
          <t>SI</t>
        </is>
      </c>
      <c r="W49" s="54" t="inlineStr">
        <is>
          <t>OFTALMO</t>
        </is>
      </c>
      <c r="X49" s="66" t="inlineStr">
        <is>
          <t>S4</t>
        </is>
      </c>
    </row>
    <row r="50" ht="124.95" customFormat="1" customHeight="1" s="29">
      <c r="A50" s="49" t="n">
        <v>52</v>
      </c>
      <c r="B50" s="68" t="inlineStr">
        <is>
          <t>CDMX</t>
        </is>
      </c>
      <c r="C50" s="27" t="inlineStr">
        <is>
          <t>CT / D&amp;A</t>
        </is>
      </c>
      <c r="D50" s="72" t="inlineStr">
        <is>
          <t>Autoqueratorrefractor, marca Nidek, modelo ARK-F</t>
        </is>
      </c>
      <c r="E50" s="73" t="inlineStr">
        <is>
          <t>270032</t>
        </is>
      </c>
      <c r="F50" s="72" t="inlineStr">
        <is>
          <t>H.M.E.O. Constituyentes</t>
        </is>
      </c>
      <c r="G50" s="50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0" s="51" t="inlineStr">
        <is>
          <t>Servicio</t>
        </is>
      </c>
      <c r="I50" s="52" t="n">
        <v>1</v>
      </c>
      <c r="J50" s="53" t="n">
        <v>2</v>
      </c>
      <c r="K50" s="54" t="inlineStr">
        <is>
          <t>México</t>
        </is>
      </c>
      <c r="L50" s="290" t="n">
        <v>418965.51</v>
      </c>
      <c r="M50" s="291" t="n">
        <v>15000</v>
      </c>
      <c r="N50" s="292" t="n">
        <v>120000</v>
      </c>
      <c r="O50" s="292">
        <f>I50*N50</f>
        <v/>
      </c>
      <c r="P50" s="292">
        <f>J50*N50</f>
        <v/>
      </c>
      <c r="Q50" s="292">
        <f>SUM(O50:P50)</f>
        <v/>
      </c>
      <c r="R50" s="292">
        <f>Q50*$R$9</f>
        <v/>
      </c>
      <c r="S50" s="292">
        <f>SUM(Q50:R50)</f>
        <v/>
      </c>
      <c r="T50" s="56" t="inlineStr">
        <is>
          <t>Accesorios: No incluye
Consumibles: No incluye</t>
        </is>
      </c>
      <c r="U50" s="54" t="inlineStr">
        <is>
          <t>Durante la vigencia del contrato</t>
        </is>
      </c>
      <c r="V50" s="57" t="inlineStr">
        <is>
          <t>SI</t>
        </is>
      </c>
      <c r="W50" s="54" t="inlineStr">
        <is>
          <t>OFTALMO</t>
        </is>
      </c>
      <c r="X50" s="66" t="inlineStr">
        <is>
          <t>S4</t>
        </is>
      </c>
    </row>
    <row r="51" ht="124.95" customFormat="1" customHeight="1" s="29">
      <c r="A51" s="49" t="n">
        <v>53</v>
      </c>
      <c r="B51" s="68" t="inlineStr">
        <is>
          <t>CDMX</t>
        </is>
      </c>
      <c r="C51" s="27" t="inlineStr">
        <is>
          <t>XP RF</t>
        </is>
      </c>
      <c r="D51" s="72" t="inlineStr">
        <is>
          <t>Autoqueratorrefractor, marca Nidek, modelo ARK-F</t>
        </is>
      </c>
      <c r="E51" s="68" t="inlineStr">
        <is>
          <t>270023</t>
        </is>
      </c>
      <c r="F51" s="69" t="inlineStr">
        <is>
          <t>H.M.E.O. Constituyentes</t>
        </is>
      </c>
      <c r="G51" s="50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1" s="51" t="inlineStr">
        <is>
          <t>Servicio</t>
        </is>
      </c>
      <c r="I51" s="52" t="n">
        <v>1</v>
      </c>
      <c r="J51" s="53" t="n">
        <v>2</v>
      </c>
      <c r="K51" s="54" t="inlineStr">
        <is>
          <t>México</t>
        </is>
      </c>
      <c r="L51" s="290" t="n">
        <v>418965.51</v>
      </c>
      <c r="M51" s="291" t="n">
        <v>15000</v>
      </c>
      <c r="N51" s="292" t="n">
        <v>120000</v>
      </c>
      <c r="O51" s="292">
        <f>I51*N51</f>
        <v/>
      </c>
      <c r="P51" s="292">
        <f>J51*N51</f>
        <v/>
      </c>
      <c r="Q51" s="292">
        <f>SUM(O51:P51)</f>
        <v/>
      </c>
      <c r="R51" s="292">
        <f>Q51*$R$9</f>
        <v/>
      </c>
      <c r="S51" s="292">
        <f>SUM(Q51:R51)</f>
        <v/>
      </c>
      <c r="T51" s="56" t="inlineStr">
        <is>
          <t>Accesorios: No incluye
Consumibles: No incluye</t>
        </is>
      </c>
      <c r="U51" s="54" t="inlineStr">
        <is>
          <t>Durante la vigencia del contrato</t>
        </is>
      </c>
      <c r="V51" s="57" t="inlineStr">
        <is>
          <t>SI</t>
        </is>
      </c>
      <c r="W51" s="54" t="inlineStr">
        <is>
          <t>OFTALMO</t>
        </is>
      </c>
      <c r="X51" s="66" t="inlineStr">
        <is>
          <t>S4</t>
        </is>
      </c>
    </row>
    <row r="52" ht="124.95" customFormat="1" customHeight="1" s="29">
      <c r="A52" s="49" t="n">
        <v>54</v>
      </c>
      <c r="B52" s="68" t="inlineStr">
        <is>
          <t>CDMX</t>
        </is>
      </c>
      <c r="C52" s="27" t="inlineStr">
        <is>
          <t>US</t>
        </is>
      </c>
      <c r="D52" s="72" t="inlineStr">
        <is>
          <t>Autoqueratorrefractor, marca Nidek, modelo ARK-F</t>
        </is>
      </c>
      <c r="E52" s="68" t="inlineStr">
        <is>
          <t>270034</t>
        </is>
      </c>
      <c r="F52" s="69" t="inlineStr">
        <is>
          <t>H.M.E.O. Constituyentes</t>
        </is>
      </c>
      <c r="G52" s="50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2" s="51" t="inlineStr">
        <is>
          <t>Servicio</t>
        </is>
      </c>
      <c r="I52" s="52" t="n">
        <v>1</v>
      </c>
      <c r="J52" s="53" t="n">
        <v>2</v>
      </c>
      <c r="K52" s="54" t="inlineStr">
        <is>
          <t>México</t>
        </is>
      </c>
      <c r="L52" s="290" t="n">
        <v>422844.82</v>
      </c>
      <c r="M52" s="291" t="n">
        <v>15000</v>
      </c>
      <c r="N52" s="292" t="n">
        <v>120000</v>
      </c>
      <c r="O52" s="292">
        <f>I52*N52</f>
        <v/>
      </c>
      <c r="P52" s="292">
        <f>J52*N52</f>
        <v/>
      </c>
      <c r="Q52" s="292">
        <f>SUM(O52:P52)</f>
        <v/>
      </c>
      <c r="R52" s="292">
        <f>Q52*$R$9</f>
        <v/>
      </c>
      <c r="S52" s="292">
        <f>SUM(Q52:R52)</f>
        <v/>
      </c>
      <c r="T52" s="56" t="inlineStr">
        <is>
          <t>Accesorios: No incluye
Consumibles: No incluye</t>
        </is>
      </c>
      <c r="U52" s="54" t="inlineStr">
        <is>
          <t>Durante la vigencia del contrato</t>
        </is>
      </c>
      <c r="V52" s="57" t="inlineStr">
        <is>
          <t>SI</t>
        </is>
      </c>
      <c r="W52" s="54" t="inlineStr">
        <is>
          <t>OFTALMO</t>
        </is>
      </c>
      <c r="X52" s="66" t="inlineStr">
        <is>
          <t>S4</t>
        </is>
      </c>
    </row>
    <row r="53" ht="124.95" customFormat="1" customHeight="1" s="29">
      <c r="A53" s="49" t="n">
        <v>55</v>
      </c>
      <c r="B53" s="68" t="inlineStr">
        <is>
          <t>CDMX</t>
        </is>
      </c>
      <c r="C53" s="27" t="inlineStr">
        <is>
          <t>CT / D&amp;A</t>
        </is>
      </c>
      <c r="D53" s="72" t="inlineStr">
        <is>
          <t>Autoqueratorrefractor, marca Nidek, modelo ARK-F</t>
        </is>
      </c>
      <c r="E53" s="73" t="inlineStr">
        <is>
          <t>270035</t>
        </is>
      </c>
      <c r="F53" s="72" t="inlineStr">
        <is>
          <t>H.M.E.O. Constituyentes</t>
        </is>
      </c>
      <c r="G53" s="50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3" s="51" t="inlineStr">
        <is>
          <t>Servicio</t>
        </is>
      </c>
      <c r="I53" s="52" t="n">
        <v>1</v>
      </c>
      <c r="J53" s="53" t="n">
        <v>2</v>
      </c>
      <c r="K53" s="54" t="inlineStr">
        <is>
          <t>México</t>
        </is>
      </c>
      <c r="L53" s="290" t="n">
        <v>387931.03</v>
      </c>
      <c r="M53" s="291" t="n">
        <v>15000</v>
      </c>
      <c r="N53" s="292" t="n">
        <v>120000</v>
      </c>
      <c r="O53" s="292">
        <f>I53*N53</f>
        <v/>
      </c>
      <c r="P53" s="292">
        <f>J53*N53</f>
        <v/>
      </c>
      <c r="Q53" s="292">
        <f>SUM(O53:P53)</f>
        <v/>
      </c>
      <c r="R53" s="292">
        <f>Q53*$R$9</f>
        <v/>
      </c>
      <c r="S53" s="292">
        <f>SUM(Q53:R53)</f>
        <v/>
      </c>
      <c r="T53" s="56" t="inlineStr">
        <is>
          <t>Accesorios: No incluye
Consumibles: No incluye</t>
        </is>
      </c>
      <c r="U53" s="54" t="inlineStr">
        <is>
          <t>Durante la vigencia del contrato</t>
        </is>
      </c>
      <c r="V53" s="57" t="inlineStr">
        <is>
          <t>SI</t>
        </is>
      </c>
      <c r="W53" s="54" t="inlineStr">
        <is>
          <t>OFTALMO</t>
        </is>
      </c>
      <c r="X53" s="66" t="inlineStr">
        <is>
          <t>S4</t>
        </is>
      </c>
    </row>
    <row r="54" ht="124.95" customFormat="1" customHeight="1" s="29">
      <c r="A54" s="49" t="n">
        <v>56</v>
      </c>
      <c r="B54" s="68" t="inlineStr">
        <is>
          <t>CDMX</t>
        </is>
      </c>
      <c r="C54" s="27" t="inlineStr">
        <is>
          <t>CT</t>
        </is>
      </c>
      <c r="D54" s="72" t="inlineStr">
        <is>
          <t>Autoqueratorrefractor, marca Nidek, modelo ARK-F</t>
        </is>
      </c>
      <c r="E54" s="68" t="inlineStr">
        <is>
          <t>270036</t>
        </is>
      </c>
      <c r="F54" s="69" t="inlineStr">
        <is>
          <t>H.M.E.O. Constituyentes</t>
        </is>
      </c>
      <c r="G54" s="50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4" s="51" t="inlineStr">
        <is>
          <t>Servicio</t>
        </is>
      </c>
      <c r="I54" s="52" t="n">
        <v>1</v>
      </c>
      <c r="J54" s="53" t="n">
        <v>2</v>
      </c>
      <c r="K54" s="54" t="inlineStr">
        <is>
          <t>México</t>
        </is>
      </c>
      <c r="L54" s="290" t="n">
        <v>407327.58</v>
      </c>
      <c r="M54" s="291" t="n">
        <v>15000</v>
      </c>
      <c r="N54" s="292" t="n">
        <v>120000</v>
      </c>
      <c r="O54" s="292">
        <f>I54*N54</f>
        <v/>
      </c>
      <c r="P54" s="292">
        <f>J54*N54</f>
        <v/>
      </c>
      <c r="Q54" s="292">
        <f>SUM(O54:P54)</f>
        <v/>
      </c>
      <c r="R54" s="292">
        <f>Q54*$R$9</f>
        <v/>
      </c>
      <c r="S54" s="292">
        <f>SUM(Q54:R54)</f>
        <v/>
      </c>
      <c r="T54" s="56" t="inlineStr">
        <is>
          <t>Accesorios: No incluye
Consumibles: No incluye</t>
        </is>
      </c>
      <c r="U54" s="54" t="inlineStr">
        <is>
          <t>Durante la vigencia del contrato</t>
        </is>
      </c>
      <c r="V54" s="57" t="inlineStr">
        <is>
          <t>SI</t>
        </is>
      </c>
      <c r="W54" s="54" t="inlineStr">
        <is>
          <t>OFTALMO</t>
        </is>
      </c>
      <c r="X54" s="66" t="inlineStr">
        <is>
          <t>S4</t>
        </is>
      </c>
    </row>
    <row r="55" ht="124.95" customFormat="1" customHeight="1" s="29">
      <c r="A55" s="49" t="n">
        <v>57</v>
      </c>
      <c r="B55" s="68" t="inlineStr">
        <is>
          <t>CDMX</t>
        </is>
      </c>
      <c r="C55" s="27" t="inlineStr">
        <is>
          <t>CT / D&amp;A</t>
        </is>
      </c>
      <c r="D55" s="72" t="inlineStr">
        <is>
          <t>Autoqueratorrefractor, marca Nidek, modelo ARK-F</t>
        </is>
      </c>
      <c r="E55" s="73" t="inlineStr">
        <is>
          <t>270037</t>
        </is>
      </c>
      <c r="F55" s="72" t="inlineStr">
        <is>
          <t>H.M.E.O. Constituyentes</t>
        </is>
      </c>
      <c r="G55" s="50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5" s="51" t="inlineStr">
        <is>
          <t>Servicio</t>
        </is>
      </c>
      <c r="I55" s="52" t="n">
        <v>1</v>
      </c>
      <c r="J55" s="53" t="n">
        <v>2</v>
      </c>
      <c r="K55" s="54" t="inlineStr">
        <is>
          <t>México</t>
        </is>
      </c>
      <c r="L55" s="290" t="n">
        <v>399568.96</v>
      </c>
      <c r="M55" s="291" t="n">
        <v>15000</v>
      </c>
      <c r="N55" s="292" t="n">
        <v>120000</v>
      </c>
      <c r="O55" s="292">
        <f>I55*N55</f>
        <v/>
      </c>
      <c r="P55" s="292">
        <f>J55*N55</f>
        <v/>
      </c>
      <c r="Q55" s="292">
        <f>SUM(O55:P55)</f>
        <v/>
      </c>
      <c r="R55" s="292">
        <f>Q55*$R$9</f>
        <v/>
      </c>
      <c r="S55" s="292">
        <f>SUM(Q55:R55)</f>
        <v/>
      </c>
      <c r="T55" s="56" t="inlineStr">
        <is>
          <t>Accesorios: No incluye
Consumibles: No incluye</t>
        </is>
      </c>
      <c r="U55" s="54" t="inlineStr">
        <is>
          <t>Durante la vigencia del contrato</t>
        </is>
      </c>
      <c r="V55" s="57" t="inlineStr">
        <is>
          <t>SI</t>
        </is>
      </c>
      <c r="W55" s="54" t="inlineStr">
        <is>
          <t>OFTALMO</t>
        </is>
      </c>
      <c r="X55" s="66" t="inlineStr">
        <is>
          <t>S4</t>
        </is>
      </c>
    </row>
    <row r="56" ht="124.95" customFormat="1" customHeight="1" s="30">
      <c r="A56" s="49" t="n">
        <v>58</v>
      </c>
      <c r="B56" s="68" t="inlineStr">
        <is>
          <t>CDMX</t>
        </is>
      </c>
      <c r="C56" s="27" t="inlineStr">
        <is>
          <t>CT</t>
        </is>
      </c>
      <c r="D56" s="72" t="inlineStr">
        <is>
          <t>Autoqueratorrefractor, marca Nidek, modelo ARK-F</t>
        </is>
      </c>
      <c r="E56" s="68" t="inlineStr">
        <is>
          <t>270038</t>
        </is>
      </c>
      <c r="F56" s="69" t="inlineStr">
        <is>
          <t>H.M.E.O. Constituyentes</t>
        </is>
      </c>
      <c r="G56" s="50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6" s="51" t="inlineStr">
        <is>
          <t>Servicio</t>
        </is>
      </c>
      <c r="I56" s="52" t="n">
        <v>1</v>
      </c>
      <c r="J56" s="53" t="n">
        <v>2</v>
      </c>
      <c r="K56" s="59" t="inlineStr">
        <is>
          <t>México</t>
        </is>
      </c>
      <c r="L56" s="290" t="n">
        <v>405690</v>
      </c>
      <c r="M56" s="291" t="n">
        <v>15000</v>
      </c>
      <c r="N56" s="292" t="n">
        <v>120000</v>
      </c>
      <c r="O56" s="292">
        <f>I56*N56</f>
        <v/>
      </c>
      <c r="P56" s="292">
        <f>J56*N56</f>
        <v/>
      </c>
      <c r="Q56" s="292">
        <f>SUM(O56:P56)</f>
        <v/>
      </c>
      <c r="R56" s="292">
        <f>Q56*$R$9</f>
        <v/>
      </c>
      <c r="S56" s="292">
        <f>SUM(Q56:R56)</f>
        <v/>
      </c>
      <c r="T56" s="56" t="inlineStr">
        <is>
          <t>Accesorios: No incluye
Consumibles: No incluye</t>
        </is>
      </c>
      <c r="U56" s="54" t="inlineStr">
        <is>
          <t>Durante la vigencia del contrato</t>
        </is>
      </c>
      <c r="V56" s="57" t="inlineStr">
        <is>
          <t>SI</t>
        </is>
      </c>
      <c r="W56" s="54" t="inlineStr">
        <is>
          <t>OFTALMO</t>
        </is>
      </c>
      <c r="X56" s="28" t="inlineStr">
        <is>
          <t>S4</t>
        </is>
      </c>
    </row>
    <row r="57" ht="124.95" customHeight="1" s="227">
      <c r="A57" s="49" t="n">
        <v>59</v>
      </c>
      <c r="B57" s="74" t="inlineStr">
        <is>
          <t>CDMX</t>
        </is>
      </c>
      <c r="C57" s="31" t="n"/>
      <c r="D57" s="75" t="inlineStr">
        <is>
          <t>Autoqueratorrefractor, marca Nidek, modelo ARK-F</t>
        </is>
      </c>
      <c r="E57" s="74" t="inlineStr">
        <is>
          <t>270033</t>
        </is>
      </c>
      <c r="F57" s="75" t="inlineStr">
        <is>
          <t>H.M.E.O. Constituyentes</t>
        </is>
      </c>
      <c r="G57" s="50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7" s="51" t="inlineStr">
        <is>
          <t>Servicio</t>
        </is>
      </c>
      <c r="I57" s="52" t="n">
        <v>1</v>
      </c>
      <c r="J57" s="53" t="n">
        <v>2</v>
      </c>
      <c r="K57" s="59" t="inlineStr">
        <is>
          <t>México</t>
        </is>
      </c>
      <c r="L57" s="290" t="n">
        <v>395689.65</v>
      </c>
      <c r="M57" s="291" t="n">
        <v>15000</v>
      </c>
      <c r="N57" s="292" t="n">
        <v>120000</v>
      </c>
      <c r="O57" s="292">
        <f>I57*N57</f>
        <v/>
      </c>
      <c r="P57" s="292">
        <f>J57*N57</f>
        <v/>
      </c>
      <c r="Q57" s="292">
        <f>SUM(O57:P57)</f>
        <v/>
      </c>
      <c r="R57" s="292">
        <f>Q57*$R$9</f>
        <v/>
      </c>
      <c r="S57" s="292">
        <f>SUM(Q57:R57)</f>
        <v/>
      </c>
      <c r="T57" s="56" t="inlineStr">
        <is>
          <t>Accesorios: No incluye
Consumibles: No incluye</t>
        </is>
      </c>
      <c r="U57" s="54" t="inlineStr">
        <is>
          <t>Durante la vigencia del contrato</t>
        </is>
      </c>
      <c r="V57" s="57" t="inlineStr">
        <is>
          <t>SI</t>
        </is>
      </c>
      <c r="W57" s="54" t="inlineStr">
        <is>
          <t>OFTALMO</t>
        </is>
      </c>
      <c r="X57" s="32" t="inlineStr">
        <is>
          <t>S4</t>
        </is>
      </c>
    </row>
    <row r="58" ht="124.95" customHeight="1" s="227">
      <c r="A58" s="49" t="n">
        <v>60</v>
      </c>
      <c r="B58" s="68" t="inlineStr">
        <is>
          <t>CDMX</t>
        </is>
      </c>
      <c r="D58" s="69" t="inlineStr">
        <is>
          <t>Autoqueratorrefractor, marca Nidek, modelo ARK-F</t>
        </is>
      </c>
      <c r="E58" s="68" t="inlineStr">
        <is>
          <t>270025</t>
        </is>
      </c>
      <c r="F58" s="69" t="inlineStr">
        <is>
          <t>H.M.E.O. Constituyentes</t>
        </is>
      </c>
      <c r="G58" s="50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8" s="51" t="inlineStr">
        <is>
          <t>Servicio</t>
        </is>
      </c>
      <c r="I58" s="52" t="n">
        <v>1</v>
      </c>
      <c r="J58" s="53" t="n">
        <v>2</v>
      </c>
      <c r="K58" s="59" t="inlineStr">
        <is>
          <t>México</t>
        </is>
      </c>
      <c r="L58" s="290" t="n">
        <v>399568.96</v>
      </c>
      <c r="M58" s="291" t="n">
        <v>15000</v>
      </c>
      <c r="N58" s="292" t="n">
        <v>120000</v>
      </c>
      <c r="O58" s="292">
        <f>I58*N58</f>
        <v/>
      </c>
      <c r="P58" s="292">
        <f>J58*N58</f>
        <v/>
      </c>
      <c r="Q58" s="292">
        <f>SUM(O58:P58)</f>
        <v/>
      </c>
      <c r="R58" s="292">
        <f>Q58*$R$9</f>
        <v/>
      </c>
      <c r="S58" s="292">
        <f>SUM(Q58:R58)</f>
        <v/>
      </c>
      <c r="T58" s="56" t="inlineStr">
        <is>
          <t>Accesorios: No incluye
Consumibles: No incluye</t>
        </is>
      </c>
      <c r="U58" s="54" t="inlineStr">
        <is>
          <t>Durante la vigencia del contrato</t>
        </is>
      </c>
      <c r="V58" s="57" t="inlineStr">
        <is>
          <t>SI</t>
        </is>
      </c>
      <c r="W58" s="54" t="inlineStr">
        <is>
          <t>OFTALMO</t>
        </is>
      </c>
      <c r="X58" s="32" t="inlineStr">
        <is>
          <t>S4</t>
        </is>
      </c>
    </row>
    <row r="59" ht="140.4" customHeight="1" s="227">
      <c r="A59" s="49" t="n">
        <v>61</v>
      </c>
      <c r="B59" s="68" t="inlineStr">
        <is>
          <t>CDMX</t>
        </is>
      </c>
      <c r="D59" s="69" t="inlineStr">
        <is>
          <t>Sistema de diagnóstico oftálmico avanzado, marca Nidek, modelo TONOREF III</t>
        </is>
      </c>
      <c r="E59" s="68" t="inlineStr">
        <is>
          <t>170692</t>
        </is>
      </c>
      <c r="F59" s="69" t="inlineStr">
        <is>
          <t>H.M.E.O. Constituyentes</t>
        </is>
      </c>
      <c r="G59" s="50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9" s="51" t="inlineStr">
        <is>
          <t>Servicio</t>
        </is>
      </c>
      <c r="I59" s="52" t="n">
        <v>1</v>
      </c>
      <c r="J59" s="53" t="n">
        <v>2</v>
      </c>
      <c r="K59" s="59" t="inlineStr">
        <is>
          <t>México</t>
        </is>
      </c>
      <c r="L59" s="290" t="n">
        <v>407327.58</v>
      </c>
      <c r="M59" s="291" t="n">
        <v>20000</v>
      </c>
      <c r="N59" s="292" t="n">
        <v>150000</v>
      </c>
      <c r="O59" s="292">
        <f>I59*N59</f>
        <v/>
      </c>
      <c r="P59" s="292">
        <f>J59*N59</f>
        <v/>
      </c>
      <c r="Q59" s="292">
        <f>SUM(O59:P59)</f>
        <v/>
      </c>
      <c r="R59" s="292">
        <f>Q59*$R$9</f>
        <v/>
      </c>
      <c r="S59" s="292">
        <f>SUM(Q59:R59)</f>
        <v/>
      </c>
      <c r="T59" s="56" t="inlineStr">
        <is>
          <t>Accesorios: No incluye
Consumibles: No incluye</t>
        </is>
      </c>
      <c r="U59" s="54" t="inlineStr">
        <is>
          <t>Durante la vigencia del contrato</t>
        </is>
      </c>
      <c r="V59" s="57" t="inlineStr">
        <is>
          <t>SI</t>
        </is>
      </c>
      <c r="W59" s="54" t="inlineStr">
        <is>
          <t>OFTALMO</t>
        </is>
      </c>
      <c r="X59" s="32" t="inlineStr">
        <is>
          <t>S4</t>
        </is>
      </c>
    </row>
    <row r="60" ht="140.4" customHeight="1" s="227">
      <c r="A60" s="49" t="n">
        <v>62</v>
      </c>
      <c r="B60" s="68" t="inlineStr">
        <is>
          <t>CDMX</t>
        </is>
      </c>
      <c r="D60" s="69" t="inlineStr">
        <is>
          <t>Sistema de diagnóstico oftálmico avanzado, marca Nidek, modelo TONOREF III</t>
        </is>
      </c>
      <c r="E60" s="68" t="inlineStr">
        <is>
          <t>170696</t>
        </is>
      </c>
      <c r="F60" s="69" t="inlineStr">
        <is>
          <t>H.M.E.O. Constituyentes</t>
        </is>
      </c>
      <c r="G60" s="50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0" s="51" t="inlineStr">
        <is>
          <t>Servicio</t>
        </is>
      </c>
      <c r="I60" s="52" t="n">
        <v>1</v>
      </c>
      <c r="J60" s="53" t="n">
        <v>2</v>
      </c>
      <c r="K60" s="59" t="inlineStr">
        <is>
          <t>México</t>
        </is>
      </c>
      <c r="L60" s="290" t="n">
        <v>403448.27</v>
      </c>
      <c r="M60" s="291" t="n">
        <v>20000</v>
      </c>
      <c r="N60" s="292" t="n">
        <v>150000</v>
      </c>
      <c r="O60" s="292">
        <f>I60*N60</f>
        <v/>
      </c>
      <c r="P60" s="292">
        <f>J60*N60</f>
        <v/>
      </c>
      <c r="Q60" s="292">
        <f>SUM(O60:P60)</f>
        <v/>
      </c>
      <c r="R60" s="292">
        <f>Q60*$R$9</f>
        <v/>
      </c>
      <c r="S60" s="292">
        <f>SUM(Q60:R60)</f>
        <v/>
      </c>
      <c r="T60" s="56" t="inlineStr">
        <is>
          <t>Accesorios: No incluye
Consumibles: No incluye</t>
        </is>
      </c>
      <c r="U60" s="54" t="inlineStr">
        <is>
          <t>Durante la vigencia del contrato</t>
        </is>
      </c>
      <c r="V60" s="57" t="inlineStr">
        <is>
          <t>SI</t>
        </is>
      </c>
      <c r="W60" s="54" t="inlineStr">
        <is>
          <t>OFTALMO</t>
        </is>
      </c>
      <c r="X60" s="32" t="inlineStr">
        <is>
          <t>S4</t>
        </is>
      </c>
    </row>
    <row r="61" ht="140.4" customHeight="1" s="227">
      <c r="A61" s="49" t="n">
        <v>63</v>
      </c>
      <c r="B61" s="68" t="inlineStr">
        <is>
          <t>CDMX</t>
        </is>
      </c>
      <c r="D61" s="69" t="inlineStr">
        <is>
          <t>Sistema de diagnóstico oftálmico avanzado, marca Nidek, modelo TONOREF III</t>
        </is>
      </c>
      <c r="E61" s="68" t="inlineStr">
        <is>
          <t>170711</t>
        </is>
      </c>
      <c r="F61" s="69" t="inlineStr">
        <is>
          <t>H.M.E.O. Constituyentes</t>
        </is>
      </c>
      <c r="G61" s="50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1" s="51" t="inlineStr">
        <is>
          <t>Servicio</t>
        </is>
      </c>
      <c r="I61" s="52" t="n">
        <v>1</v>
      </c>
      <c r="J61" s="53" t="n">
        <v>2</v>
      </c>
      <c r="K61" s="59" t="inlineStr">
        <is>
          <t>México</t>
        </is>
      </c>
      <c r="L61" s="290" t="n">
        <v>396700</v>
      </c>
      <c r="M61" s="291" t="n">
        <v>20000</v>
      </c>
      <c r="N61" s="292" t="n">
        <v>150000</v>
      </c>
      <c r="O61" s="292">
        <f>I61*N61</f>
        <v/>
      </c>
      <c r="P61" s="292">
        <f>J61*N61</f>
        <v/>
      </c>
      <c r="Q61" s="292">
        <f>SUM(O61:P61)</f>
        <v/>
      </c>
      <c r="R61" s="292">
        <f>Q61*$R$9</f>
        <v/>
      </c>
      <c r="S61" s="292">
        <f>SUM(Q61:R61)</f>
        <v/>
      </c>
      <c r="T61" s="56" t="inlineStr">
        <is>
          <t>Accesorios: No incluye
Consumibles: No incluye</t>
        </is>
      </c>
      <c r="U61" s="54" t="inlineStr">
        <is>
          <t>Durante la vigencia del contrato</t>
        </is>
      </c>
      <c r="V61" s="57" t="inlineStr">
        <is>
          <t>SI</t>
        </is>
      </c>
      <c r="W61" s="54" t="inlineStr">
        <is>
          <t>OFTALMO</t>
        </is>
      </c>
      <c r="X61" s="32" t="inlineStr">
        <is>
          <t>S4</t>
        </is>
      </c>
    </row>
    <row r="62" ht="140.4" customHeight="1" s="227">
      <c r="A62" s="49" t="n">
        <v>64</v>
      </c>
      <c r="B62" s="68" t="inlineStr">
        <is>
          <t>CDMX</t>
        </is>
      </c>
      <c r="D62" s="69" t="inlineStr">
        <is>
          <t>Sistema de diagnóstico oftálmico avanzado, marca Nidek, modelo TONOREF III</t>
        </is>
      </c>
      <c r="E62" s="68" t="inlineStr">
        <is>
          <t>170712</t>
        </is>
      </c>
      <c r="F62" s="69" t="inlineStr">
        <is>
          <t>H.M.E.O. Constituyentes</t>
        </is>
      </c>
      <c r="G62" s="50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2" s="51" t="inlineStr">
        <is>
          <t>Servicio</t>
        </is>
      </c>
      <c r="I62" s="52" t="n">
        <v>1</v>
      </c>
      <c r="J62" s="53" t="n">
        <v>2</v>
      </c>
      <c r="K62" s="59" t="inlineStr">
        <is>
          <t>México</t>
        </is>
      </c>
      <c r="L62" s="290" t="n">
        <v>426724.13</v>
      </c>
      <c r="M62" s="291" t="n">
        <v>20000</v>
      </c>
      <c r="N62" s="292" t="n">
        <v>150000</v>
      </c>
      <c r="O62" s="292">
        <f>I62*N62</f>
        <v/>
      </c>
      <c r="P62" s="292">
        <f>J62*N62</f>
        <v/>
      </c>
      <c r="Q62" s="292">
        <f>SUM(O62:P62)</f>
        <v/>
      </c>
      <c r="R62" s="292">
        <f>Q62*$R$9</f>
        <v/>
      </c>
      <c r="S62" s="292">
        <f>SUM(Q62:R62)</f>
        <v/>
      </c>
      <c r="T62" s="56" t="inlineStr">
        <is>
          <t>Accesorios: No incluye
Consumibles: No incluye</t>
        </is>
      </c>
      <c r="U62" s="54" t="inlineStr">
        <is>
          <t>Durante la vigencia del contrato</t>
        </is>
      </c>
      <c r="V62" s="57" t="inlineStr">
        <is>
          <t>SI</t>
        </is>
      </c>
      <c r="W62" s="54" t="inlineStr">
        <is>
          <t>OFTALMO</t>
        </is>
      </c>
      <c r="X62" s="32" t="inlineStr">
        <is>
          <t>S4</t>
        </is>
      </c>
    </row>
    <row r="63" ht="140.4" customHeight="1" s="227">
      <c r="A63" s="49" t="n">
        <v>65</v>
      </c>
      <c r="B63" s="68" t="inlineStr">
        <is>
          <t>CDMX</t>
        </is>
      </c>
      <c r="D63" s="69" t="inlineStr">
        <is>
          <t>Sistema de diagnóstico oftálmico avanzado, marca Nidek, modelo TONOREF III</t>
        </is>
      </c>
      <c r="E63" s="68" t="inlineStr">
        <is>
          <t>170715</t>
        </is>
      </c>
      <c r="F63" s="69" t="inlineStr">
        <is>
          <t>H.M.E.O. Constituyentes</t>
        </is>
      </c>
      <c r="G63" s="50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3" s="51" t="inlineStr">
        <is>
          <t>Servicio</t>
        </is>
      </c>
      <c r="I63" s="52" t="n">
        <v>1</v>
      </c>
      <c r="J63" s="53" t="n">
        <v>2</v>
      </c>
      <c r="K63" s="59" t="inlineStr">
        <is>
          <t>México</t>
        </is>
      </c>
      <c r="L63" s="290" t="n">
        <v>415086.2</v>
      </c>
      <c r="M63" s="291" t="n">
        <v>20000</v>
      </c>
      <c r="N63" s="292" t="n">
        <v>150000</v>
      </c>
      <c r="O63" s="292">
        <f>I63*N63</f>
        <v/>
      </c>
      <c r="P63" s="292">
        <f>J63*N63</f>
        <v/>
      </c>
      <c r="Q63" s="292">
        <f>SUM(O63:P63)</f>
        <v/>
      </c>
      <c r="R63" s="292">
        <f>Q63*$R$9</f>
        <v/>
      </c>
      <c r="S63" s="292">
        <f>SUM(Q63:R63)</f>
        <v/>
      </c>
      <c r="T63" s="56" t="inlineStr">
        <is>
          <t>Accesorios: No incluye
Consumibles: No incluye</t>
        </is>
      </c>
      <c r="U63" s="54" t="inlineStr">
        <is>
          <t>Durante la vigencia del contrato</t>
        </is>
      </c>
      <c r="V63" s="57" t="inlineStr">
        <is>
          <t>SI</t>
        </is>
      </c>
      <c r="W63" s="54" t="inlineStr">
        <is>
          <t>OFTALMO</t>
        </is>
      </c>
      <c r="X63" s="32" t="inlineStr">
        <is>
          <t>S4</t>
        </is>
      </c>
    </row>
    <row r="64" ht="140.4" customHeight="1" s="227">
      <c r="A64" s="49" t="n">
        <v>68</v>
      </c>
      <c r="B64" s="68" t="inlineStr">
        <is>
          <t>CDMX</t>
        </is>
      </c>
      <c r="D64" s="69" t="inlineStr">
        <is>
          <t>Sistema de diagnóstico oftálmico avanzado, marca Nidek, modelo OPD-Scan III</t>
        </is>
      </c>
      <c r="E64" s="68" t="inlineStr">
        <is>
          <t>470112</t>
        </is>
      </c>
      <c r="F64" s="69" t="inlineStr">
        <is>
          <t>H.M.E.O. Constituyentes</t>
        </is>
      </c>
      <c r="G64" s="50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4" s="51" t="inlineStr">
        <is>
          <t>Servicio</t>
        </is>
      </c>
      <c r="I64" s="52" t="n">
        <v>1</v>
      </c>
      <c r="J64" s="52" t="n">
        <v>2</v>
      </c>
      <c r="K64" s="59" t="inlineStr">
        <is>
          <t>México</t>
        </is>
      </c>
      <c r="L64" s="290" t="n">
        <v>192025.86</v>
      </c>
      <c r="M64" s="291" t="n">
        <v>40000</v>
      </c>
      <c r="N64" s="292" t="n">
        <v>150000</v>
      </c>
      <c r="O64" s="292">
        <f>I64*N64</f>
        <v/>
      </c>
      <c r="P64" s="292">
        <f>J64*N64</f>
        <v/>
      </c>
      <c r="Q64" s="292">
        <f>SUM(O64:P64)</f>
        <v/>
      </c>
      <c r="R64" s="292">
        <f>Q64*$R$9</f>
        <v/>
      </c>
      <c r="S64" s="292">
        <f>SUM(Q64:R64)</f>
        <v/>
      </c>
      <c r="T64" s="56" t="inlineStr">
        <is>
          <t>Accesorios: No incluye
Consumibles: No incluye</t>
        </is>
      </c>
      <c r="U64" s="54" t="inlineStr">
        <is>
          <t>Durante la vigencia del contrato</t>
        </is>
      </c>
      <c r="V64" s="57" t="inlineStr">
        <is>
          <t>SI</t>
        </is>
      </c>
      <c r="W64" s="54" t="inlineStr">
        <is>
          <t>OFTALMO</t>
        </is>
      </c>
      <c r="X64" s="32" t="inlineStr">
        <is>
          <t>S4</t>
        </is>
      </c>
    </row>
    <row r="65" ht="140.4" customHeight="1" s="227">
      <c r="A65" s="49" t="n">
        <v>69</v>
      </c>
      <c r="B65" s="68" t="inlineStr">
        <is>
          <t>CDMX</t>
        </is>
      </c>
      <c r="D65" s="69" t="inlineStr">
        <is>
          <t>Sistema de diagnóstico oftálmico avanzado, marca Nidek, modelo OPD-Scan III</t>
        </is>
      </c>
      <c r="E65" s="68" t="inlineStr">
        <is>
          <t>470113</t>
        </is>
      </c>
      <c r="F65" s="69" t="inlineStr">
        <is>
          <t>H.M.E.O. Constituyentes</t>
        </is>
      </c>
      <c r="G65" s="50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5" s="51" t="inlineStr">
        <is>
          <t>Servicio</t>
        </is>
      </c>
      <c r="I65" s="52" t="n">
        <v>1</v>
      </c>
      <c r="J65" s="52" t="n">
        <v>2</v>
      </c>
      <c r="K65" s="59" t="inlineStr">
        <is>
          <t>México</t>
        </is>
      </c>
      <c r="L65" s="290" t="n">
        <v>183355</v>
      </c>
      <c r="M65" s="291" t="n">
        <v>40000</v>
      </c>
      <c r="N65" s="292" t="n">
        <v>150000</v>
      </c>
      <c r="O65" s="292">
        <f>I65*N65</f>
        <v/>
      </c>
      <c r="P65" s="292">
        <f>J65*N65</f>
        <v/>
      </c>
      <c r="Q65" s="292">
        <f>SUM(O65:P65)</f>
        <v/>
      </c>
      <c r="R65" s="292">
        <f>Q65*$R$9</f>
        <v/>
      </c>
      <c r="S65" s="292">
        <f>SUM(Q65:R65)</f>
        <v/>
      </c>
      <c r="T65" s="56" t="inlineStr">
        <is>
          <t>Accesorios: No incluye
Consumibles: No incluye</t>
        </is>
      </c>
      <c r="U65" s="54" t="inlineStr">
        <is>
          <t>Durante la vigencia del contrato</t>
        </is>
      </c>
      <c r="V65" s="57" t="inlineStr">
        <is>
          <t>SI</t>
        </is>
      </c>
      <c r="W65" s="54" t="inlineStr">
        <is>
          <t>OFTALMO</t>
        </is>
      </c>
      <c r="X65" s="32" t="inlineStr">
        <is>
          <t>S4</t>
        </is>
      </c>
    </row>
    <row r="66" ht="140.4" customHeight="1" s="227">
      <c r="A66" s="49" t="n">
        <v>70</v>
      </c>
      <c r="B66" s="68" t="inlineStr">
        <is>
          <t>CDMX</t>
        </is>
      </c>
      <c r="D66" s="69" t="inlineStr">
        <is>
          <t>Plataforma láser oftálmica combinada YAG/SLT, marca Quantel Medical, modelo Optimis Fusion</t>
        </is>
      </c>
      <c r="E66" s="68" t="inlineStr">
        <is>
          <t>62-10-135</t>
        </is>
      </c>
      <c r="F66" s="69" t="inlineStr">
        <is>
          <t>H.M.E.O. Constituyentes</t>
        </is>
      </c>
      <c r="G66" s="50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6" s="51" t="inlineStr">
        <is>
          <t>Servicio</t>
        </is>
      </c>
      <c r="I66" s="52" t="n">
        <v>1</v>
      </c>
      <c r="J66" s="52" t="n">
        <v>2</v>
      </c>
      <c r="K66" s="59" t="inlineStr">
        <is>
          <t>México</t>
        </is>
      </c>
      <c r="L66" s="290" t="n">
        <v>395689.65</v>
      </c>
      <c r="M66" s="291" t="n">
        <v>75000</v>
      </c>
      <c r="N66" s="292" t="n">
        <v>290000</v>
      </c>
      <c r="O66" s="292">
        <f>I66*N66</f>
        <v/>
      </c>
      <c r="P66" s="292">
        <f>J66*N66</f>
        <v/>
      </c>
      <c r="Q66" s="292">
        <f>SUM(O66:P66)</f>
        <v/>
      </c>
      <c r="R66" s="292">
        <f>Q66*$R$9</f>
        <v/>
      </c>
      <c r="S66" s="292">
        <f>SUM(Q66:R66)</f>
        <v/>
      </c>
      <c r="T66" s="56" t="inlineStr">
        <is>
          <t>Accesorios: No incluye
Consumibles: No incluye</t>
        </is>
      </c>
      <c r="U66" s="54" t="inlineStr">
        <is>
          <t>Durante la vigencia del contrato</t>
        </is>
      </c>
      <c r="V66" s="57" t="inlineStr">
        <is>
          <t>SI</t>
        </is>
      </c>
      <c r="W66" s="54" t="inlineStr">
        <is>
          <t>OFTALMO</t>
        </is>
      </c>
      <c r="X66" s="32" t="inlineStr">
        <is>
          <t>ARFAMEX</t>
        </is>
      </c>
    </row>
    <row r="67" ht="124.95" customHeight="1" s="227">
      <c r="A67" s="49" t="n">
        <v>71</v>
      </c>
      <c r="B67" s="68" t="inlineStr">
        <is>
          <t>CDMX</t>
        </is>
      </c>
      <c r="D67" s="69" t="inlineStr">
        <is>
          <t>Láser excimer, marca Alcon, modelo Wavelight</t>
        </is>
      </c>
      <c r="E67" s="68" t="inlineStr">
        <is>
          <t>1016-4-3384</t>
        </is>
      </c>
      <c r="F67" s="69" t="inlineStr">
        <is>
          <t>H.M.E.O. Constituyentes</t>
        </is>
      </c>
      <c r="G67" s="60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7" s="51" t="inlineStr">
        <is>
          <t>Servicio</t>
        </is>
      </c>
      <c r="I67" s="52" t="n">
        <v>1</v>
      </c>
      <c r="J67" s="52" t="n">
        <v>2</v>
      </c>
      <c r="K67" s="59" t="inlineStr">
        <is>
          <t>México</t>
        </is>
      </c>
      <c r="L67" s="290" t="n">
        <v>454355</v>
      </c>
      <c r="M67" s="291" t="n">
        <v>350000</v>
      </c>
      <c r="N67" s="292" t="n">
        <v>450000</v>
      </c>
      <c r="O67" s="292">
        <f>I67*N67</f>
        <v/>
      </c>
      <c r="P67" s="292">
        <f>J67*N67</f>
        <v/>
      </c>
      <c r="Q67" s="292">
        <f>SUM(O67:P67)</f>
        <v/>
      </c>
      <c r="R67" s="292">
        <f>Q67*$R$9</f>
        <v/>
      </c>
      <c r="S67" s="292">
        <f>SUM(Q67:R67)</f>
        <v/>
      </c>
      <c r="T67" s="56" t="inlineStr">
        <is>
          <t>Accesorios: No incluye
Consumibles: No incluye</t>
        </is>
      </c>
      <c r="U67" s="54" t="inlineStr">
        <is>
          <t>Durante la vigencia del contrato</t>
        </is>
      </c>
      <c r="V67" s="57" t="inlineStr">
        <is>
          <t>SI</t>
        </is>
      </c>
      <c r="W67" s="54" t="inlineStr">
        <is>
          <t>OFTALMO</t>
        </is>
      </c>
      <c r="X67" s="32" t="inlineStr">
        <is>
          <t>ALCON</t>
        </is>
      </c>
    </row>
    <row r="68" ht="124.95" customFormat="1" customHeight="1" s="267">
      <c r="A68" s="49" t="n">
        <v>72</v>
      </c>
      <c r="B68" s="68" t="inlineStr">
        <is>
          <t>CDMX</t>
        </is>
      </c>
      <c r="D68" s="69" t="inlineStr">
        <is>
          <t>Láser oftálmico, marca Quantel Medical, modelo Easyret</t>
        </is>
      </c>
      <c r="E68" s="68" t="inlineStr">
        <is>
          <t>2209031</t>
        </is>
      </c>
      <c r="F68" s="69" t="inlineStr">
        <is>
          <t>H.M.E.O. Constituyentes</t>
        </is>
      </c>
      <c r="G68" s="60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8" s="51" t="inlineStr">
        <is>
          <t>Servicio</t>
        </is>
      </c>
      <c r="I68" s="52" t="n">
        <v>1</v>
      </c>
      <c r="J68" s="52" t="n">
        <v>2</v>
      </c>
      <c r="K68" s="59" t="inlineStr">
        <is>
          <t>México</t>
        </is>
      </c>
      <c r="L68" s="290" t="n">
        <v>391810.34</v>
      </c>
      <c r="M68" s="291" t="n">
        <v>80000</v>
      </c>
      <c r="N68" s="292" t="n">
        <v>250000</v>
      </c>
      <c r="O68" s="292">
        <f>I68*N68</f>
        <v/>
      </c>
      <c r="P68" s="292">
        <f>J68*N68</f>
        <v/>
      </c>
      <c r="Q68" s="292">
        <f>SUM(O68:P68)</f>
        <v/>
      </c>
      <c r="R68" s="292">
        <f>Q68*$R$9</f>
        <v/>
      </c>
      <c r="S68" s="292">
        <f>SUM(Q68:R68)</f>
        <v/>
      </c>
      <c r="T68" s="56" t="inlineStr">
        <is>
          <t>Accesorios: No incluye
Consumibles: No incluye</t>
        </is>
      </c>
      <c r="U68" s="54" t="inlineStr">
        <is>
          <t>Durante la vigencia del contrato</t>
        </is>
      </c>
      <c r="V68" s="57" t="inlineStr">
        <is>
          <t>SI</t>
        </is>
      </c>
      <c r="W68" s="54" t="inlineStr">
        <is>
          <t>OFTALMO</t>
        </is>
      </c>
      <c r="X68" s="32" t="inlineStr">
        <is>
          <t>ARFAMEX</t>
        </is>
      </c>
    </row>
    <row r="69" ht="124.95" customFormat="1" customHeight="1" s="267">
      <c r="A69" s="49" t="n">
        <v>73</v>
      </c>
      <c r="B69" s="68" t="inlineStr">
        <is>
          <t>CDMX</t>
        </is>
      </c>
      <c r="D69" s="69" t="inlineStr">
        <is>
          <t>Láser oftálmico, marca Quantel Medical, modelo Easyret</t>
        </is>
      </c>
      <c r="E69" s="68" t="inlineStr">
        <is>
          <t>2209032</t>
        </is>
      </c>
      <c r="F69" s="69" t="inlineStr">
        <is>
          <t>H.M.E.O. Constituyentes</t>
        </is>
      </c>
      <c r="G69" s="60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9" s="51" t="inlineStr">
        <is>
          <t>Servicio</t>
        </is>
      </c>
      <c r="I69" s="52" t="n">
        <v>1</v>
      </c>
      <c r="J69" s="52" t="n">
        <v>2</v>
      </c>
      <c r="K69" s="59" t="inlineStr">
        <is>
          <t>México</t>
        </is>
      </c>
      <c r="L69" s="290" t="n">
        <v>401979</v>
      </c>
      <c r="M69" s="291" t="n">
        <v>80000</v>
      </c>
      <c r="N69" s="292" t="n">
        <v>250000</v>
      </c>
      <c r="O69" s="292">
        <f>I69*N69</f>
        <v/>
      </c>
      <c r="P69" s="292">
        <f>J69*N69</f>
        <v/>
      </c>
      <c r="Q69" s="292">
        <f>SUM(O69:P69)</f>
        <v/>
      </c>
      <c r="R69" s="292">
        <f>Q69*$R$9</f>
        <v/>
      </c>
      <c r="S69" s="292">
        <f>SUM(Q69:R69)</f>
        <v/>
      </c>
      <c r="T69" s="56" t="inlineStr">
        <is>
          <t>Accesorios: No incluye
Consumibles: No incluye</t>
        </is>
      </c>
      <c r="U69" s="54" t="inlineStr">
        <is>
          <t>Durante la vigencia del contrato</t>
        </is>
      </c>
      <c r="V69" s="57" t="inlineStr">
        <is>
          <t>SI</t>
        </is>
      </c>
      <c r="W69" s="54" t="inlineStr">
        <is>
          <t>OFTALMO</t>
        </is>
      </c>
      <c r="X69" s="32" t="inlineStr">
        <is>
          <t>ARFAMEX</t>
        </is>
      </c>
    </row>
    <row r="70" ht="124.95" customFormat="1" customHeight="1" s="267">
      <c r="A70" s="49" t="n">
        <v>74</v>
      </c>
      <c r="B70" s="68" t="inlineStr">
        <is>
          <t>CDMX</t>
        </is>
      </c>
      <c r="D70" s="69" t="inlineStr">
        <is>
          <t>Equipo para crosslinking ocular, marca KXL, modelo Avedro</t>
        </is>
      </c>
      <c r="E70" s="68" t="inlineStr">
        <is>
          <t>KXL221005</t>
        </is>
      </c>
      <c r="F70" s="69" t="inlineStr">
        <is>
          <t>H.M.E.O. Constituyentes</t>
        </is>
      </c>
      <c r="G70" s="60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0" s="51" t="inlineStr">
        <is>
          <t>Servicio</t>
        </is>
      </c>
      <c r="I70" s="52" t="n">
        <v>1</v>
      </c>
      <c r="J70" s="52" t="n">
        <v>2</v>
      </c>
      <c r="K70" s="59" t="inlineStr">
        <is>
          <t>México</t>
        </is>
      </c>
      <c r="L70" s="290" t="n">
        <v>413200</v>
      </c>
      <c r="M70" s="291" t="n">
        <v>70000</v>
      </c>
      <c r="N70" s="292" t="n">
        <v>250000</v>
      </c>
      <c r="O70" s="292">
        <f>I70*N70</f>
        <v/>
      </c>
      <c r="P70" s="292">
        <f>J70*N70</f>
        <v/>
      </c>
      <c r="Q70" s="292">
        <f>SUM(O70:P70)</f>
        <v/>
      </c>
      <c r="R70" s="292">
        <f>Q70*$R$9</f>
        <v/>
      </c>
      <c r="S70" s="292">
        <f>SUM(Q70:R70)</f>
        <v/>
      </c>
      <c r="T70" s="56" t="inlineStr">
        <is>
          <t>Accesorios: No incluye
Consumibles: No incluye</t>
        </is>
      </c>
      <c r="U70" s="54" t="inlineStr">
        <is>
          <t>Durante la vigencia del contrato</t>
        </is>
      </c>
      <c r="V70" s="57" t="inlineStr">
        <is>
          <t>SI</t>
        </is>
      </c>
      <c r="W70" s="54" t="inlineStr">
        <is>
          <t>OFTALMO</t>
        </is>
      </c>
      <c r="X70" s="32" t="inlineStr">
        <is>
          <t>ARFAMEX</t>
        </is>
      </c>
    </row>
    <row r="71" ht="124.95" customFormat="1" customHeight="1" s="267">
      <c r="A71" s="49" t="n">
        <v>75</v>
      </c>
      <c r="B71" s="68" t="inlineStr">
        <is>
          <t>CDMX</t>
        </is>
      </c>
      <c r="D71" s="69" t="inlineStr">
        <is>
          <t>OCT con retinógrafo integrado, marca Nidek, modelo Retina Scan DUO-2 (RS-300)</t>
        </is>
      </c>
      <c r="E71" s="68" t="inlineStr">
        <is>
          <t>742223</t>
        </is>
      </c>
      <c r="F71" s="69" t="inlineStr">
        <is>
          <t>H.M.E.O. Constituyentes</t>
        </is>
      </c>
      <c r="G71" s="60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1" s="51" t="inlineStr">
        <is>
          <t>Servicio</t>
        </is>
      </c>
      <c r="I71" s="52" t="n">
        <v>2</v>
      </c>
      <c r="J71" s="52" t="n">
        <v>4</v>
      </c>
      <c r="K71" s="59" t="inlineStr">
        <is>
          <t>México</t>
        </is>
      </c>
      <c r="L71" s="290" t="n">
        <v>239612.06</v>
      </c>
      <c r="M71" s="291" t="n">
        <v>90000</v>
      </c>
      <c r="N71" s="292" t="n">
        <v>220000</v>
      </c>
      <c r="O71" s="292">
        <f>I71*N71</f>
        <v/>
      </c>
      <c r="P71" s="292">
        <f>J71*N71</f>
        <v/>
      </c>
      <c r="Q71" s="292">
        <f>SUM(O71:P71)</f>
        <v/>
      </c>
      <c r="R71" s="292">
        <f>Q71*$R$9</f>
        <v/>
      </c>
      <c r="S71" s="292">
        <f>SUM(Q71:R71)</f>
        <v/>
      </c>
      <c r="T71" s="56" t="inlineStr">
        <is>
          <t>Accesorios: No incluye
Consumibles: No incluye</t>
        </is>
      </c>
      <c r="U71" s="54" t="inlineStr">
        <is>
          <t>Durante la vigencia del contrato</t>
        </is>
      </c>
      <c r="V71" s="57" t="inlineStr">
        <is>
          <t>SI</t>
        </is>
      </c>
      <c r="W71" s="54" t="inlineStr">
        <is>
          <t>OFTALMO</t>
        </is>
      </c>
      <c r="X71" s="32" t="inlineStr">
        <is>
          <t>S4</t>
        </is>
      </c>
    </row>
    <row r="72" ht="124.95" customHeight="1" s="227">
      <c r="A72" s="49" t="n">
        <v>76</v>
      </c>
      <c r="B72" s="68" t="inlineStr">
        <is>
          <t>CDMX</t>
        </is>
      </c>
      <c r="D72" s="69" t="inlineStr">
        <is>
          <t>OCT con retinógrafo integrado, marca Nidek, modelo Retina Scan DUO-2 (RS-300)</t>
        </is>
      </c>
      <c r="E72" s="68" t="inlineStr">
        <is>
          <t>741879</t>
        </is>
      </c>
      <c r="F72" s="69" t="inlineStr">
        <is>
          <t>H.M.E.O. Constituyentes</t>
        </is>
      </c>
      <c r="G72" s="60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2" s="51" t="inlineStr">
        <is>
          <t>Servicio</t>
        </is>
      </c>
      <c r="I72" s="52" t="n">
        <v>1</v>
      </c>
      <c r="J72" s="52" t="n">
        <v>2</v>
      </c>
      <c r="K72" s="59" t="inlineStr">
        <is>
          <t>México</t>
        </is>
      </c>
      <c r="L72" s="290" t="n">
        <v>232400</v>
      </c>
      <c r="M72" s="291" t="n">
        <v>90000</v>
      </c>
      <c r="N72" s="292" t="n">
        <v>220000</v>
      </c>
      <c r="O72" s="292">
        <f>I72*N72</f>
        <v/>
      </c>
      <c r="P72" s="292">
        <f>J72*N72</f>
        <v/>
      </c>
      <c r="Q72" s="292">
        <f>SUM(O72:P72)</f>
        <v/>
      </c>
      <c r="R72" s="292">
        <f>Q72*$R$9</f>
        <v/>
      </c>
      <c r="S72" s="292">
        <f>SUM(Q72:R72)</f>
        <v/>
      </c>
      <c r="T72" s="56" t="inlineStr">
        <is>
          <t>Accesorios: No incluye
Consumibles: No incluye</t>
        </is>
      </c>
      <c r="U72" s="54" t="inlineStr">
        <is>
          <t>Durante la vigencia del contrato</t>
        </is>
      </c>
      <c r="V72" s="57" t="inlineStr">
        <is>
          <t>SI</t>
        </is>
      </c>
      <c r="W72" s="54" t="inlineStr">
        <is>
          <t>OFTALMO</t>
        </is>
      </c>
      <c r="X72" s="32" t="inlineStr">
        <is>
          <t>S4</t>
        </is>
      </c>
    </row>
    <row r="73" ht="124.95" customFormat="1" customHeight="1" s="267">
      <c r="A73" s="49" t="n">
        <v>77</v>
      </c>
      <c r="B73" s="68" t="inlineStr">
        <is>
          <t>CDMX</t>
        </is>
      </c>
      <c r="D73" s="69" t="inlineStr">
        <is>
          <t>OCT con retinógrafo integrado, marca Nidek, modelo Retina Scan DUO-2 (RS-300)</t>
        </is>
      </c>
      <c r="E73" s="68" t="inlineStr">
        <is>
          <t>742356</t>
        </is>
      </c>
      <c r="F73" s="69" t="inlineStr">
        <is>
          <t>H.M.E.O. Constituyentes</t>
        </is>
      </c>
      <c r="G73" s="50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3" s="51" t="inlineStr">
        <is>
          <t>Servicio</t>
        </is>
      </c>
      <c r="I73" s="52" t="n">
        <v>1</v>
      </c>
      <c r="J73" s="52" t="n">
        <v>2</v>
      </c>
      <c r="K73" s="59" t="inlineStr">
        <is>
          <t>México</t>
        </is>
      </c>
      <c r="L73" s="290" t="n">
        <v>226422.41</v>
      </c>
      <c r="M73" s="291" t="n">
        <v>90000</v>
      </c>
      <c r="N73" s="292" t="n">
        <v>220000</v>
      </c>
      <c r="O73" s="292">
        <f>I73*N73</f>
        <v/>
      </c>
      <c r="P73" s="292">
        <f>J73*N73</f>
        <v/>
      </c>
      <c r="Q73" s="292">
        <f>SUM(O73:P73)</f>
        <v/>
      </c>
      <c r="R73" s="292">
        <f>Q73*$R$9</f>
        <v/>
      </c>
      <c r="S73" s="292">
        <f>SUM(Q73:R73)</f>
        <v/>
      </c>
      <c r="T73" s="56" t="inlineStr">
        <is>
          <t>Accesorios: No incluye
Consumibles: No incluye</t>
        </is>
      </c>
      <c r="U73" s="54" t="inlineStr">
        <is>
          <t>Durante la vigencia del contrato</t>
        </is>
      </c>
      <c r="V73" s="57" t="inlineStr">
        <is>
          <t>SI</t>
        </is>
      </c>
      <c r="W73" s="54" t="inlineStr">
        <is>
          <t>OFTALMO</t>
        </is>
      </c>
      <c r="X73" s="32" t="inlineStr">
        <is>
          <t>S4</t>
        </is>
      </c>
    </row>
    <row r="74" ht="124.95" customHeight="1" s="227">
      <c r="A74" s="49" t="n">
        <v>78</v>
      </c>
      <c r="B74" s="68" t="inlineStr">
        <is>
          <t>CDMX</t>
        </is>
      </c>
      <c r="D74" s="69" t="inlineStr">
        <is>
          <t>OCT con retinógrafo integrado, marca Nidek, modelo Retina Scan DUO-2 (RS-300)</t>
        </is>
      </c>
      <c r="E74" s="68" t="inlineStr">
        <is>
          <t>741940</t>
        </is>
      </c>
      <c r="F74" s="69" t="inlineStr">
        <is>
          <t>H.M.E.O. Constituyentes</t>
        </is>
      </c>
      <c r="G74" s="50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4" s="51" t="inlineStr">
        <is>
          <t>Servicio</t>
        </is>
      </c>
      <c r="I74" s="52" t="n">
        <v>2</v>
      </c>
      <c r="J74" s="52" t="n">
        <v>4</v>
      </c>
      <c r="K74" s="59" t="inlineStr">
        <is>
          <t>México</t>
        </is>
      </c>
      <c r="L74" s="290" t="n">
        <v>233017.23</v>
      </c>
      <c r="M74" s="291" t="n">
        <v>90000</v>
      </c>
      <c r="N74" s="292" t="n">
        <v>220000</v>
      </c>
      <c r="O74" s="292">
        <f>I74*N74</f>
        <v/>
      </c>
      <c r="P74" s="292">
        <f>J74*N74</f>
        <v/>
      </c>
      <c r="Q74" s="292">
        <f>SUM(O74:P74)</f>
        <v/>
      </c>
      <c r="R74" s="292">
        <f>Q74*$R$9</f>
        <v/>
      </c>
      <c r="S74" s="292">
        <f>SUM(Q74:R74)</f>
        <v/>
      </c>
      <c r="T74" s="56" t="inlineStr">
        <is>
          <t>Accesorios: No incluye
Consumibles: No incluye</t>
        </is>
      </c>
      <c r="U74" s="54" t="inlineStr">
        <is>
          <t>Durante la vigencia del contrato</t>
        </is>
      </c>
      <c r="V74" s="57" t="inlineStr">
        <is>
          <t>SI</t>
        </is>
      </c>
      <c r="W74" s="54" t="inlineStr">
        <is>
          <t>OFTALMO</t>
        </is>
      </c>
      <c r="X74" s="32" t="inlineStr">
        <is>
          <t>S4</t>
        </is>
      </c>
    </row>
    <row r="75" ht="140.4" customHeight="1" s="227">
      <c r="A75" s="49" t="n">
        <v>79</v>
      </c>
      <c r="B75" s="68" t="inlineStr">
        <is>
          <t>CDMX</t>
        </is>
      </c>
      <c r="D75" s="69" t="inlineStr">
        <is>
          <t>Sistema de diagnóstico oftálmico avanzado, marca Heidelberg Engineering, modelo Spectralis</t>
        </is>
      </c>
      <c r="E75" s="68" t="inlineStr">
        <is>
          <t>SPEC-CAM-21931-53610</t>
        </is>
      </c>
      <c r="F75" s="69" t="inlineStr">
        <is>
          <t>H.M.E.O. Constituyentes</t>
        </is>
      </c>
      <c r="G75" s="50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5" s="51" t="inlineStr">
        <is>
          <t>Servicio</t>
        </is>
      </c>
      <c r="I75" s="52" t="n">
        <v>2</v>
      </c>
      <c r="J75" s="52" t="n">
        <v>4</v>
      </c>
      <c r="K75" s="59" t="inlineStr">
        <is>
          <t>México</t>
        </is>
      </c>
      <c r="L75" s="290" t="n">
        <v>403448.27</v>
      </c>
      <c r="M75" s="291" t="n">
        <v>125000</v>
      </c>
      <c r="N75" s="292" t="n">
        <v>300000</v>
      </c>
      <c r="O75" s="292">
        <f>I75*N75</f>
        <v/>
      </c>
      <c r="P75" s="292">
        <f>J75*N75</f>
        <v/>
      </c>
      <c r="Q75" s="292">
        <f>SUM(O75:P75)</f>
        <v/>
      </c>
      <c r="R75" s="292">
        <f>Q75*$R$9</f>
        <v/>
      </c>
      <c r="S75" s="292">
        <f>SUM(Q75:R75)</f>
        <v/>
      </c>
      <c r="T75" s="56" t="inlineStr">
        <is>
          <t>Accesorios: No incluye
Consumibles: No incluye</t>
        </is>
      </c>
      <c r="U75" s="54" t="inlineStr">
        <is>
          <t>Durante la vigencia del contrato</t>
        </is>
      </c>
      <c r="V75" s="57" t="inlineStr">
        <is>
          <t>SI</t>
        </is>
      </c>
      <c r="W75" s="54" t="inlineStr">
        <is>
          <t>OFTALMO</t>
        </is>
      </c>
      <c r="X75" s="32" t="inlineStr">
        <is>
          <t>ARFAMEX</t>
        </is>
      </c>
    </row>
    <row r="76" ht="140.4" customHeight="1" s="227">
      <c r="A76" s="49" t="n">
        <v>80</v>
      </c>
      <c r="B76" s="68" t="inlineStr">
        <is>
          <t>CDMX</t>
        </is>
      </c>
      <c r="D76" s="69" t="inlineStr">
        <is>
          <t>Sistema de diagnóstico oftálmico avanzado, marca Heidelberg Engineering, modelo Spectralis</t>
        </is>
      </c>
      <c r="E76" s="68" t="inlineStr">
        <is>
          <t>SPEC-CAM-21920-53610</t>
        </is>
      </c>
      <c r="F76" s="69" t="inlineStr">
        <is>
          <t>H.M.E.O. Constituyentes</t>
        </is>
      </c>
      <c r="G76" s="50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6" s="51" t="inlineStr">
        <is>
          <t>Servicio</t>
        </is>
      </c>
      <c r="I76" s="52" t="n">
        <v>2</v>
      </c>
      <c r="J76" s="52" t="n">
        <v>4</v>
      </c>
      <c r="K76" s="59" t="inlineStr">
        <is>
          <t>México</t>
        </is>
      </c>
      <c r="L76" s="290" t="n">
        <v>407327.58</v>
      </c>
      <c r="M76" s="291" t="n">
        <v>125000</v>
      </c>
      <c r="N76" s="292" t="n">
        <v>300000</v>
      </c>
      <c r="O76" s="292">
        <f>I76*N76</f>
        <v/>
      </c>
      <c r="P76" s="292">
        <f>J76*N76</f>
        <v/>
      </c>
      <c r="Q76" s="292">
        <f>SUM(O76:P76)</f>
        <v/>
      </c>
      <c r="R76" s="292">
        <f>Q76*$R$9</f>
        <v/>
      </c>
      <c r="S76" s="292">
        <f>SUM(Q76:R76)</f>
        <v/>
      </c>
      <c r="T76" s="56" t="inlineStr">
        <is>
          <t>Accesorios: No incluye
Consumibles: No incluye</t>
        </is>
      </c>
      <c r="U76" s="54" t="inlineStr">
        <is>
          <t>Durante la vigencia del contrato</t>
        </is>
      </c>
      <c r="V76" s="57" t="inlineStr">
        <is>
          <t>SI</t>
        </is>
      </c>
      <c r="W76" s="54" t="inlineStr">
        <is>
          <t>OFTALMO</t>
        </is>
      </c>
      <c r="X76" s="32" t="inlineStr">
        <is>
          <t>ARFAMEX</t>
        </is>
      </c>
    </row>
    <row r="77" ht="140.4" customHeight="1" s="227">
      <c r="A77" s="49" t="n">
        <v>81</v>
      </c>
      <c r="B77" s="68" t="inlineStr">
        <is>
          <t>CDMX</t>
        </is>
      </c>
      <c r="D77" s="69" t="inlineStr">
        <is>
          <t>Sistema de diagnóstico oftálmico avanzado, marca Heidelberg Engineering, modelo Spectralis</t>
        </is>
      </c>
      <c r="E77" s="68" t="inlineStr">
        <is>
          <t>SPEC-CAM-21928-53610</t>
        </is>
      </c>
      <c r="F77" s="69" t="inlineStr">
        <is>
          <t>H.M.E.O. Constituyentes</t>
        </is>
      </c>
      <c r="G77" s="50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7" s="51" t="inlineStr">
        <is>
          <t>Servicio</t>
        </is>
      </c>
      <c r="I77" s="52" t="n">
        <v>2</v>
      </c>
      <c r="J77" s="52" t="n">
        <v>4</v>
      </c>
      <c r="K77" s="59" t="inlineStr">
        <is>
          <t>México</t>
        </is>
      </c>
      <c r="L77" s="290" t="n">
        <v>426724.13</v>
      </c>
      <c r="M77" s="291" t="n">
        <v>125000</v>
      </c>
      <c r="N77" s="292" t="n">
        <v>300000</v>
      </c>
      <c r="O77" s="292">
        <f>I77*N77</f>
        <v/>
      </c>
      <c r="P77" s="292">
        <f>J77*N77</f>
        <v/>
      </c>
      <c r="Q77" s="292">
        <f>SUM(O77:P77)</f>
        <v/>
      </c>
      <c r="R77" s="292">
        <f>Q77*$R$9</f>
        <v/>
      </c>
      <c r="S77" s="292">
        <f>SUM(Q77:R77)</f>
        <v/>
      </c>
      <c r="T77" s="56" t="inlineStr">
        <is>
          <t>Accesorios: No incluye
Consumibles: No incluye</t>
        </is>
      </c>
      <c r="U77" s="54" t="inlineStr">
        <is>
          <t>Durante la vigencia del contrato</t>
        </is>
      </c>
      <c r="V77" s="57" t="inlineStr">
        <is>
          <t>SI</t>
        </is>
      </c>
      <c r="W77" s="54" t="inlineStr">
        <is>
          <t>OFTALMO</t>
        </is>
      </c>
      <c r="X77" s="32" t="inlineStr">
        <is>
          <t>ARFAMEX</t>
        </is>
      </c>
    </row>
    <row r="78" ht="124.95" customHeight="1" s="227">
      <c r="A78" s="49" t="n">
        <v>82</v>
      </c>
      <c r="B78" s="68" t="inlineStr">
        <is>
          <t>CDMX</t>
        </is>
      </c>
      <c r="D78" s="69" t="inlineStr">
        <is>
          <t>Retinógrafo de campo ultra amplio, marca Optos, modelo California</t>
        </is>
      </c>
      <c r="E78" s="68" t="inlineStr">
        <is>
          <t>41652</t>
        </is>
      </c>
      <c r="F78" s="69" t="inlineStr">
        <is>
          <t>H.M.E.O. Constituyentes</t>
        </is>
      </c>
      <c r="G78" s="50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8" s="51" t="inlineStr">
        <is>
          <t>Servicio</t>
        </is>
      </c>
      <c r="I78" s="52" t="n">
        <v>1</v>
      </c>
      <c r="J78" s="52" t="n">
        <v>2</v>
      </c>
      <c r="K78" s="59" t="inlineStr">
        <is>
          <t>México</t>
        </is>
      </c>
      <c r="L78" s="290" t="n">
        <v>241810.34</v>
      </c>
      <c r="M78" s="291" t="n"/>
      <c r="N78" s="292" t="n">
        <v>220000</v>
      </c>
      <c r="O78" s="292">
        <f>I78*N78</f>
        <v/>
      </c>
      <c r="P78" s="292">
        <f>J78*N78</f>
        <v/>
      </c>
      <c r="Q78" s="292">
        <f>SUM(O78:P78)</f>
        <v/>
      </c>
      <c r="R78" s="292">
        <f>Q78*$R$9</f>
        <v/>
      </c>
      <c r="S78" s="292">
        <f>SUM(Q78:R78)</f>
        <v/>
      </c>
      <c r="T78" s="56" t="inlineStr">
        <is>
          <t>Accesorios: No incluye
Consumibles: No incluye</t>
        </is>
      </c>
      <c r="U78" s="54" t="inlineStr">
        <is>
          <t>Durante la vigencia del contrato</t>
        </is>
      </c>
      <c r="V78" s="57" t="inlineStr">
        <is>
          <t>SI</t>
        </is>
      </c>
      <c r="W78" s="54" t="inlineStr">
        <is>
          <t>OFTALMO</t>
        </is>
      </c>
      <c r="X78" s="32" t="inlineStr">
        <is>
          <t>DEWIMED</t>
        </is>
      </c>
    </row>
    <row r="79" ht="124.95" customHeight="1" s="227">
      <c r="A79" s="49" t="n">
        <v>83</v>
      </c>
      <c r="B79" s="68" t="inlineStr">
        <is>
          <t>CDMX</t>
        </is>
      </c>
      <c r="D79" s="69" t="inlineStr">
        <is>
          <t>Retinógrafo de campo ultra amplio, marca Optos, modelo California</t>
        </is>
      </c>
      <c r="E79" s="68" t="inlineStr">
        <is>
          <t>41656</t>
        </is>
      </c>
      <c r="F79" s="69" t="inlineStr">
        <is>
          <t>H.M.E.O. Constituyentes</t>
        </is>
      </c>
      <c r="G79" s="50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9" s="51" t="inlineStr">
        <is>
          <t>Servicio</t>
        </is>
      </c>
      <c r="I79" s="52" t="n">
        <v>1</v>
      </c>
      <c r="J79" s="52" t="n">
        <v>2</v>
      </c>
      <c r="K79" s="59" t="inlineStr">
        <is>
          <t>México</t>
        </is>
      </c>
      <c r="L79" s="290" t="n">
        <v>230818.96</v>
      </c>
      <c r="M79" s="291" t="n"/>
      <c r="N79" s="292" t="n">
        <v>220000</v>
      </c>
      <c r="O79" s="292">
        <f>I79*N79</f>
        <v/>
      </c>
      <c r="P79" s="292">
        <f>J79*N79</f>
        <v/>
      </c>
      <c r="Q79" s="292">
        <f>SUM(O79:P79)</f>
        <v/>
      </c>
      <c r="R79" s="292">
        <f>Q79*$R$9</f>
        <v/>
      </c>
      <c r="S79" s="292">
        <f>SUM(Q79:R79)</f>
        <v/>
      </c>
      <c r="T79" s="56" t="inlineStr">
        <is>
          <t>Accesorios: No incluye
Consumibles: No incluye</t>
        </is>
      </c>
      <c r="U79" s="54" t="inlineStr">
        <is>
          <t>Durante la vigencia del contrato</t>
        </is>
      </c>
      <c r="V79" s="57" t="inlineStr">
        <is>
          <t>SI</t>
        </is>
      </c>
      <c r="W79" s="54" t="inlineStr">
        <is>
          <t>OFTALMO</t>
        </is>
      </c>
      <c r="X79" s="32" t="inlineStr">
        <is>
          <t>DEWIMED</t>
        </is>
      </c>
    </row>
    <row r="80" ht="124.95" customHeight="1" s="227">
      <c r="A80" s="49" t="n">
        <v>87</v>
      </c>
      <c r="B80" s="68" t="inlineStr">
        <is>
          <t>EDO DE MEX</t>
        </is>
      </c>
      <c r="D80" s="69" t="inlineStr">
        <is>
          <t>Autoqueratorrefractor, marca Nidek, modelo ARK-F</t>
        </is>
      </c>
      <c r="E80" s="68" t="inlineStr">
        <is>
          <t>270010</t>
        </is>
      </c>
      <c r="F80" s="69" t="inlineStr">
        <is>
          <t>H.M.R. Santa Lucía</t>
        </is>
      </c>
      <c r="G80" s="50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0" s="51" t="inlineStr">
        <is>
          <t>Servicio</t>
        </is>
      </c>
      <c r="I80" s="52" t="n">
        <v>1</v>
      </c>
      <c r="J80" s="52" t="n">
        <v>2</v>
      </c>
      <c r="K80" s="59" t="inlineStr">
        <is>
          <t>México</t>
        </is>
      </c>
      <c r="L80" s="290" t="n">
        <v>124461.2</v>
      </c>
      <c r="M80" s="291" t="n">
        <v>15000</v>
      </c>
      <c r="N80" s="292" t="n">
        <v>120000</v>
      </c>
      <c r="O80" s="292">
        <f>I80*N80</f>
        <v/>
      </c>
      <c r="P80" s="292">
        <f>J80*N80</f>
        <v/>
      </c>
      <c r="Q80" s="292">
        <f>SUM(O80:P80)</f>
        <v/>
      </c>
      <c r="R80" s="292">
        <f>Q80*$R$9</f>
        <v/>
      </c>
      <c r="S80" s="292">
        <f>SUM(Q80:R80)</f>
        <v/>
      </c>
      <c r="T80" s="56" t="inlineStr">
        <is>
          <t>Accesorios: No incluye
Consumibles: No incluye</t>
        </is>
      </c>
      <c r="U80" s="54" t="inlineStr">
        <is>
          <t>Durante la vigencia del contrato</t>
        </is>
      </c>
      <c r="V80" s="57" t="inlineStr">
        <is>
          <t>SI</t>
        </is>
      </c>
      <c r="W80" s="54" t="inlineStr">
        <is>
          <t>OFTALMO</t>
        </is>
      </c>
      <c r="X80" s="32" t="inlineStr">
        <is>
          <t>S4</t>
        </is>
      </c>
    </row>
    <row r="81" ht="124.95" customHeight="1" s="227">
      <c r="A81" s="49" t="n">
        <v>88</v>
      </c>
      <c r="B81" s="68" t="inlineStr">
        <is>
          <t>EDO DE MEX</t>
        </is>
      </c>
      <c r="D81" s="69" t="inlineStr">
        <is>
          <t>Tomógrafo-topógrafo corneal, marca CSO, modelo Sirius</t>
        </is>
      </c>
      <c r="E81" s="68" t="inlineStr">
        <is>
          <t>21091186</t>
        </is>
      </c>
      <c r="F81" s="69" t="inlineStr">
        <is>
          <t>H.M.R. Santa Lucía</t>
        </is>
      </c>
      <c r="G81" s="50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1" s="51" t="inlineStr">
        <is>
          <t>Servicio</t>
        </is>
      </c>
      <c r="I81" s="52" t="n">
        <v>1</v>
      </c>
      <c r="J81" s="52" t="n">
        <v>2</v>
      </c>
      <c r="K81" s="59" t="inlineStr">
        <is>
          <t>México</t>
        </is>
      </c>
      <c r="L81" s="290" t="n">
        <v>178412</v>
      </c>
      <c r="M81" s="291" t="inlineStr">
        <is>
          <t>NO</t>
        </is>
      </c>
      <c r="N81" s="292" t="n">
        <v>175000</v>
      </c>
      <c r="O81" s="292">
        <f>I81*N81</f>
        <v/>
      </c>
      <c r="P81" s="292">
        <f>J81*N81</f>
        <v/>
      </c>
      <c r="Q81" s="292">
        <f>SUM(O81:P81)</f>
        <v/>
      </c>
      <c r="R81" s="292">
        <f>Q81*$R$9</f>
        <v/>
      </c>
      <c r="S81" s="292">
        <f>SUM(Q81:R81)</f>
        <v/>
      </c>
      <c r="T81" s="56" t="inlineStr">
        <is>
          <t>Accesorios: No incluye
Consumibles: No incluye</t>
        </is>
      </c>
      <c r="U81" s="54" t="inlineStr">
        <is>
          <t>Durante la vigencia del contrato</t>
        </is>
      </c>
      <c r="V81" s="57" t="inlineStr">
        <is>
          <t>SI</t>
        </is>
      </c>
      <c r="W81" s="54" t="inlineStr">
        <is>
          <t>OFTALMO</t>
        </is>
      </c>
      <c r="X81" s="32" t="inlineStr">
        <is>
          <t>S4</t>
        </is>
      </c>
    </row>
    <row r="82" ht="124.95" customHeight="1" s="227">
      <c r="A82" s="49" t="n">
        <v>94</v>
      </c>
      <c r="B82" s="68" t="inlineStr">
        <is>
          <t>EDO DE MEX</t>
        </is>
      </c>
      <c r="D82" s="69" t="inlineStr">
        <is>
          <t>Fotocoagulador láser, marca Topcon, modelo Pascal Synthesis</t>
        </is>
      </c>
      <c r="E82" s="68" t="inlineStr">
        <is>
          <t>79140219</t>
        </is>
      </c>
      <c r="F82" s="69" t="inlineStr">
        <is>
          <t>H.M.R. Santa Lucía</t>
        </is>
      </c>
      <c r="G82" s="50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2" s="51" t="inlineStr">
        <is>
          <t>Servicio</t>
        </is>
      </c>
      <c r="I82" s="52" t="n">
        <v>1</v>
      </c>
      <c r="J82" s="52" t="n">
        <v>2</v>
      </c>
      <c r="K82" s="59" t="inlineStr">
        <is>
          <t>México</t>
        </is>
      </c>
      <c r="L82" s="290" t="n">
        <v>425000</v>
      </c>
      <c r="M82" s="291" t="inlineStr">
        <is>
          <t>NO</t>
        </is>
      </c>
      <c r="N82" s="292" t="n">
        <v>420000</v>
      </c>
      <c r="O82" s="292">
        <f>I82*N82</f>
        <v/>
      </c>
      <c r="P82" s="292">
        <f>J82*N82</f>
        <v/>
      </c>
      <c r="Q82" s="292">
        <f>SUM(O82:P82)</f>
        <v/>
      </c>
      <c r="R82" s="292">
        <f>Q82*$R$9</f>
        <v/>
      </c>
      <c r="S82" s="292">
        <f>SUM(Q82:R82)</f>
        <v/>
      </c>
      <c r="T82" s="56" t="inlineStr">
        <is>
          <t>Accesorios: No incluye
Consumibles: No incluye</t>
        </is>
      </c>
      <c r="U82" s="54" t="inlineStr">
        <is>
          <t>Durante la vigencia del contrato</t>
        </is>
      </c>
      <c r="V82" s="57" t="inlineStr">
        <is>
          <t>SI</t>
        </is>
      </c>
      <c r="W82" s="54" t="inlineStr">
        <is>
          <t>OFTALMO</t>
        </is>
      </c>
      <c r="X82" s="32" t="inlineStr">
        <is>
          <t>TOPCON</t>
        </is>
      </c>
    </row>
    <row r="83" ht="124.95" customHeight="1" s="227">
      <c r="A83" s="38" t="n">
        <v>98</v>
      </c>
      <c r="B83" s="68" t="inlineStr">
        <is>
          <t>BAJA CALIFORNIA</t>
        </is>
      </c>
      <c r="D83" s="69" t="inlineStr">
        <is>
          <t>Tomógrafo-topógrafo corneal, marca Bausch &amp; Lomb, modelo Orbscan II</t>
        </is>
      </c>
      <c r="E83" s="68" t="inlineStr">
        <is>
          <t>71023432</t>
        </is>
      </c>
      <c r="F83" s="69" t="inlineStr">
        <is>
          <t>H.M.R. La Paz</t>
        </is>
      </c>
      <c r="G83" s="39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83" s="40" t="inlineStr">
        <is>
          <t>Servicio</t>
        </is>
      </c>
      <c r="I83" s="41" t="n">
        <v>1</v>
      </c>
      <c r="J83" s="41" t="n">
        <v>2</v>
      </c>
      <c r="K83" s="42" t="inlineStr">
        <is>
          <t>México</t>
        </is>
      </c>
      <c r="L83" s="293" t="n">
        <v>203455</v>
      </c>
      <c r="M83" s="293" t="n"/>
      <c r="N83" s="293" t="n">
        <v>380000</v>
      </c>
      <c r="O83" s="293">
        <f>I83*N83</f>
        <v/>
      </c>
      <c r="P83" s="293">
        <f>J83*N83</f>
        <v/>
      </c>
      <c r="Q83" s="293">
        <f>SUM(O83:P83)</f>
        <v/>
      </c>
      <c r="R83" s="293">
        <f>Q83*$R$9</f>
        <v/>
      </c>
      <c r="S83" s="293">
        <f>SUM(Q83:R83)</f>
        <v/>
      </c>
      <c r="T83" s="44" t="inlineStr">
        <is>
          <t>Accesorios: No incluye
Consumibles: No incluye</t>
        </is>
      </c>
      <c r="U83" s="45" t="inlineStr">
        <is>
          <t>Durante la vigencia del contrato</t>
        </is>
      </c>
      <c r="V83" s="46" t="inlineStr">
        <is>
          <t>NO</t>
        </is>
      </c>
      <c r="W83" s="45" t="inlineStr">
        <is>
          <t>OFTALMO</t>
        </is>
      </c>
      <c r="X83" s="32" t="inlineStr">
        <is>
          <t>BAUSH</t>
        </is>
      </c>
    </row>
    <row r="84" ht="124.95" customHeight="1" s="227">
      <c r="A84" s="38" t="n">
        <v>99</v>
      </c>
      <c r="B84" s="68" t="inlineStr">
        <is>
          <t>DURANGO</t>
        </is>
      </c>
      <c r="D84" s="69" t="inlineStr">
        <is>
          <t>Rayos X fijo, marca Del Medical, modelo EV 800</t>
        </is>
      </c>
      <c r="E84" s="68" t="inlineStr">
        <is>
          <t>02776-1019-W</t>
        </is>
      </c>
      <c r="F84" s="69" t="inlineStr">
        <is>
          <t>H.M.Z. Cinco de Mayo</t>
        </is>
      </c>
      <c r="G84" s="39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H84" s="40" t="inlineStr">
        <is>
          <t>Servicio</t>
        </is>
      </c>
      <c r="I84" s="41" t="n">
        <v>1</v>
      </c>
      <c r="J84" s="41" t="n">
        <v>2</v>
      </c>
      <c r="K84" s="42" t="inlineStr">
        <is>
          <t>México</t>
        </is>
      </c>
      <c r="L84" s="293" t="n">
        <v>256359.94</v>
      </c>
      <c r="M84" s="293" t="n"/>
      <c r="N84" s="293" t="n">
        <v>350000</v>
      </c>
      <c r="O84" s="293">
        <f>I84*N84</f>
        <v/>
      </c>
      <c r="P84" s="293">
        <f>J84*N84</f>
        <v/>
      </c>
      <c r="Q84" s="293">
        <f>SUM(O84:P84)</f>
        <v/>
      </c>
      <c r="R84" s="293">
        <f>Q84*$R$9</f>
        <v/>
      </c>
      <c r="S84" s="293">
        <f>SUM(Q84:R84)</f>
        <v/>
      </c>
      <c r="T84" s="44" t="inlineStr">
        <is>
          <t>Accesorios: No incluye
Consumibles: No incluye</t>
        </is>
      </c>
      <c r="U84" s="45" t="inlineStr">
        <is>
          <t>Durante la vigencia del contrato</t>
        </is>
      </c>
      <c r="V84" s="46" t="inlineStr">
        <is>
          <t>NO</t>
        </is>
      </c>
      <c r="W84" s="47" t="inlineStr">
        <is>
          <t>IMAGEN</t>
        </is>
      </c>
    </row>
    <row r="85" ht="124.95" customHeight="1" s="227">
      <c r="A85" s="38" t="n">
        <v>107</v>
      </c>
      <c r="B85" s="68" t="inlineStr">
        <is>
          <t>CDMX</t>
        </is>
      </c>
      <c r="D85" s="69" t="inlineStr">
        <is>
          <t>Rayos X móvil, marca Fujifilm, modelo DR-XD 1000</t>
        </is>
      </c>
      <c r="E85" s="68" t="inlineStr">
        <is>
          <t>77250288</t>
        </is>
      </c>
      <c r="F85" s="69" t="inlineStr">
        <is>
          <t>H.C.M. Lomas de Sotelo</t>
        </is>
      </c>
      <c r="G85" s="39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5" s="40" t="inlineStr">
        <is>
          <t>Servicio</t>
        </is>
      </c>
      <c r="I85" s="41" t="n">
        <v>1</v>
      </c>
      <c r="J85" s="41" t="n">
        <v>2</v>
      </c>
      <c r="K85" s="42" t="inlineStr">
        <is>
          <t>México</t>
        </is>
      </c>
      <c r="L85" s="293" t="n">
        <v>223879.31</v>
      </c>
      <c r="M85" s="293" t="n"/>
      <c r="N85" s="293" t="n">
        <v>220000</v>
      </c>
      <c r="O85" s="293">
        <f>I85*N85</f>
        <v/>
      </c>
      <c r="P85" s="293">
        <f>J85*N85</f>
        <v/>
      </c>
      <c r="Q85" s="293">
        <f>SUM(O85:P85)</f>
        <v/>
      </c>
      <c r="R85" s="293">
        <f>Q85*$R$9</f>
        <v/>
      </c>
      <c r="S85" s="293">
        <f>SUM(Q85:R85)</f>
        <v/>
      </c>
      <c r="T85" s="44" t="inlineStr">
        <is>
          <t>Accesorios: No incluye
Consumibles: No incluye</t>
        </is>
      </c>
      <c r="U85" s="45" t="inlineStr">
        <is>
          <t>Durante la vigencia del contrato</t>
        </is>
      </c>
      <c r="V85" s="46" t="inlineStr">
        <is>
          <t>SI</t>
        </is>
      </c>
      <c r="W85" s="47" t="inlineStr">
        <is>
          <t>IMAGEN</t>
        </is>
      </c>
    </row>
    <row r="86" ht="124.95" customHeight="1" s="227">
      <c r="A86" s="38" t="n">
        <v>111</v>
      </c>
      <c r="B86" s="68" t="inlineStr">
        <is>
          <t>CDMX</t>
        </is>
      </c>
      <c r="D86" s="69" t="inlineStr">
        <is>
          <t>Rayos X móvil, marca Fujifilm, modelo FDR Go</t>
        </is>
      </c>
      <c r="E86" s="68" t="inlineStr">
        <is>
          <t>566-19888-11</t>
        </is>
      </c>
      <c r="F86" s="69" t="inlineStr">
        <is>
          <t>H.M.E.M. Y N. Lomas de Sotelo</t>
        </is>
      </c>
      <c r="G86" s="39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6" s="40" t="inlineStr">
        <is>
          <t>Servicio</t>
        </is>
      </c>
      <c r="I86" s="41" t="n">
        <v>1</v>
      </c>
      <c r="J86" s="41" t="n">
        <v>2</v>
      </c>
      <c r="K86" s="42" t="inlineStr">
        <is>
          <t>México</t>
        </is>
      </c>
      <c r="L86" s="293" t="n">
        <v>218103.45</v>
      </c>
      <c r="M86" s="293" t="n"/>
      <c r="N86" s="293" t="n">
        <v>210000</v>
      </c>
      <c r="O86" s="293">
        <f>I86*N86</f>
        <v/>
      </c>
      <c r="P86" s="293">
        <f>J86*N86</f>
        <v/>
      </c>
      <c r="Q86" s="293">
        <f>SUM(O86:P86)</f>
        <v/>
      </c>
      <c r="R86" s="293">
        <f>Q86*$R$9</f>
        <v/>
      </c>
      <c r="S86" s="293">
        <f>SUM(Q86:R86)</f>
        <v/>
      </c>
      <c r="T86" s="44" t="inlineStr">
        <is>
          <t>Accesorios: No incluye
Consumibles: No incluye</t>
        </is>
      </c>
      <c r="U86" s="45" t="inlineStr">
        <is>
          <t>Durante la vigencia del contrato</t>
        </is>
      </c>
      <c r="V86" s="46" t="inlineStr">
        <is>
          <t>SI</t>
        </is>
      </c>
      <c r="W86" s="47" t="inlineStr">
        <is>
          <t>IMAGEN</t>
        </is>
      </c>
    </row>
    <row r="87" ht="140.4" customHeight="1" s="227">
      <c r="A87" s="38" t="n">
        <v>112</v>
      </c>
      <c r="B87" s="68" t="inlineStr">
        <is>
          <t>CDMX</t>
        </is>
      </c>
      <c r="D87" s="69" t="inlineStr">
        <is>
          <t>Sistema digital de imagen de campo amplio, marca Clarity Medical Systems, modelo RetCam 3</t>
        </is>
      </c>
      <c r="E87" s="68" t="inlineStr">
        <is>
          <t>RC7406</t>
        </is>
      </c>
      <c r="F87" s="69" t="inlineStr">
        <is>
          <t>H.M.E.M. Y N. Lomas de Sotelo</t>
        </is>
      </c>
      <c r="G87" s="39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7" s="40" t="inlineStr">
        <is>
          <t>Servicio</t>
        </is>
      </c>
      <c r="I87" s="41" t="n">
        <v>1</v>
      </c>
      <c r="J87" s="41" t="n">
        <v>2</v>
      </c>
      <c r="K87" s="42" t="inlineStr">
        <is>
          <t>México</t>
        </is>
      </c>
      <c r="L87" s="293" t="n">
        <v>331588.09</v>
      </c>
      <c r="M87" s="293" t="n"/>
      <c r="N87" s="293" t="n">
        <v>320000</v>
      </c>
      <c r="O87" s="293">
        <f>I87*N87</f>
        <v/>
      </c>
      <c r="P87" s="293">
        <f>J87*N87</f>
        <v/>
      </c>
      <c r="Q87" s="293">
        <f>SUM(O87:P87)</f>
        <v/>
      </c>
      <c r="R87" s="293">
        <f>Q87*$R$9</f>
        <v/>
      </c>
      <c r="S87" s="293">
        <f>SUM(Q87:R87)</f>
        <v/>
      </c>
      <c r="T87" s="44" t="inlineStr">
        <is>
          <t>Accesorios: No incluye
Consumibles: No incluye</t>
        </is>
      </c>
      <c r="U87" s="45" t="inlineStr">
        <is>
          <t>Durante la vigencia del contrato</t>
        </is>
      </c>
      <c r="V87" s="46" t="inlineStr">
        <is>
          <t>SI</t>
        </is>
      </c>
      <c r="W87" s="47" t="inlineStr">
        <is>
          <t>IMAGEN</t>
        </is>
      </c>
    </row>
    <row r="88" ht="124.95" customHeight="1" s="227">
      <c r="A88" s="38" t="n">
        <v>116</v>
      </c>
      <c r="B88" s="68" t="inlineStr">
        <is>
          <t>JALISCO</t>
        </is>
      </c>
      <c r="D88" s="69" t="inlineStr">
        <is>
          <t>Rayos X móvil, marca Fujifilm, modelo FDR Go</t>
        </is>
      </c>
      <c r="E88" s="68" t="inlineStr">
        <is>
          <t>F168B78007</t>
        </is>
      </c>
      <c r="F88" s="69" t="inlineStr">
        <is>
          <t>H.M.Z. Zapopan</t>
        </is>
      </c>
      <c r="G88" s="39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88" s="40" t="inlineStr">
        <is>
          <t>Servicio</t>
        </is>
      </c>
      <c r="I88" s="41" t="n">
        <v>1</v>
      </c>
      <c r="J88" s="41" t="n">
        <v>2</v>
      </c>
      <c r="K88" s="42" t="inlineStr">
        <is>
          <t>México</t>
        </is>
      </c>
      <c r="L88" s="293" t="n">
        <v>355845</v>
      </c>
      <c r="M88" s="293" t="n"/>
      <c r="N88" s="293" t="n">
        <v>350000</v>
      </c>
      <c r="O88" s="293">
        <f>I88*N88</f>
        <v/>
      </c>
      <c r="P88" s="293">
        <f>J88*N88</f>
        <v/>
      </c>
      <c r="Q88" s="293">
        <f>SUM(O88:P88)</f>
        <v/>
      </c>
      <c r="R88" s="293">
        <f>Q88*$R$9</f>
        <v/>
      </c>
      <c r="S88" s="293">
        <f>SUM(Q88:R88)</f>
        <v/>
      </c>
      <c r="T88" s="44" t="inlineStr">
        <is>
          <t>Accesorios: No incluye
Consumibles: No incluye</t>
        </is>
      </c>
      <c r="U88" s="45" t="inlineStr">
        <is>
          <t>Durante la vigencia del contrato</t>
        </is>
      </c>
      <c r="V88" s="46" t="inlineStr">
        <is>
          <t>SI</t>
        </is>
      </c>
      <c r="W88" s="47" t="inlineStr">
        <is>
          <t>IMAGEN</t>
        </is>
      </c>
    </row>
    <row r="89" ht="124.95" customHeight="1" s="227">
      <c r="A89" s="38" t="n">
        <v>119</v>
      </c>
      <c r="B89" s="68" t="inlineStr">
        <is>
          <t>COAHUILA</t>
        </is>
      </c>
      <c r="D89" s="69" t="inlineStr">
        <is>
          <t>Rayos X móvil, marca Fujifilm, modelo FDR Go</t>
        </is>
      </c>
      <c r="E89" s="68" t="inlineStr">
        <is>
          <t>41DBBA14CO</t>
        </is>
      </c>
      <c r="F89" s="69" t="inlineStr">
        <is>
          <t>H.M.R. Torreón</t>
        </is>
      </c>
      <c r="G89" s="39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H89" s="40" t="inlineStr">
        <is>
          <t>Servicio</t>
        </is>
      </c>
      <c r="I89" s="41" t="n">
        <v>1</v>
      </c>
      <c r="J89" s="41" t="n">
        <v>2</v>
      </c>
      <c r="K89" s="42" t="inlineStr">
        <is>
          <t>México</t>
        </is>
      </c>
      <c r="L89" s="293" t="n">
        <v>368495</v>
      </c>
      <c r="M89" s="293" t="n"/>
      <c r="N89" s="293" t="n">
        <v>350000</v>
      </c>
      <c r="O89" s="293">
        <f>I89*N89</f>
        <v/>
      </c>
      <c r="P89" s="293">
        <f>J89*N89</f>
        <v/>
      </c>
      <c r="Q89" s="293">
        <f>SUM(O89:P89)</f>
        <v/>
      </c>
      <c r="R89" s="293">
        <f>Q89*$R$9</f>
        <v/>
      </c>
      <c r="S89" s="293">
        <f>SUM(Q89:R89)</f>
        <v/>
      </c>
      <c r="T89" s="44" t="inlineStr">
        <is>
          <t>Accesorios: No incluye
Consumibles: No incluye</t>
        </is>
      </c>
      <c r="U89" s="45" t="inlineStr">
        <is>
          <t>Durante la vigencia del contrato</t>
        </is>
      </c>
      <c r="V89" s="46" t="inlineStr">
        <is>
          <t>SI</t>
        </is>
      </c>
      <c r="W89" s="47" t="inlineStr">
        <is>
          <t>IMAGEN</t>
        </is>
      </c>
    </row>
    <row r="90" ht="124.95" customHeight="1" s="227">
      <c r="A90" s="38" t="n">
        <v>134</v>
      </c>
      <c r="B90" s="68" t="inlineStr">
        <is>
          <t>VERACRUZ</t>
        </is>
      </c>
      <c r="D90" s="69" t="inlineStr">
        <is>
          <t>Rayos X móvil, marca Fujifilm, modelo FDR Go</t>
        </is>
      </c>
      <c r="E90" s="68" t="inlineStr">
        <is>
          <t>41DBBA14A019</t>
        </is>
      </c>
      <c r="F90" s="69" t="inlineStr">
        <is>
          <t>H.M.R. Tuxpan</t>
        </is>
      </c>
      <c r="G90" s="39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H90" s="40" t="inlineStr">
        <is>
          <t>Servicio</t>
        </is>
      </c>
      <c r="I90" s="41" t="n">
        <v>1</v>
      </c>
      <c r="J90" s="41" t="n">
        <v>2</v>
      </c>
      <c r="K90" s="42" t="inlineStr">
        <is>
          <t>México</t>
        </is>
      </c>
      <c r="L90" s="293" t="n">
        <v>140301.14</v>
      </c>
      <c r="M90" s="293" t="inlineStr">
        <is>
          <t>NO</t>
        </is>
      </c>
      <c r="N90" s="293" t="n">
        <v>140000</v>
      </c>
      <c r="O90" s="293">
        <f>I90*N90</f>
        <v/>
      </c>
      <c r="P90" s="293">
        <f>J90*N90</f>
        <v/>
      </c>
      <c r="Q90" s="293">
        <f>SUM(O90:P90)</f>
        <v/>
      </c>
      <c r="R90" s="293">
        <f>Q90*$R$9</f>
        <v/>
      </c>
      <c r="S90" s="293">
        <f>SUM(Q90:R90)</f>
        <v/>
      </c>
      <c r="T90" s="44" t="inlineStr">
        <is>
          <t>Accesorios: No incluye
Consumibles: No incluye</t>
        </is>
      </c>
      <c r="U90" s="45" t="inlineStr">
        <is>
          <t>Durante la vigencia del contrato</t>
        </is>
      </c>
      <c r="V90" s="46" t="inlineStr">
        <is>
          <t>SI</t>
        </is>
      </c>
      <c r="W90" s="47" t="inlineStr">
        <is>
          <t>IMAGEN</t>
        </is>
      </c>
    </row>
    <row r="91" ht="124.95" customHeight="1" s="227">
      <c r="A91" s="38" t="n">
        <v>140</v>
      </c>
      <c r="B91" s="68" t="inlineStr">
        <is>
          <t>CHIAPAS</t>
        </is>
      </c>
      <c r="D91" s="69" t="inlineStr">
        <is>
          <t>Rayos X móvil, marca Fujifilm, modelo FDR Go</t>
        </is>
      </c>
      <c r="E91" s="68" t="inlineStr">
        <is>
          <t>41DBBA146046</t>
        </is>
      </c>
      <c r="F91" s="69" t="inlineStr">
        <is>
          <t>H.M.R. Tuxtla Gutiérrez</t>
        </is>
      </c>
      <c r="G91" s="39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91" s="40" t="inlineStr">
        <is>
          <t>Servicio</t>
        </is>
      </c>
      <c r="I91" s="41" t="n">
        <v>1</v>
      </c>
      <c r="J91" s="41" t="n">
        <v>2</v>
      </c>
      <c r="K91" s="42" t="inlineStr">
        <is>
          <t>México</t>
        </is>
      </c>
      <c r="L91" s="293" t="n">
        <v>234983.62</v>
      </c>
      <c r="M91" s="293" t="n"/>
      <c r="N91" s="293" t="n">
        <v>230000</v>
      </c>
      <c r="O91" s="293">
        <f>I91*N91</f>
        <v/>
      </c>
      <c r="P91" s="293">
        <f>J91*N91</f>
        <v/>
      </c>
      <c r="Q91" s="293">
        <f>SUM(O91:P91)</f>
        <v/>
      </c>
      <c r="R91" s="293">
        <f>Q91*$R$9</f>
        <v/>
      </c>
      <c r="S91" s="293">
        <f>SUM(Q91:R91)</f>
        <v/>
      </c>
      <c r="T91" s="44" t="inlineStr">
        <is>
          <t>Accesorios: No incluye
Consumibles: No incluye</t>
        </is>
      </c>
      <c r="U91" s="45" t="inlineStr">
        <is>
          <t>Durante la vigencia del contrato</t>
        </is>
      </c>
      <c r="V91" s="46" t="inlineStr">
        <is>
          <t>SI</t>
        </is>
      </c>
      <c r="W91" s="47" t="inlineStr">
        <is>
          <t>IMAGEN</t>
        </is>
      </c>
    </row>
    <row r="92" ht="124.95" customHeight="1" s="227">
      <c r="A92" s="38" t="n">
        <v>144</v>
      </c>
      <c r="B92" s="68" t="inlineStr">
        <is>
          <t>YUCATAN</t>
        </is>
      </c>
      <c r="D92" s="69" t="inlineStr">
        <is>
          <t>Rayos X móvil, marca Villa Sistemi Medicali, modelo Visitor T30 M-DR</t>
        </is>
      </c>
      <c r="E92" s="68" t="inlineStr">
        <is>
          <t>17091017</t>
        </is>
      </c>
      <c r="F92" s="69" t="inlineStr">
        <is>
          <t>H.M.R.E. Mérida</t>
        </is>
      </c>
      <c r="G92" s="39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2" s="40" t="inlineStr">
        <is>
          <t>Servicio</t>
        </is>
      </c>
      <c r="I92" s="41" t="n">
        <v>1</v>
      </c>
      <c r="J92" s="41" t="n">
        <v>2</v>
      </c>
      <c r="K92" s="42" t="inlineStr">
        <is>
          <t>México</t>
        </is>
      </c>
      <c r="L92" s="293" t="n">
        <v>350000</v>
      </c>
      <c r="M92" s="293" t="n"/>
      <c r="N92" s="293" t="n">
        <v>350000</v>
      </c>
      <c r="O92" s="293">
        <f>I92*N92</f>
        <v/>
      </c>
      <c r="P92" s="293">
        <f>J92*N92</f>
        <v/>
      </c>
      <c r="Q92" s="293">
        <f>SUM(O92:P92)</f>
        <v/>
      </c>
      <c r="R92" s="293">
        <f>Q92*$R$9</f>
        <v/>
      </c>
      <c r="S92" s="293">
        <f>SUM(Q92:R92)</f>
        <v/>
      </c>
      <c r="T92" s="44" t="inlineStr">
        <is>
          <t>Accesorios: No incluye
Consumibles: No incluye</t>
        </is>
      </c>
      <c r="U92" s="45" t="inlineStr">
        <is>
          <t>Durante la vigencia del contrato</t>
        </is>
      </c>
      <c r="V92" s="46" t="inlineStr">
        <is>
          <t>SI</t>
        </is>
      </c>
      <c r="W92" s="47" t="inlineStr">
        <is>
          <t>IMAGEN</t>
        </is>
      </c>
    </row>
    <row r="93" ht="124.95" customHeight="1" s="227">
      <c r="A93" s="38" t="n">
        <v>145</v>
      </c>
      <c r="B93" s="68" t="inlineStr">
        <is>
          <t>YUCATAN</t>
        </is>
      </c>
      <c r="D93" s="69" t="inlineStr">
        <is>
          <t>Equipo de rayos X móvil, marca Technix, modelo TMS 320</t>
        </is>
      </c>
      <c r="E93" s="68" t="inlineStr">
        <is>
          <t>80-16-103-174</t>
        </is>
      </c>
      <c r="F93" s="69" t="inlineStr">
        <is>
          <t>H.M.R.E. Mérida</t>
        </is>
      </c>
      <c r="G93" s="39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3" s="40" t="inlineStr">
        <is>
          <t>Servicio</t>
        </is>
      </c>
      <c r="I93" s="41" t="n">
        <v>1</v>
      </c>
      <c r="J93" s="41" t="n">
        <v>2</v>
      </c>
      <c r="K93" s="42" t="inlineStr">
        <is>
          <t>México</t>
        </is>
      </c>
      <c r="L93" s="293" t="n">
        <v>221939.65</v>
      </c>
      <c r="M93" s="293" t="n"/>
      <c r="N93" s="293" t="n">
        <v>220000</v>
      </c>
      <c r="O93" s="293">
        <f>I93*N93</f>
        <v/>
      </c>
      <c r="P93" s="293">
        <f>J93*N93</f>
        <v/>
      </c>
      <c r="Q93" s="293">
        <f>SUM(O93:P93)</f>
        <v/>
      </c>
      <c r="R93" s="293">
        <f>Q93*$R$9</f>
        <v/>
      </c>
      <c r="S93" s="293">
        <f>SUM(Q93:R93)</f>
        <v/>
      </c>
      <c r="T93" s="44" t="inlineStr">
        <is>
          <t>Accesorios: No incluye
Consumibles: No incluye</t>
        </is>
      </c>
      <c r="U93" s="45" t="inlineStr">
        <is>
          <t>Durante la vigencia del contrato</t>
        </is>
      </c>
      <c r="V93" s="46" t="inlineStr">
        <is>
          <t>SI</t>
        </is>
      </c>
      <c r="W93" s="47" t="inlineStr">
        <is>
          <t>IMAGEN</t>
        </is>
      </c>
    </row>
    <row r="94" ht="124.95" customHeight="1" s="227">
      <c r="A94" s="38" t="n">
        <v>149</v>
      </c>
      <c r="B94" s="68" t="inlineStr">
        <is>
          <t>SAN LUIS POTOSI</t>
        </is>
      </c>
      <c r="D94" s="69" t="inlineStr">
        <is>
          <t>Equipo de rayos X móvil, marca Technix, modelo TMS 320</t>
        </is>
      </c>
      <c r="E94" s="68" t="inlineStr">
        <is>
          <t>80-16-87-158</t>
        </is>
      </c>
      <c r="F94" s="69" t="inlineStr">
        <is>
          <t>H.M.R. San Luis Potosí</t>
        </is>
      </c>
      <c r="G94" s="39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H94" s="40" t="inlineStr">
        <is>
          <t>Servicio</t>
        </is>
      </c>
      <c r="I94" s="41" t="n">
        <v>1</v>
      </c>
      <c r="J94" s="41" t="n">
        <v>2</v>
      </c>
      <c r="K94" s="42" t="inlineStr">
        <is>
          <t>México</t>
        </is>
      </c>
      <c r="L94" s="293" t="n">
        <v>228483.62</v>
      </c>
      <c r="M94" s="293" t="n"/>
      <c r="N94" s="293" t="n">
        <v>250000</v>
      </c>
      <c r="O94" s="293">
        <f>I94*N94</f>
        <v/>
      </c>
      <c r="P94" s="293">
        <f>J94*N94</f>
        <v/>
      </c>
      <c r="Q94" s="293">
        <f>SUM(O94:P94)</f>
        <v/>
      </c>
      <c r="R94" s="293">
        <f>Q94*$R$9</f>
        <v/>
      </c>
      <c r="S94" s="293">
        <f>SUM(Q94:R94)</f>
        <v/>
      </c>
      <c r="T94" s="44" t="inlineStr">
        <is>
          <t>Accesorios: No incluye
Consumibles: No incluye</t>
        </is>
      </c>
      <c r="U94" s="45" t="inlineStr">
        <is>
          <t>Durante la vigencia del contrato</t>
        </is>
      </c>
      <c r="V94" s="46" t="inlineStr">
        <is>
          <t>NO</t>
        </is>
      </c>
      <c r="W94" s="47" t="inlineStr">
        <is>
          <t>IMAGEN</t>
        </is>
      </c>
    </row>
    <row r="95" ht="124.95" customHeight="1" s="227">
      <c r="A95" s="38" t="n">
        <v>152</v>
      </c>
      <c r="B95" s="68" t="inlineStr">
        <is>
          <t>SINALOA</t>
        </is>
      </c>
      <c r="D95" s="69" t="inlineStr">
        <is>
          <t>Impresora para placas radiográficas, marca Codonics, modelo Horizon Ci</t>
        </is>
      </c>
      <c r="E95" s="68" t="inlineStr">
        <is>
          <t>50C00404C</t>
        </is>
      </c>
      <c r="F95" s="69" t="inlineStr">
        <is>
          <t>H.M.R.E. Mazatlán</t>
        </is>
      </c>
      <c r="G95" s="39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5" s="40" t="inlineStr">
        <is>
          <t>Servicio</t>
        </is>
      </c>
      <c r="I95" s="41" t="n">
        <v>1</v>
      </c>
      <c r="J95" s="41" t="n">
        <v>2</v>
      </c>
      <c r="K95" s="42" t="inlineStr">
        <is>
          <t>México</t>
        </is>
      </c>
      <c r="L95" s="293" t="n">
        <v>226939.65</v>
      </c>
      <c r="M95" s="293" t="n"/>
      <c r="N95" s="293" t="n">
        <v>300000</v>
      </c>
      <c r="O95" s="293">
        <f>I95*N95</f>
        <v/>
      </c>
      <c r="P95" s="293">
        <f>J95*N95</f>
        <v/>
      </c>
      <c r="Q95" s="293">
        <f>SUM(O95:P95)</f>
        <v/>
      </c>
      <c r="R95" s="293">
        <f>Q95*$R$9</f>
        <v/>
      </c>
      <c r="S95" s="293">
        <f>SUM(Q95:R95)</f>
        <v/>
      </c>
      <c r="T95" s="44" t="inlineStr">
        <is>
          <t>Accesorios: No incluye
Consumibles: No incluye</t>
        </is>
      </c>
      <c r="U95" s="45" t="inlineStr">
        <is>
          <t>Durante la vigencia del contrato</t>
        </is>
      </c>
      <c r="V95" s="46" t="inlineStr">
        <is>
          <t>NO</t>
        </is>
      </c>
      <c r="W95" s="47" t="inlineStr">
        <is>
          <t>IMAGEN</t>
        </is>
      </c>
    </row>
    <row r="96" ht="124.95" customHeight="1" s="227">
      <c r="A96" s="49" t="n">
        <v>154</v>
      </c>
      <c r="B96" s="68" t="inlineStr">
        <is>
          <t>SINALOA</t>
        </is>
      </c>
      <c r="D96" s="69" t="inlineStr">
        <is>
          <t>Microscopio para cirugía, marca Haag-Streit Surgical, modelo Moller Wedel</t>
        </is>
      </c>
      <c r="E96" s="68" t="inlineStr">
        <is>
          <t>30155514</t>
        </is>
      </c>
      <c r="F96" s="69" t="inlineStr">
        <is>
          <t>H.M.R.E. Mazatlán</t>
        </is>
      </c>
      <c r="G96" s="50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6" s="51" t="inlineStr">
        <is>
          <t>Servicio</t>
        </is>
      </c>
      <c r="I96" s="52" t="n">
        <v>1</v>
      </c>
      <c r="J96" s="52" t="n">
        <v>2</v>
      </c>
      <c r="K96" s="59" t="inlineStr">
        <is>
          <t>México</t>
        </is>
      </c>
      <c r="L96" s="290" t="n">
        <v>165700</v>
      </c>
      <c r="M96" s="291" t="inlineStr">
        <is>
          <t>P</t>
        </is>
      </c>
      <c r="N96" s="292" t="n">
        <v>160000</v>
      </c>
      <c r="O96" s="292">
        <f>I96*N96</f>
        <v/>
      </c>
      <c r="P96" s="292">
        <f>J96*N96</f>
        <v/>
      </c>
      <c r="Q96" s="292">
        <f>SUM(O96:P96)</f>
        <v/>
      </c>
      <c r="R96" s="292">
        <f>Q96*$R$9</f>
        <v/>
      </c>
      <c r="S96" s="292">
        <f>SUM(Q96:R96)</f>
        <v/>
      </c>
      <c r="T96" s="56" t="inlineStr">
        <is>
          <t>Accesorios: No incluye
Consumibles: No incluye</t>
        </is>
      </c>
      <c r="U96" s="54" t="inlineStr">
        <is>
          <t>Durante la vigencia del contrato</t>
        </is>
      </c>
      <c r="V96" s="57" t="inlineStr">
        <is>
          <t>SI</t>
        </is>
      </c>
      <c r="W96" s="54" t="inlineStr">
        <is>
          <t>OFTALMO</t>
        </is>
      </c>
      <c r="X96" s="32" t="inlineStr">
        <is>
          <t>DEWIMED</t>
        </is>
      </c>
    </row>
    <row r="97" ht="124.95" customHeight="1" s="227">
      <c r="A97" s="38" t="n">
        <v>156</v>
      </c>
      <c r="B97" s="68" t="inlineStr">
        <is>
          <t>CDMX</t>
        </is>
      </c>
      <c r="D97" s="69" t="inlineStr">
        <is>
          <t>Equipo de rayos X móvil, marca Technix, modelo TMS 320</t>
        </is>
      </c>
      <c r="E97" s="68" t="inlineStr">
        <is>
          <t>80-16-79-150</t>
        </is>
      </c>
      <c r="F97" s="69" t="inlineStr">
        <is>
          <t>H.C.M. Lomas de Sotelo</t>
        </is>
      </c>
      <c r="G97" s="39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97" s="40" t="inlineStr">
        <is>
          <t>Servicio</t>
        </is>
      </c>
      <c r="I97" s="41" t="n">
        <v>1</v>
      </c>
      <c r="J97" s="41" t="n">
        <v>2</v>
      </c>
      <c r="K97" s="42" t="inlineStr">
        <is>
          <t>México</t>
        </is>
      </c>
      <c r="L97" s="293" t="n">
        <v>231852.26</v>
      </c>
      <c r="M97" s="293" t="n"/>
      <c r="N97" s="293" t="n">
        <v>220000</v>
      </c>
      <c r="O97" s="293">
        <f>I97*N97</f>
        <v/>
      </c>
      <c r="P97" s="293">
        <f>J97*N97</f>
        <v/>
      </c>
      <c r="Q97" s="293">
        <f>SUM(O97:P97)</f>
        <v/>
      </c>
      <c r="R97" s="293">
        <f>Q97*$R$9</f>
        <v/>
      </c>
      <c r="S97" s="293">
        <f>SUM(Q97:R97)</f>
        <v/>
      </c>
      <c r="T97" s="44" t="inlineStr">
        <is>
          <t>Accesorios: No incluye
Consumibles: No incluye</t>
        </is>
      </c>
      <c r="U97" s="45" t="inlineStr">
        <is>
          <t>Durante la vigencia del contrato</t>
        </is>
      </c>
      <c r="V97" s="46" t="inlineStr">
        <is>
          <t>SI</t>
        </is>
      </c>
      <c r="W97" s="47" t="inlineStr">
        <is>
          <t>IMAGEN</t>
        </is>
      </c>
    </row>
    <row r="98" ht="124.95" customHeight="1" s="227">
      <c r="A98" s="49" t="n">
        <v>159</v>
      </c>
      <c r="B98" s="68" t="inlineStr">
        <is>
          <t>NUEVO LEON</t>
        </is>
      </c>
      <c r="D98" s="69" t="inlineStr">
        <is>
          <t>Microscopio para cirugía, marca Haag-Streit Surgical, modelo HS Hi-R 700</t>
        </is>
      </c>
      <c r="E98" s="68" t="inlineStr">
        <is>
          <t>1303</t>
        </is>
      </c>
      <c r="F98" s="69" t="inlineStr">
        <is>
          <t>H.M.R.E. Monterrey</t>
        </is>
      </c>
      <c r="G98" s="50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98" s="51" t="inlineStr">
        <is>
          <t>Servicio</t>
        </is>
      </c>
      <c r="I98" s="52" t="n">
        <v>1</v>
      </c>
      <c r="J98" s="52" t="n">
        <v>2</v>
      </c>
      <c r="K98" s="59" t="inlineStr">
        <is>
          <t>México</t>
        </is>
      </c>
      <c r="L98" s="290" t="n">
        <v>165700</v>
      </c>
      <c r="M98" s="291" t="inlineStr">
        <is>
          <t>P</t>
        </is>
      </c>
      <c r="N98" s="292" t="n">
        <v>160000</v>
      </c>
      <c r="O98" s="292">
        <f>I98*N98</f>
        <v/>
      </c>
      <c r="P98" s="292">
        <f>J98*N98</f>
        <v/>
      </c>
      <c r="Q98" s="292">
        <f>SUM(O98:P98)</f>
        <v/>
      </c>
      <c r="R98" s="292">
        <f>Q98*$R$9</f>
        <v/>
      </c>
      <c r="S98" s="292">
        <f>SUM(Q98:R98)</f>
        <v/>
      </c>
      <c r="T98" s="56" t="inlineStr">
        <is>
          <t>Accesorios: No incluye
Consumibles: No incluye</t>
        </is>
      </c>
      <c r="U98" s="54" t="inlineStr">
        <is>
          <t>Durante la vigencia del contrato</t>
        </is>
      </c>
      <c r="V98" s="57" t="inlineStr">
        <is>
          <t>SI</t>
        </is>
      </c>
      <c r="W98" s="54" t="inlineStr">
        <is>
          <t>OFTALMO</t>
        </is>
      </c>
      <c r="X98" s="32" t="inlineStr">
        <is>
          <t>DEWIMED</t>
        </is>
      </c>
    </row>
    <row r="99" ht="124.95" customHeight="1" s="227">
      <c r="A99" s="38" t="n">
        <v>162</v>
      </c>
      <c r="B99" s="68" t="inlineStr">
        <is>
          <t>TAMAULIPAS</t>
        </is>
      </c>
      <c r="D99" s="69" t="inlineStr">
        <is>
          <t>Equipo de rayos X móvil, marca Technix, modelo TMS 320</t>
        </is>
      </c>
      <c r="E99" s="68" t="inlineStr">
        <is>
          <t>80-16-89-160</t>
        </is>
      </c>
      <c r="F99" s="69" t="inlineStr">
        <is>
          <t>H.M.R. Tampico</t>
        </is>
      </c>
      <c r="G99" s="39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H99" s="40" t="inlineStr">
        <is>
          <t>Servicio</t>
        </is>
      </c>
      <c r="I99" s="41" t="n">
        <v>1</v>
      </c>
      <c r="J99" s="41" t="n">
        <v>2</v>
      </c>
      <c r="K99" s="42" t="inlineStr">
        <is>
          <t>México</t>
        </is>
      </c>
      <c r="L99" s="293" t="n">
        <v>223471.55</v>
      </c>
      <c r="M99" s="293" t="n"/>
      <c r="N99" s="293" t="n">
        <v>300000</v>
      </c>
      <c r="O99" s="293">
        <f>I99*N99</f>
        <v/>
      </c>
      <c r="P99" s="293">
        <f>J99*N99</f>
        <v/>
      </c>
      <c r="Q99" s="293">
        <f>SUM(O99:P99)</f>
        <v/>
      </c>
      <c r="R99" s="293">
        <f>Q99*$R$9</f>
        <v/>
      </c>
      <c r="S99" s="293">
        <f>SUM(Q99:R99)</f>
        <v/>
      </c>
      <c r="T99" s="44" t="inlineStr">
        <is>
          <t>Accesorios: No incluye
Consumibles: No incluye</t>
        </is>
      </c>
      <c r="U99" s="45" t="inlineStr">
        <is>
          <t>Durante la vigencia del contrato</t>
        </is>
      </c>
      <c r="V99" s="46" t="inlineStr">
        <is>
          <t>NO</t>
        </is>
      </c>
      <c r="W99" s="47" t="inlineStr">
        <is>
          <t>IMAGEN</t>
        </is>
      </c>
    </row>
    <row r="100" ht="124.95" customHeight="1" s="227">
      <c r="A100" s="38" t="n">
        <v>163</v>
      </c>
      <c r="B100" s="68" t="inlineStr">
        <is>
          <t>CDMX</t>
        </is>
      </c>
      <c r="D100" s="69" t="inlineStr">
        <is>
          <t>Equipo de rayos X móvil, marca Technix, modelo TMS 320</t>
        </is>
      </c>
      <c r="E100" s="68" t="inlineStr">
        <is>
          <t>80-16-90-161</t>
        </is>
      </c>
      <c r="F100" s="69" t="inlineStr">
        <is>
          <t>H.M.Z. El Vergel, Iztapalapa</t>
        </is>
      </c>
      <c r="G100" s="39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0" s="40" t="inlineStr">
        <is>
          <t>Servicio</t>
        </is>
      </c>
      <c r="I100" s="41" t="n">
        <v>1</v>
      </c>
      <c r="J100" s="41" t="n">
        <v>2</v>
      </c>
      <c r="K100" s="42" t="inlineStr">
        <is>
          <t>México</t>
        </is>
      </c>
      <c r="L100" s="293" t="n">
        <v>234827.59</v>
      </c>
      <c r="M100" s="293" t="n"/>
      <c r="N100" s="293" t="n">
        <v>220000</v>
      </c>
      <c r="O100" s="293">
        <f>I100*N100</f>
        <v/>
      </c>
      <c r="P100" s="293">
        <f>J100*N100</f>
        <v/>
      </c>
      <c r="Q100" s="293">
        <f>SUM(O100:P100)</f>
        <v/>
      </c>
      <c r="R100" s="293">
        <f>Q100*$R$9</f>
        <v/>
      </c>
      <c r="S100" s="293">
        <f>SUM(Q100:R100)</f>
        <v/>
      </c>
      <c r="T100" s="44" t="inlineStr">
        <is>
          <t>Accesorios: No incluye
Consumibles: No incluye</t>
        </is>
      </c>
      <c r="U100" s="45" t="inlineStr">
        <is>
          <t>Durante la vigencia del contrato</t>
        </is>
      </c>
      <c r="V100" s="46" t="inlineStr">
        <is>
          <t>SI</t>
        </is>
      </c>
      <c r="W100" s="47" t="inlineStr">
        <is>
          <t>IMAGEN</t>
        </is>
      </c>
    </row>
    <row r="101" ht="124.95" customHeight="1" s="227">
      <c r="A101" s="38" t="n">
        <v>164</v>
      </c>
      <c r="B101" s="68" t="inlineStr">
        <is>
          <t>JALISCO</t>
        </is>
      </c>
      <c r="D101" s="69" t="inlineStr">
        <is>
          <t>Equipo de rayos X móvil, marca Technix, modelo TMS 320</t>
        </is>
      </c>
      <c r="E101" s="68" t="inlineStr">
        <is>
          <t>80-16-95-166</t>
        </is>
      </c>
      <c r="F101" s="69" t="inlineStr">
        <is>
          <t>H.M.Z. Zapopan</t>
        </is>
      </c>
      <c r="G101" s="39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01" s="40" t="inlineStr">
        <is>
          <t>Servicio</t>
        </is>
      </c>
      <c r="I101" s="41" t="n">
        <v>1</v>
      </c>
      <c r="J101" s="41" t="n">
        <v>2</v>
      </c>
      <c r="K101" s="42" t="inlineStr">
        <is>
          <t>México</t>
        </is>
      </c>
      <c r="L101" s="293" t="n">
        <v>230603.45</v>
      </c>
      <c r="M101" s="293" t="n"/>
      <c r="N101" s="293" t="n">
        <v>220000</v>
      </c>
      <c r="O101" s="293">
        <f>I101*N101</f>
        <v/>
      </c>
      <c r="P101" s="293">
        <f>J101*N101</f>
        <v/>
      </c>
      <c r="Q101" s="293">
        <f>SUM(O101:P101)</f>
        <v/>
      </c>
      <c r="R101" s="293">
        <f>Q101*$R$9</f>
        <v/>
      </c>
      <c r="S101" s="293">
        <f>SUM(Q101:R101)</f>
        <v/>
      </c>
      <c r="T101" s="44" t="inlineStr">
        <is>
          <t>Accesorios: No incluye
Consumibles: No incluye</t>
        </is>
      </c>
      <c r="U101" s="45" t="inlineStr">
        <is>
          <t>Durante la vigencia del contrato</t>
        </is>
      </c>
      <c r="V101" s="46" t="inlineStr">
        <is>
          <t>SI</t>
        </is>
      </c>
      <c r="W101" s="47" t="inlineStr">
        <is>
          <t>IMAGEN</t>
        </is>
      </c>
    </row>
    <row r="102" ht="124.95" customHeight="1" s="227">
      <c r="A102" s="38" t="n">
        <v>165</v>
      </c>
      <c r="B102" s="68" t="inlineStr">
        <is>
          <t>EDO DE MEX</t>
        </is>
      </c>
      <c r="D102" s="69" t="inlineStr">
        <is>
          <t>Equipo de rayos X móvil, marca Technix, modelo TMS 320</t>
        </is>
      </c>
      <c r="E102" s="68" t="inlineStr">
        <is>
          <t>80-16-105-176</t>
        </is>
      </c>
      <c r="F102" s="69" t="inlineStr">
        <is>
          <t>H.M.Z. Temamatla</t>
        </is>
      </c>
      <c r="G102" s="39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2" s="40" t="inlineStr">
        <is>
          <t>Servicio</t>
        </is>
      </c>
      <c r="I102" s="41" t="n">
        <v>1</v>
      </c>
      <c r="J102" s="41" t="n">
        <v>2</v>
      </c>
      <c r="K102" s="42" t="inlineStr">
        <is>
          <t>México</t>
        </is>
      </c>
      <c r="L102" s="293" t="n">
        <v>232715.52</v>
      </c>
      <c r="M102" s="293" t="n"/>
      <c r="N102" s="293" t="n">
        <v>220000</v>
      </c>
      <c r="O102" s="293">
        <f>I102*N102</f>
        <v/>
      </c>
      <c r="P102" s="293">
        <f>J102*N102</f>
        <v/>
      </c>
      <c r="Q102" s="293">
        <f>SUM(O102:P102)</f>
        <v/>
      </c>
      <c r="R102" s="293">
        <f>Q102*$R$9</f>
        <v/>
      </c>
      <c r="S102" s="293">
        <f>SUM(Q102:R102)</f>
        <v/>
      </c>
      <c r="T102" s="44" t="inlineStr">
        <is>
          <t>Accesorios: No incluye
Consumibles: No incluye</t>
        </is>
      </c>
      <c r="U102" s="45" t="inlineStr">
        <is>
          <t>Durante la vigencia del contrato</t>
        </is>
      </c>
      <c r="V102" s="46" t="inlineStr">
        <is>
          <t>SI</t>
        </is>
      </c>
      <c r="W102" s="47" t="inlineStr">
        <is>
          <t>IMAGEN</t>
        </is>
      </c>
    </row>
    <row r="103" ht="124.95" customHeight="1" s="227">
      <c r="A103" s="38" t="n">
        <v>166</v>
      </c>
      <c r="B103" s="68" t="inlineStr">
        <is>
          <t>OAXACA</t>
        </is>
      </c>
      <c r="D103" s="69" t="inlineStr">
        <is>
          <t>Equipo de rayos X móvil, marca Technix, modelo TMS 320</t>
        </is>
      </c>
      <c r="E103" s="68" t="inlineStr">
        <is>
          <t>80-16-104-175</t>
        </is>
      </c>
      <c r="F103" s="69" t="inlineStr">
        <is>
          <t>H.M.Z. Ixcotel</t>
        </is>
      </c>
      <c r="G103" s="39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03" s="40" t="inlineStr">
        <is>
          <t>Servicio</t>
        </is>
      </c>
      <c r="I103" s="41" t="n">
        <v>1</v>
      </c>
      <c r="J103" s="41" t="n">
        <v>2</v>
      </c>
      <c r="K103" s="42" t="inlineStr">
        <is>
          <t>México</t>
        </is>
      </c>
      <c r="L103" s="293" t="n">
        <v>231659.48</v>
      </c>
      <c r="M103" s="293" t="n"/>
      <c r="N103" s="293" t="n">
        <v>300000</v>
      </c>
      <c r="O103" s="293">
        <f>I103*N103</f>
        <v/>
      </c>
      <c r="P103" s="293">
        <f>J103*N103</f>
        <v/>
      </c>
      <c r="Q103" s="293">
        <f>SUM(O103:P103)</f>
        <v/>
      </c>
      <c r="R103" s="293">
        <f>Q103*$R$9</f>
        <v/>
      </c>
      <c r="S103" s="293">
        <f>SUM(Q103:R103)</f>
        <v/>
      </c>
      <c r="T103" s="44" t="inlineStr">
        <is>
          <t>Accesorios: No incluye
Consumibles: No incluye</t>
        </is>
      </c>
      <c r="U103" s="45" t="inlineStr">
        <is>
          <t>Durante la vigencia del contrato</t>
        </is>
      </c>
      <c r="V103" s="46" t="inlineStr">
        <is>
          <t>NO</t>
        </is>
      </c>
      <c r="W103" s="47" t="inlineStr">
        <is>
          <t>IMAGEN</t>
        </is>
      </c>
    </row>
    <row r="104" ht="140.4" customHeight="1" s="227">
      <c r="A104" s="38" t="n">
        <v>167</v>
      </c>
      <c r="B104" s="68" t="inlineStr">
        <is>
          <t>SONORA</t>
        </is>
      </c>
      <c r="D104" s="69" t="inlineStr">
        <is>
          <t>Equipo de rayos X móvil, marca Technix, modelo TMS 320</t>
        </is>
      </c>
      <c r="E104" s="68" t="inlineStr">
        <is>
          <t>80-16-80-151</t>
        </is>
      </c>
      <c r="F104" s="69" t="inlineStr">
        <is>
          <t>H.M.R. Hermosillo</t>
        </is>
      </c>
      <c r="G104" s="39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H104" s="40" t="inlineStr">
        <is>
          <t>Servicio</t>
        </is>
      </c>
      <c r="I104" s="41" t="n">
        <v>1</v>
      </c>
      <c r="J104" s="41" t="n">
        <v>2</v>
      </c>
      <c r="K104" s="42" t="inlineStr">
        <is>
          <t>México</t>
        </is>
      </c>
      <c r="L104" s="293" t="n">
        <v>240107.76</v>
      </c>
      <c r="M104" s="293" t="n"/>
      <c r="N104" s="293" t="n">
        <v>300000</v>
      </c>
      <c r="O104" s="293">
        <f>I104*N104</f>
        <v/>
      </c>
      <c r="P104" s="293">
        <f>J104*N104</f>
        <v/>
      </c>
      <c r="Q104" s="293">
        <f>SUM(O104:P104)</f>
        <v/>
      </c>
      <c r="R104" s="293">
        <f>Q104*$R$9</f>
        <v/>
      </c>
      <c r="S104" s="293">
        <f>SUM(Q104:R104)</f>
        <v/>
      </c>
      <c r="T104" s="44" t="inlineStr">
        <is>
          <t>Accesorios: No incluye
Consumibles: No incluye</t>
        </is>
      </c>
      <c r="U104" s="45" t="inlineStr">
        <is>
          <t>Durante la vigencia del contrato</t>
        </is>
      </c>
      <c r="V104" s="46" t="inlineStr">
        <is>
          <t>NO</t>
        </is>
      </c>
      <c r="W104" s="47" t="inlineStr">
        <is>
          <t>IMAGEN</t>
        </is>
      </c>
    </row>
    <row r="105" ht="124.95" customHeight="1" s="227">
      <c r="A105" s="38" t="n">
        <v>168</v>
      </c>
      <c r="B105" s="68" t="inlineStr">
        <is>
          <t>CHIAPAS</t>
        </is>
      </c>
      <c r="D105" s="69" t="inlineStr">
        <is>
          <t>Equipo de rayos X móvil, marca Technix, modelo TMS 320</t>
        </is>
      </c>
      <c r="E105" s="68" t="inlineStr">
        <is>
          <t>80-16-102-173</t>
        </is>
      </c>
      <c r="F105" s="69" t="inlineStr">
        <is>
          <t>H.M.R. Tuxtla Gutiérrez</t>
        </is>
      </c>
      <c r="G105" s="39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5" s="40" t="inlineStr">
        <is>
          <t>Servicio</t>
        </is>
      </c>
      <c r="I105" s="41" t="n">
        <v>1</v>
      </c>
      <c r="J105" s="41" t="n">
        <v>2</v>
      </c>
      <c r="K105" s="42" t="inlineStr">
        <is>
          <t>México</t>
        </is>
      </c>
      <c r="L105" s="293" t="n">
        <v>250000</v>
      </c>
      <c r="M105" s="293" t="n"/>
      <c r="N105" s="293" t="n">
        <v>250000</v>
      </c>
      <c r="O105" s="293">
        <f>I105*N105</f>
        <v/>
      </c>
      <c r="P105" s="293">
        <f>J105*N105</f>
        <v/>
      </c>
      <c r="Q105" s="293">
        <f>SUM(O105:P105)</f>
        <v/>
      </c>
      <c r="R105" s="293">
        <f>Q105*$R$9</f>
        <v/>
      </c>
      <c r="S105" s="293">
        <f>SUM(Q105:R105)</f>
        <v/>
      </c>
      <c r="T105" s="44" t="inlineStr">
        <is>
          <t>Accesorios: No incluye
Consumibles: No incluye</t>
        </is>
      </c>
      <c r="U105" s="45" t="inlineStr">
        <is>
          <t>Durante la vigencia del contrato</t>
        </is>
      </c>
      <c r="V105" s="46" t="inlineStr">
        <is>
          <t>SI</t>
        </is>
      </c>
      <c r="W105" s="47" t="inlineStr">
        <is>
          <t>IMAGEN</t>
        </is>
      </c>
    </row>
    <row r="106" ht="124.95" customHeight="1" s="227">
      <c r="A106" s="38" t="n">
        <v>169</v>
      </c>
      <c r="B106" s="68" t="inlineStr">
        <is>
          <t>CHIAPAS</t>
        </is>
      </c>
      <c r="D106" s="69" t="inlineStr">
        <is>
          <t>Láser excimer, marca Bausch &amp; Lomb, modelo Zyoptix XP</t>
        </is>
      </c>
      <c r="E106" s="68" t="inlineStr">
        <is>
          <t>PS01209</t>
        </is>
      </c>
      <c r="F106" s="69" t="inlineStr">
        <is>
          <t>H.M.R. Tuxtla Gutiérrez</t>
        </is>
      </c>
      <c r="G106" s="39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6" s="40" t="inlineStr">
        <is>
          <t>Servicio</t>
        </is>
      </c>
      <c r="I106" s="41" t="n">
        <v>1</v>
      </c>
      <c r="J106" s="41" t="n">
        <v>2</v>
      </c>
      <c r="K106" s="42" t="inlineStr">
        <is>
          <t>México</t>
        </is>
      </c>
      <c r="L106" s="293" t="n">
        <v>161369.4</v>
      </c>
      <c r="M106" s="293" t="n"/>
      <c r="N106" s="293" t="n">
        <v>240000</v>
      </c>
      <c r="O106" s="293">
        <f>I106*N106</f>
        <v/>
      </c>
      <c r="P106" s="293">
        <f>J106*N106</f>
        <v/>
      </c>
      <c r="Q106" s="293">
        <f>SUM(O106:P106)</f>
        <v/>
      </c>
      <c r="R106" s="293">
        <f>Q106*$R$9</f>
        <v/>
      </c>
      <c r="S106" s="293">
        <f>SUM(Q106:R106)</f>
        <v/>
      </c>
      <c r="T106" s="44" t="inlineStr">
        <is>
          <t>Accesorios: No incluye
Consumibles: No incluye</t>
        </is>
      </c>
      <c r="U106" s="45" t="inlineStr">
        <is>
          <t>Durante la vigencia del contrato</t>
        </is>
      </c>
      <c r="V106" s="46" t="inlineStr">
        <is>
          <t>SI</t>
        </is>
      </c>
      <c r="W106" s="45" t="inlineStr">
        <is>
          <t>OFTALMO</t>
        </is>
      </c>
      <c r="X106" s="32" t="inlineStr">
        <is>
          <t>BAUSH</t>
        </is>
      </c>
    </row>
    <row r="107" ht="124.95" customHeight="1" s="227">
      <c r="A107" s="38" t="n">
        <v>171</v>
      </c>
      <c r="B107" s="68" t="inlineStr">
        <is>
          <t>MORELOS</t>
        </is>
      </c>
      <c r="D107" s="69" t="inlineStr">
        <is>
          <t>Equipo de rayos X móvil, marca Technix, modelo TMS 320</t>
        </is>
      </c>
      <c r="E107" s="68" t="inlineStr">
        <is>
          <t>80-16-88-159</t>
        </is>
      </c>
      <c r="F107" s="69" t="inlineStr">
        <is>
          <t>H.M.Z. Cuernavaca</t>
        </is>
      </c>
      <c r="G107" s="39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07" s="40" t="inlineStr">
        <is>
          <t>Servicio</t>
        </is>
      </c>
      <c r="I107" s="41" t="n">
        <v>1</v>
      </c>
      <c r="J107" s="41" t="n">
        <v>2</v>
      </c>
      <c r="K107" s="42" t="inlineStr">
        <is>
          <t>México</t>
        </is>
      </c>
      <c r="L107" s="293" t="n">
        <v>240107.76</v>
      </c>
      <c r="M107" s="293" t="n"/>
      <c r="N107" s="293" t="n">
        <v>230000</v>
      </c>
      <c r="O107" s="293">
        <f>I107*N107</f>
        <v/>
      </c>
      <c r="P107" s="293">
        <f>J107*N107</f>
        <v/>
      </c>
      <c r="Q107" s="293">
        <f>SUM(O107:P107)</f>
        <v/>
      </c>
      <c r="R107" s="293">
        <f>Q107*$R$9</f>
        <v/>
      </c>
      <c r="S107" s="293">
        <f>SUM(Q107:R107)</f>
        <v/>
      </c>
      <c r="T107" s="44" t="inlineStr">
        <is>
          <t>Accesorios: No incluye
Consumibles: No incluye</t>
        </is>
      </c>
      <c r="U107" s="45" t="inlineStr">
        <is>
          <t>Durante la vigencia del contrato</t>
        </is>
      </c>
      <c r="V107" s="46" t="inlineStr">
        <is>
          <t>SI</t>
        </is>
      </c>
      <c r="W107" s="47" t="inlineStr">
        <is>
          <t>IMAGEN</t>
        </is>
      </c>
    </row>
    <row r="108" ht="124.95" customHeight="1" s="227">
      <c r="A108" s="38" t="n">
        <v>172</v>
      </c>
      <c r="B108" s="68" t="inlineStr">
        <is>
          <t>BAJA CALIFORNIA</t>
        </is>
      </c>
      <c r="D108" s="69" t="inlineStr">
        <is>
          <t>Equipo de rayos X móvil, marca Technix, modelo TMS 320</t>
        </is>
      </c>
      <c r="E108" s="68" t="inlineStr">
        <is>
          <t>80-16-83-154</t>
        </is>
      </c>
      <c r="F108" s="69" t="inlineStr">
        <is>
          <t>H.M.Z. Mexicali</t>
        </is>
      </c>
      <c r="G108" s="39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H108" s="40" t="inlineStr">
        <is>
          <t>Servicio</t>
        </is>
      </c>
      <c r="I108" s="41" t="n">
        <v>1</v>
      </c>
      <c r="J108" s="41" t="n">
        <v>2</v>
      </c>
      <c r="K108" s="42" t="inlineStr">
        <is>
          <t>México</t>
        </is>
      </c>
      <c r="L108" s="293" t="n">
        <v>232715.52</v>
      </c>
      <c r="M108" s="293" t="n"/>
      <c r="N108" s="293" t="n">
        <v>300000</v>
      </c>
      <c r="O108" s="293">
        <f>I108*N108</f>
        <v/>
      </c>
      <c r="P108" s="293">
        <f>J108*N108</f>
        <v/>
      </c>
      <c r="Q108" s="293">
        <f>SUM(O108:P108)</f>
        <v/>
      </c>
      <c r="R108" s="293">
        <f>Q108*$R$9</f>
        <v/>
      </c>
      <c r="S108" s="293">
        <f>SUM(Q108:R108)</f>
        <v/>
      </c>
      <c r="T108" s="44" t="inlineStr">
        <is>
          <t>Accesorios: No incluye
Consumibles: No incluye</t>
        </is>
      </c>
      <c r="U108" s="45" t="inlineStr">
        <is>
          <t>Durante la vigencia del contrato</t>
        </is>
      </c>
      <c r="V108" s="46" t="inlineStr">
        <is>
          <t>NO</t>
        </is>
      </c>
      <c r="W108" s="47" t="inlineStr">
        <is>
          <t>IMAGEN</t>
        </is>
      </c>
    </row>
    <row r="109" ht="124.95" customHeight="1" s="227">
      <c r="A109" s="38" t="n">
        <v>175</v>
      </c>
      <c r="B109" s="68" t="inlineStr">
        <is>
          <t>BAJA CALIFORNIA</t>
        </is>
      </c>
      <c r="D109" s="69" t="inlineStr">
        <is>
          <t>Equipo de rayos X móvil, marca Technix, modelo TMS 320</t>
        </is>
      </c>
      <c r="E109" s="68" t="inlineStr">
        <is>
          <t>80-16-81-152</t>
        </is>
      </c>
      <c r="F109" s="69" t="inlineStr">
        <is>
          <t>H.M.R. El Ciprés</t>
        </is>
      </c>
      <c r="G109" s="39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H109" s="40" t="inlineStr">
        <is>
          <t>Servicio</t>
        </is>
      </c>
      <c r="I109" s="41" t="n">
        <v>1</v>
      </c>
      <c r="J109" s="41" t="n">
        <v>2</v>
      </c>
      <c r="K109" s="42" t="inlineStr">
        <is>
          <t>México</t>
        </is>
      </c>
      <c r="L109" s="293" t="n">
        <v>230603.45</v>
      </c>
      <c r="M109" s="293" t="n"/>
      <c r="N109" s="293" t="n">
        <v>300000</v>
      </c>
      <c r="O109" s="293">
        <f>I109*N109</f>
        <v/>
      </c>
      <c r="P109" s="293">
        <f>J109*N109</f>
        <v/>
      </c>
      <c r="Q109" s="293">
        <f>SUM(O109:P109)</f>
        <v/>
      </c>
      <c r="R109" s="293">
        <f>Q109*$R$9</f>
        <v/>
      </c>
      <c r="S109" s="293">
        <f>SUM(Q109:R109)</f>
        <v/>
      </c>
      <c r="T109" s="44" t="inlineStr">
        <is>
          <t>Accesorios: No incluye
Consumibles: No incluye</t>
        </is>
      </c>
      <c r="U109" s="45" t="inlineStr">
        <is>
          <t>Durante la vigencia del contrato</t>
        </is>
      </c>
      <c r="V109" s="46" t="inlineStr">
        <is>
          <t>NO</t>
        </is>
      </c>
      <c r="W109" s="47" t="inlineStr">
        <is>
          <t>IMAGEN</t>
        </is>
      </c>
    </row>
    <row r="110" ht="124.95" customHeight="1" s="227">
      <c r="A110" s="38" t="n">
        <v>179</v>
      </c>
      <c r="B110" s="68" t="inlineStr">
        <is>
          <t>JALISCO</t>
        </is>
      </c>
      <c r="D110" s="69" t="inlineStr">
        <is>
          <t>Equipo de rayos X móvil, marca Technix, modelo TMS 320</t>
        </is>
      </c>
      <c r="E110" s="68" t="inlineStr">
        <is>
          <t>80-16-91-162</t>
        </is>
      </c>
      <c r="F110" s="69" t="inlineStr">
        <is>
          <t>H.M.R.E. Guadalajara</t>
        </is>
      </c>
      <c r="G110" s="39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10" s="40" t="inlineStr">
        <is>
          <t>Servicio</t>
        </is>
      </c>
      <c r="I110" s="41" t="n">
        <v>1</v>
      </c>
      <c r="J110" s="41" t="n">
        <v>2</v>
      </c>
      <c r="K110" s="42" t="inlineStr">
        <is>
          <t>México</t>
        </is>
      </c>
      <c r="L110" s="293" t="n">
        <v>235883.62</v>
      </c>
      <c r="M110" s="293" t="n"/>
      <c r="N110" s="293" t="n">
        <v>230000</v>
      </c>
      <c r="O110" s="293">
        <f>I110*N110</f>
        <v/>
      </c>
      <c r="P110" s="293">
        <f>J110*N110</f>
        <v/>
      </c>
      <c r="Q110" s="293">
        <f>SUM(O110:P110)</f>
        <v/>
      </c>
      <c r="R110" s="293">
        <f>Q110*$R$9</f>
        <v/>
      </c>
      <c r="S110" s="293">
        <f>SUM(Q110:R110)</f>
        <v/>
      </c>
      <c r="T110" s="44" t="inlineStr">
        <is>
          <t>Accesorios: No incluye
Consumibles: No incluye</t>
        </is>
      </c>
      <c r="U110" s="45" t="inlineStr">
        <is>
          <t>Durante la vigencia del contrato</t>
        </is>
      </c>
      <c r="V110" s="46" t="inlineStr">
        <is>
          <t>SI</t>
        </is>
      </c>
      <c r="W110" s="47" t="inlineStr">
        <is>
          <t>IMAGEN</t>
        </is>
      </c>
    </row>
    <row r="111" ht="124.95" customHeight="1" s="227">
      <c r="A111" s="38" t="n">
        <v>183</v>
      </c>
      <c r="B111" s="68" t="inlineStr">
        <is>
          <t>SINALOA</t>
        </is>
      </c>
      <c r="D111" s="69" t="inlineStr">
        <is>
          <t>Impresora para placas radiográficas, marca Fujifilm, modelo Drypix Smart</t>
        </is>
      </c>
      <c r="E111" s="68" t="inlineStr">
        <is>
          <t>56728475</t>
        </is>
      </c>
      <c r="F111" s="69" t="inlineStr">
        <is>
          <t>H.M.R.E. Mazatlán</t>
        </is>
      </c>
      <c r="G111" s="39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1" s="40" t="inlineStr">
        <is>
          <t>Servicio</t>
        </is>
      </c>
      <c r="I111" s="41" t="n">
        <v>1</v>
      </c>
      <c r="J111" s="41" t="n">
        <v>2</v>
      </c>
      <c r="K111" s="42" t="inlineStr">
        <is>
          <t>México</t>
        </is>
      </c>
      <c r="L111" s="293" t="n">
        <v>230215.52</v>
      </c>
      <c r="M111" s="293" t="n"/>
      <c r="N111" s="293" t="n">
        <v>300000</v>
      </c>
      <c r="O111" s="293">
        <f>I111*N111</f>
        <v/>
      </c>
      <c r="P111" s="293">
        <f>J111*N111</f>
        <v/>
      </c>
      <c r="Q111" s="293">
        <f>SUM(O111:P111)</f>
        <v/>
      </c>
      <c r="R111" s="293">
        <f>Q111*$R$9</f>
        <v/>
      </c>
      <c r="S111" s="293">
        <f>SUM(Q111:R111)</f>
        <v/>
      </c>
      <c r="T111" s="44" t="inlineStr">
        <is>
          <t>Accesorios: No incluye
Consumibles: No incluye</t>
        </is>
      </c>
      <c r="U111" s="45" t="inlineStr">
        <is>
          <t>Durante la vigencia del contrato</t>
        </is>
      </c>
      <c r="V111" s="46" t="inlineStr">
        <is>
          <t>NO</t>
        </is>
      </c>
      <c r="W111" s="47" t="inlineStr">
        <is>
          <t>IMAGEN</t>
        </is>
      </c>
    </row>
    <row r="112" ht="124.95" customHeight="1" s="227">
      <c r="A112" s="38" t="n">
        <v>184</v>
      </c>
      <c r="B112" s="68" t="inlineStr">
        <is>
          <t>SINALOA</t>
        </is>
      </c>
      <c r="D112" s="69" t="inlineStr">
        <is>
          <t>Impresora para placas radiográficas, marca Fujifilm, modelo Drypix Smart</t>
        </is>
      </c>
      <c r="E112" s="68" t="inlineStr">
        <is>
          <t>66131122</t>
        </is>
      </c>
      <c r="F112" s="69" t="inlineStr">
        <is>
          <t>H.M.R.E. Mazatlán</t>
        </is>
      </c>
      <c r="G112" s="39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2" s="40" t="inlineStr">
        <is>
          <t>Servicio</t>
        </is>
      </c>
      <c r="I112" s="41" t="n">
        <v>1</v>
      </c>
      <c r="J112" s="41" t="n">
        <v>2</v>
      </c>
      <c r="K112" s="42" t="inlineStr">
        <is>
          <t>México</t>
        </is>
      </c>
      <c r="L112" s="293" t="n">
        <v>233002.29</v>
      </c>
      <c r="M112" s="293" t="n"/>
      <c r="N112" s="293" t="n">
        <v>300000</v>
      </c>
      <c r="O112" s="293">
        <f>I112*N112</f>
        <v/>
      </c>
      <c r="P112" s="293">
        <f>J112*N112</f>
        <v/>
      </c>
      <c r="Q112" s="293">
        <f>SUM(O112:P112)</f>
        <v/>
      </c>
      <c r="R112" s="293">
        <f>Q112*$R$9</f>
        <v/>
      </c>
      <c r="S112" s="293">
        <f>SUM(Q112:R112)</f>
        <v/>
      </c>
      <c r="T112" s="44" t="inlineStr">
        <is>
          <t>Accesorios: No incluye
Consumibles: No incluye</t>
        </is>
      </c>
      <c r="U112" s="45" t="inlineStr">
        <is>
          <t>Durante la vigencia del contrato</t>
        </is>
      </c>
      <c r="V112" s="46" t="inlineStr">
        <is>
          <t>NO</t>
        </is>
      </c>
      <c r="W112" s="47" t="inlineStr">
        <is>
          <t>IMAGEN</t>
        </is>
      </c>
    </row>
    <row r="113" ht="140.4" customHeight="1" s="227">
      <c r="A113" s="49" t="n">
        <v>185</v>
      </c>
      <c r="B113" s="68" t="inlineStr">
        <is>
          <t>CDMX</t>
        </is>
      </c>
      <c r="D113" s="69" t="inlineStr">
        <is>
          <t>Sistema de diagnóstico oftálmico avanzado, marca Heidelberg Engineering, modelo Spectralis</t>
        </is>
      </c>
      <c r="E113" s="68" t="inlineStr">
        <is>
          <t>SPECT-KT-05789</t>
        </is>
      </c>
      <c r="F113" s="69" t="inlineStr">
        <is>
          <t>H.C.M. Lomas de Sotelo</t>
        </is>
      </c>
      <c r="G113" s="50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113" s="51" t="inlineStr">
        <is>
          <t>Servicio</t>
        </is>
      </c>
      <c r="I113" s="52" t="n">
        <v>2</v>
      </c>
      <c r="J113" s="52" t="n">
        <v>4</v>
      </c>
      <c r="K113" s="59" t="inlineStr">
        <is>
          <t>México</t>
        </is>
      </c>
      <c r="L113" s="290" t="n">
        <v>391810.34</v>
      </c>
      <c r="M113" s="291" t="n">
        <v>125000</v>
      </c>
      <c r="N113" s="292" t="n">
        <v>300000</v>
      </c>
      <c r="O113" s="292">
        <f>I113*N113</f>
        <v/>
      </c>
      <c r="P113" s="292">
        <f>J113*N113</f>
        <v/>
      </c>
      <c r="Q113" s="292">
        <f>SUM(O113:P113)</f>
        <v/>
      </c>
      <c r="R113" s="292">
        <f>Q113*$R$9</f>
        <v/>
      </c>
      <c r="S113" s="292">
        <f>SUM(Q113:R113)</f>
        <v/>
      </c>
      <c r="T113" s="56" t="inlineStr">
        <is>
          <t>Accesorios: No incluye
Consumibles: No incluye</t>
        </is>
      </c>
      <c r="U113" s="54" t="inlineStr">
        <is>
          <t>Durante la vigencia del contrato</t>
        </is>
      </c>
      <c r="V113" s="57" t="inlineStr">
        <is>
          <t>SI</t>
        </is>
      </c>
      <c r="W113" s="54" t="inlineStr">
        <is>
          <t>OFTALMO</t>
        </is>
      </c>
      <c r="X113" s="32" t="inlineStr">
        <is>
          <t>ARFAMEX</t>
        </is>
      </c>
    </row>
    <row r="114" ht="124.95" customHeight="1" s="227">
      <c r="A114" s="38" t="n">
        <v>196</v>
      </c>
      <c r="B114" s="68" t="inlineStr">
        <is>
          <t>NUEVO LEON</t>
        </is>
      </c>
      <c r="D114" s="69" t="inlineStr">
        <is>
          <t>Sistema de digitalización de imágenes, marca SUNI, modelo SUNI</t>
        </is>
      </c>
      <c r="E114" s="68" t="inlineStr">
        <is>
          <t>DI2014106149</t>
        </is>
      </c>
      <c r="F114" s="69" t="inlineStr">
        <is>
          <t>H.M.R.E. Monterrey</t>
        </is>
      </c>
      <c r="G114" s="39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14" s="40" t="inlineStr">
        <is>
          <t>Servicio</t>
        </is>
      </c>
      <c r="I114" s="41" t="n">
        <v>1</v>
      </c>
      <c r="J114" s="41" t="n">
        <v>2</v>
      </c>
      <c r="K114" s="42" t="inlineStr">
        <is>
          <t>México</t>
        </is>
      </c>
      <c r="L114" s="293" t="n">
        <v>360000</v>
      </c>
      <c r="M114" s="293" t="n"/>
      <c r="N114" s="293" t="n">
        <v>350000</v>
      </c>
      <c r="O114" s="293">
        <f>I114*N114</f>
        <v/>
      </c>
      <c r="P114" s="293">
        <f>J114*N114</f>
        <v/>
      </c>
      <c r="Q114" s="293">
        <f>SUM(O114:P114)</f>
        <v/>
      </c>
      <c r="R114" s="293">
        <f>Q114*$R$9</f>
        <v/>
      </c>
      <c r="S114" s="293">
        <f>SUM(Q114:R114)</f>
        <v/>
      </c>
      <c r="T114" s="44" t="inlineStr">
        <is>
          <t>Accesorios: No incluye
Consumibles: No incluye</t>
        </is>
      </c>
      <c r="U114" s="45" t="inlineStr">
        <is>
          <t>Durante la vigencia del contrato</t>
        </is>
      </c>
      <c r="V114" s="46" t="inlineStr">
        <is>
          <t>SI</t>
        </is>
      </c>
      <c r="W114" s="47" t="inlineStr">
        <is>
          <t>IMAGEN</t>
        </is>
      </c>
    </row>
    <row r="115" ht="124.95" customHeight="1" s="227">
      <c r="A115" s="38" t="n">
        <v>198</v>
      </c>
      <c r="B115" s="68" t="inlineStr">
        <is>
          <t>VERACRUZ</t>
        </is>
      </c>
      <c r="D115" s="69" t="inlineStr">
        <is>
          <t>Arco en C, marca Ziehm Imaging, modelo Vision R</t>
        </is>
      </c>
      <c r="E115" s="68" t="inlineStr">
        <is>
          <t>10704</t>
        </is>
      </c>
      <c r="F115" s="69" t="inlineStr">
        <is>
          <t>H.M.Z. La Boticaría</t>
        </is>
      </c>
      <c r="G115" s="39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15" s="40" t="inlineStr">
        <is>
          <t>Servicio</t>
        </is>
      </c>
      <c r="I115" s="41" t="n">
        <v>1</v>
      </c>
      <c r="J115" s="41" t="n">
        <v>2</v>
      </c>
      <c r="K115" s="42" t="inlineStr">
        <is>
          <t>México</t>
        </is>
      </c>
      <c r="L115" s="293" t="n">
        <v>220000</v>
      </c>
      <c r="M115" s="293" t="n"/>
      <c r="N115" s="293" t="n">
        <v>220000</v>
      </c>
      <c r="O115" s="293">
        <f>I115*N115</f>
        <v/>
      </c>
      <c r="P115" s="293">
        <f>J115*N115</f>
        <v/>
      </c>
      <c r="Q115" s="293">
        <f>SUM(O115:P115)</f>
        <v/>
      </c>
      <c r="R115" s="293">
        <f>Q115*$R$9</f>
        <v/>
      </c>
      <c r="S115" s="293">
        <f>SUM(Q115:R115)</f>
        <v/>
      </c>
      <c r="T115" s="44" t="inlineStr">
        <is>
          <t>Accesorios: No incluye
Consumibles: No incluye</t>
        </is>
      </c>
      <c r="U115" s="45" t="inlineStr">
        <is>
          <t>Durante la vigencia del contrato</t>
        </is>
      </c>
      <c r="V115" s="46" t="inlineStr">
        <is>
          <t>SI</t>
        </is>
      </c>
      <c r="W115" s="47" t="inlineStr">
        <is>
          <t>IMAGEN</t>
        </is>
      </c>
    </row>
    <row r="116" ht="124.95" customHeight="1" s="227">
      <c r="A116" s="38" t="n">
        <v>200</v>
      </c>
      <c r="B116" s="68" t="inlineStr">
        <is>
          <t>CHIHUAHUA</t>
        </is>
      </c>
      <c r="D116" s="69" t="inlineStr">
        <is>
          <t>Arco en C, marca Ziehm Imaging, modelo Vision R</t>
        </is>
      </c>
      <c r="E116" s="68" t="inlineStr">
        <is>
          <t>10703</t>
        </is>
      </c>
      <c r="F116" s="69" t="inlineStr">
        <is>
          <t>H.M.R. Chihuahua</t>
        </is>
      </c>
      <c r="G116" s="39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16" s="40" t="inlineStr">
        <is>
          <t>Servicio</t>
        </is>
      </c>
      <c r="I116" s="41" t="n">
        <v>1</v>
      </c>
      <c r="J116" s="41" t="n">
        <v>2</v>
      </c>
      <c r="K116" s="42" t="inlineStr">
        <is>
          <t>México</t>
        </is>
      </c>
      <c r="L116" s="293" t="n">
        <v>220165.52</v>
      </c>
      <c r="M116" s="293" t="n"/>
      <c r="N116" s="293" t="n">
        <v>300000</v>
      </c>
      <c r="O116" s="293">
        <f>I116*N116</f>
        <v/>
      </c>
      <c r="P116" s="293">
        <f>J116*N116</f>
        <v/>
      </c>
      <c r="Q116" s="293">
        <f>SUM(O116:P116)</f>
        <v/>
      </c>
      <c r="R116" s="293">
        <f>Q116*$R$9</f>
        <v/>
      </c>
      <c r="S116" s="293">
        <f>SUM(Q116:R116)</f>
        <v/>
      </c>
      <c r="T116" s="44" t="inlineStr">
        <is>
          <t>Accesorios: No incluye
Consumibles: No incluye</t>
        </is>
      </c>
      <c r="U116" s="45" t="inlineStr">
        <is>
          <t>Durante la vigencia del contrato</t>
        </is>
      </c>
      <c r="V116" s="46" t="inlineStr">
        <is>
          <t>NO</t>
        </is>
      </c>
      <c r="W116" s="47" t="inlineStr">
        <is>
          <t>IMAGEN</t>
        </is>
      </c>
    </row>
    <row r="117" ht="124.95" customHeight="1" s="227">
      <c r="A117" s="38" t="n">
        <v>203</v>
      </c>
      <c r="B117" s="68" t="inlineStr">
        <is>
          <t>CHIAPAS</t>
        </is>
      </c>
      <c r="D117" s="69" t="inlineStr">
        <is>
          <t>Topógrafo corneal , marca Bausch &amp; Lomb, modelo ORBSCAN lll</t>
        </is>
      </c>
      <c r="E117" s="68" t="inlineStr">
        <is>
          <t>50004019-0093</t>
        </is>
      </c>
      <c r="F117" s="69" t="inlineStr">
        <is>
          <t>H.M.R. Tuxtla Gutiérrez</t>
        </is>
      </c>
      <c r="G117" s="39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7" s="40" t="inlineStr">
        <is>
          <t>Servicio</t>
        </is>
      </c>
      <c r="I117" s="41" t="n">
        <v>1</v>
      </c>
      <c r="J117" s="41" t="n">
        <v>2</v>
      </c>
      <c r="K117" s="42" t="inlineStr">
        <is>
          <t>México</t>
        </is>
      </c>
      <c r="L117" s="293" t="n">
        <v>281225</v>
      </c>
      <c r="M117" s="293" t="n"/>
      <c r="N117" s="293" t="n">
        <v>350000</v>
      </c>
      <c r="O117" s="293">
        <f>I117*N117</f>
        <v/>
      </c>
      <c r="P117" s="293">
        <f>J117*N117</f>
        <v/>
      </c>
      <c r="Q117" s="293">
        <f>SUM(O117:P117)</f>
        <v/>
      </c>
      <c r="R117" s="293">
        <f>Q117*$R$9</f>
        <v/>
      </c>
      <c r="S117" s="293">
        <f>SUM(Q117:R117)</f>
        <v/>
      </c>
      <c r="T117" s="44" t="inlineStr">
        <is>
          <t>Accesorios: No incluye
Consumibles: No incluye</t>
        </is>
      </c>
      <c r="U117" s="45" t="inlineStr">
        <is>
          <t>Durante la vigencia del contrato</t>
        </is>
      </c>
      <c r="V117" s="46" t="inlineStr">
        <is>
          <t>NO</t>
        </is>
      </c>
      <c r="W117" s="45" t="inlineStr">
        <is>
          <t>OFTALMO</t>
        </is>
      </c>
      <c r="X117" s="32" t="inlineStr">
        <is>
          <t>BAUSH</t>
        </is>
      </c>
    </row>
    <row r="118" ht="124.95" customHeight="1" s="227">
      <c r="A118" s="38" t="n">
        <v>204</v>
      </c>
      <c r="B118" s="68" t="inlineStr">
        <is>
          <t>CHIAPAS</t>
        </is>
      </c>
      <c r="D118" s="69" t="inlineStr">
        <is>
          <t>Láser oftálmico, marca LightMed Corporation, modelo LIGHTLas</t>
        </is>
      </c>
      <c r="E118" s="68" t="inlineStr">
        <is>
          <t>SC22-0487</t>
        </is>
      </c>
      <c r="F118" s="69" t="inlineStr">
        <is>
          <t>H.M.R. Tuxtla Gutiérrez</t>
        </is>
      </c>
      <c r="G118" s="39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8" s="40" t="inlineStr">
        <is>
          <t>Servicio</t>
        </is>
      </c>
      <c r="I118" s="41" t="n">
        <v>1</v>
      </c>
      <c r="J118" s="41" t="n">
        <v>2</v>
      </c>
      <c r="K118" s="42" t="inlineStr">
        <is>
          <t>México</t>
        </is>
      </c>
      <c r="L118" s="293" t="n">
        <v>403448.27</v>
      </c>
      <c r="M118" s="293" t="n"/>
      <c r="N118" s="293" t="n">
        <v>600000</v>
      </c>
      <c r="O118" s="293">
        <f>I118*N118</f>
        <v/>
      </c>
      <c r="P118" s="293">
        <f>J118*N118</f>
        <v/>
      </c>
      <c r="Q118" s="293">
        <f>SUM(O118:P118)</f>
        <v/>
      </c>
      <c r="R118" s="293">
        <f>Q118*$R$9</f>
        <v/>
      </c>
      <c r="S118" s="293">
        <f>SUM(Q118:R118)</f>
        <v/>
      </c>
      <c r="T118" s="44" t="inlineStr">
        <is>
          <t>Accesorios: No incluye
Consumibles: No incluye</t>
        </is>
      </c>
      <c r="U118" s="45" t="inlineStr">
        <is>
          <t>Durante la vigencia del contrato</t>
        </is>
      </c>
      <c r="V118" s="46" t="inlineStr">
        <is>
          <t>SI</t>
        </is>
      </c>
      <c r="W118" s="45" t="inlineStr">
        <is>
          <t>OFTALMO</t>
        </is>
      </c>
      <c r="X118" s="32" t="inlineStr">
        <is>
          <t xml:space="preserve">ALDAI </t>
        </is>
      </c>
    </row>
    <row r="119" ht="124.95" customHeight="1" s="227">
      <c r="A119" s="49" t="n">
        <v>208</v>
      </c>
      <c r="B119" s="68" t="inlineStr">
        <is>
          <t>YUCATAN</t>
        </is>
      </c>
      <c r="D119" s="69" t="inlineStr">
        <is>
          <t>Microscopio para cirugía, marca Leica, modelo M844F40</t>
        </is>
      </c>
      <c r="E119" s="68" t="inlineStr">
        <is>
          <t>160516003</t>
        </is>
      </c>
      <c r="F119" s="69" t="inlineStr">
        <is>
          <t>H.M.R.E. Mérida</t>
        </is>
      </c>
      <c r="G119" s="50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119" s="51" t="inlineStr">
        <is>
          <t>Servicio</t>
        </is>
      </c>
      <c r="I119" s="52" t="n">
        <v>1</v>
      </c>
      <c r="J119" s="52" t="n">
        <v>2</v>
      </c>
      <c r="K119" s="59" t="inlineStr">
        <is>
          <t>México</t>
        </is>
      </c>
      <c r="L119" s="290" t="n">
        <v>198755</v>
      </c>
      <c r="M119" s="291" t="n">
        <v>230000</v>
      </c>
      <c r="N119" s="292" t="n">
        <v>195000</v>
      </c>
      <c r="O119" s="292">
        <f>I119*N119</f>
        <v/>
      </c>
      <c r="P119" s="292">
        <f>J119*N119</f>
        <v/>
      </c>
      <c r="Q119" s="292">
        <f>SUM(O119:P119)</f>
        <v/>
      </c>
      <c r="R119" s="292">
        <f>Q119*$R$9</f>
        <v/>
      </c>
      <c r="S119" s="292">
        <f>SUM(Q119:R119)</f>
        <v/>
      </c>
      <c r="T119" s="56" t="inlineStr">
        <is>
          <t>Accesorios: No incluye
Consumibles: No incluye</t>
        </is>
      </c>
      <c r="U119" s="54" t="inlineStr">
        <is>
          <t>Durante la vigencia del contrato</t>
        </is>
      </c>
      <c r="V119" s="57" t="inlineStr">
        <is>
          <t>SI</t>
        </is>
      </c>
      <c r="W119" s="54" t="inlineStr">
        <is>
          <t>OFTALMO</t>
        </is>
      </c>
      <c r="X119" s="32" t="inlineStr">
        <is>
          <t>COINDISA</t>
        </is>
      </c>
    </row>
    <row r="120" ht="124.95" customHeight="1" s="227">
      <c r="A120" s="49" t="n">
        <v>212</v>
      </c>
      <c r="B120" s="68" t="inlineStr">
        <is>
          <t>CDMX</t>
        </is>
      </c>
      <c r="D120" s="69" t="inlineStr">
        <is>
          <t>Ultrasonido modo A-B, marca Quantel Medical, modelo Aviso</t>
        </is>
      </c>
      <c r="E120" s="68" t="inlineStr">
        <is>
          <t>3640</t>
        </is>
      </c>
      <c r="F120" s="69" t="inlineStr">
        <is>
          <t>H.M.E.O. Constituyentes</t>
        </is>
      </c>
      <c r="G120" s="50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0" s="51" t="inlineStr">
        <is>
          <t>Servicio</t>
        </is>
      </c>
      <c r="I120" s="52" t="n">
        <v>1</v>
      </c>
      <c r="J120" s="52" t="n">
        <v>2</v>
      </c>
      <c r="K120" s="59" t="inlineStr">
        <is>
          <t>México</t>
        </is>
      </c>
      <c r="L120" s="290" t="n">
        <v>230215.52</v>
      </c>
      <c r="M120" s="291" t="n">
        <v>55000</v>
      </c>
      <c r="N120" s="292" t="n">
        <v>220000</v>
      </c>
      <c r="O120" s="292">
        <f>I120*N120</f>
        <v/>
      </c>
      <c r="P120" s="292">
        <f>J120*N120</f>
        <v/>
      </c>
      <c r="Q120" s="292">
        <f>SUM(O120:P120)</f>
        <v/>
      </c>
      <c r="R120" s="292">
        <f>Q120*$R$9</f>
        <v/>
      </c>
      <c r="S120" s="292">
        <f>SUM(Q120:R120)</f>
        <v/>
      </c>
      <c r="T120" s="56" t="inlineStr">
        <is>
          <t>Accesorios: No incluye
Consumibles: No incluye</t>
        </is>
      </c>
      <c r="U120" s="54" t="inlineStr">
        <is>
          <t>Durante la vigencia del contrato</t>
        </is>
      </c>
      <c r="V120" s="57" t="inlineStr">
        <is>
          <t>SI</t>
        </is>
      </c>
      <c r="W120" s="54" t="inlineStr">
        <is>
          <t>OFTALMO</t>
        </is>
      </c>
      <c r="X120" s="32" t="inlineStr">
        <is>
          <t>ARFAMEX</t>
        </is>
      </c>
    </row>
    <row r="121" ht="124.95" customHeight="1" s="227">
      <c r="A121" s="49" t="n">
        <v>213</v>
      </c>
      <c r="B121" s="68" t="inlineStr">
        <is>
          <t>CDMX</t>
        </is>
      </c>
      <c r="D121" s="69" t="inlineStr">
        <is>
          <t>Ultrasonido modo A-B y UBM, marca Quantel Medical, modelo Compact Touch</t>
        </is>
      </c>
      <c r="E121" s="68" t="inlineStr">
        <is>
          <t>2746</t>
        </is>
      </c>
      <c r="F121" s="69" t="inlineStr">
        <is>
          <t>H.M.E.O. Constituyentes</t>
        </is>
      </c>
      <c r="G121" s="50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1" s="51" t="inlineStr">
        <is>
          <t>Servicio</t>
        </is>
      </c>
      <c r="I121" s="52" t="n">
        <v>1</v>
      </c>
      <c r="J121" s="52" t="n">
        <v>2</v>
      </c>
      <c r="K121" s="59" t="inlineStr">
        <is>
          <t>México</t>
        </is>
      </c>
      <c r="L121" s="290" t="n">
        <v>217543.11</v>
      </c>
      <c r="M121" s="291" t="n">
        <v>55000</v>
      </c>
      <c r="N121" s="292" t="n">
        <v>150000</v>
      </c>
      <c r="O121" s="292">
        <f>I121*N121</f>
        <v/>
      </c>
      <c r="P121" s="292">
        <f>J121*N121</f>
        <v/>
      </c>
      <c r="Q121" s="292">
        <f>SUM(O121:P121)</f>
        <v/>
      </c>
      <c r="R121" s="292">
        <f>Q121*$R$9</f>
        <v/>
      </c>
      <c r="S121" s="292">
        <f>SUM(Q121:R121)</f>
        <v/>
      </c>
      <c r="T121" s="56" t="inlineStr">
        <is>
          <t>Accesorios: No incluye
Consumibles: No incluye</t>
        </is>
      </c>
      <c r="U121" s="54" t="inlineStr">
        <is>
          <t>Durante la vigencia del contrato</t>
        </is>
      </c>
      <c r="V121" s="57" t="inlineStr">
        <is>
          <t>SI</t>
        </is>
      </c>
      <c r="W121" s="54" t="inlineStr">
        <is>
          <t>OFTALMO</t>
        </is>
      </c>
      <c r="X121" s="32" t="inlineStr">
        <is>
          <t>ARFAMEX</t>
        </is>
      </c>
    </row>
    <row r="122" ht="124.95" customHeight="1" s="227">
      <c r="A122" s="49" t="n">
        <v>214</v>
      </c>
      <c r="B122" s="68" t="inlineStr">
        <is>
          <t>CDMX</t>
        </is>
      </c>
      <c r="D122" s="69" t="inlineStr">
        <is>
          <t>Cámara de Scheimpflug, marca Oculus, modelo Pentacam HR</t>
        </is>
      </c>
      <c r="E122" s="68" t="inlineStr">
        <is>
          <t>64835160</t>
        </is>
      </c>
      <c r="F122" s="69" t="inlineStr">
        <is>
          <t>H.M.E.O. Constituyentes</t>
        </is>
      </c>
      <c r="G122" s="50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2" s="51" t="inlineStr">
        <is>
          <t>Servicio</t>
        </is>
      </c>
      <c r="I122" s="52" t="n">
        <v>1</v>
      </c>
      <c r="J122" s="52" t="n">
        <v>2</v>
      </c>
      <c r="K122" s="59" t="inlineStr">
        <is>
          <t>México</t>
        </is>
      </c>
      <c r="L122" s="290" t="n">
        <v>216433.19</v>
      </c>
      <c r="M122" s="291" t="n">
        <v>50000</v>
      </c>
      <c r="N122" s="292" t="n">
        <v>150000</v>
      </c>
      <c r="O122" s="292">
        <f>I122*N122</f>
        <v/>
      </c>
      <c r="P122" s="292">
        <f>J122*N122</f>
        <v/>
      </c>
      <c r="Q122" s="292">
        <f>SUM(O122:P122)</f>
        <v/>
      </c>
      <c r="R122" s="292">
        <f>Q122*$R$9</f>
        <v/>
      </c>
      <c r="S122" s="292">
        <f>SUM(Q122:R122)</f>
        <v/>
      </c>
      <c r="T122" s="56" t="inlineStr">
        <is>
          <t>Accesorios: No incluye
Consumibles: No incluye</t>
        </is>
      </c>
      <c r="U122" s="54" t="inlineStr">
        <is>
          <t>Durante la vigencia del contrato</t>
        </is>
      </c>
      <c r="V122" s="57" t="inlineStr">
        <is>
          <t>SI</t>
        </is>
      </c>
      <c r="W122" s="54" t="inlineStr">
        <is>
          <t>OFTALMO</t>
        </is>
      </c>
      <c r="X122" s="32" t="inlineStr">
        <is>
          <t>CYAN</t>
        </is>
      </c>
    </row>
    <row r="123" ht="124.95" customHeight="1" s="227">
      <c r="A123" s="49" t="n">
        <v>215</v>
      </c>
      <c r="B123" s="68" t="inlineStr">
        <is>
          <t>CDMX</t>
        </is>
      </c>
      <c r="D123" s="69" t="inlineStr">
        <is>
          <t>Unidad de banco de ojos, marca Varios, modelo Varios</t>
        </is>
      </c>
      <c r="E123" s="68" t="inlineStr">
        <is>
          <t>Varios</t>
        </is>
      </c>
      <c r="F123" s="69" t="inlineStr">
        <is>
          <t>H.M.E.O. Constituyentes</t>
        </is>
      </c>
      <c r="G123" s="50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3" s="51" t="inlineStr">
        <is>
          <t>Servicio</t>
        </is>
      </c>
      <c r="I123" s="52" t="n">
        <v>1</v>
      </c>
      <c r="J123" s="52" t="n">
        <v>2</v>
      </c>
      <c r="K123" s="59" t="inlineStr">
        <is>
          <t>México</t>
        </is>
      </c>
      <c r="L123" s="290" t="n">
        <v>131700</v>
      </c>
      <c r="M123" s="291" t="n">
        <v>1</v>
      </c>
      <c r="N123" s="292" t="n">
        <v>130000</v>
      </c>
      <c r="O123" s="292">
        <f>I123*N123</f>
        <v/>
      </c>
      <c r="P123" s="292">
        <f>J123*N123</f>
        <v/>
      </c>
      <c r="Q123" s="292">
        <f>SUM(O123:P123)</f>
        <v/>
      </c>
      <c r="R123" s="292">
        <f>Q123*$R$9</f>
        <v/>
      </c>
      <c r="S123" s="292">
        <f>SUM(Q123:R123)</f>
        <v/>
      </c>
      <c r="T123" s="56" t="inlineStr">
        <is>
          <t>Accesorios: No incluye
Consumibles: No incluye</t>
        </is>
      </c>
      <c r="U123" s="54" t="inlineStr">
        <is>
          <t>Durante la vigencia del contrato</t>
        </is>
      </c>
      <c r="V123" s="57" t="inlineStr">
        <is>
          <t>SI</t>
        </is>
      </c>
      <c r="W123" s="54" t="inlineStr">
        <is>
          <t>OFTALMO</t>
        </is>
      </c>
      <c r="X123" s="32" t="inlineStr">
        <is>
          <t>MD</t>
        </is>
      </c>
    </row>
    <row r="124" ht="140.4" customHeight="1" s="227">
      <c r="A124" s="38" t="n">
        <v>218</v>
      </c>
      <c r="B124" s="68" t="inlineStr">
        <is>
          <t>CDMX</t>
        </is>
      </c>
      <c r="D124" s="69" t="inlineStr">
        <is>
          <t>Impresora para placas radiográficas, marca Codonics, modelo Horizon Ci</t>
        </is>
      </c>
      <c r="E124" s="68" t="inlineStr">
        <is>
          <t>50C00394C</t>
        </is>
      </c>
      <c r="F124" s="69" t="inlineStr">
        <is>
          <t>H.M.E.M. Y N. Lomas de Sotelo</t>
        </is>
      </c>
      <c r="G124" s="39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4" s="40" t="inlineStr">
        <is>
          <t>Servicio</t>
        </is>
      </c>
      <c r="I124" s="41" t="n">
        <v>1</v>
      </c>
      <c r="J124" s="41" t="n">
        <v>2</v>
      </c>
      <c r="K124" s="42" t="inlineStr">
        <is>
          <t>México</t>
        </is>
      </c>
      <c r="L124" s="293" t="n">
        <v>226391.29</v>
      </c>
      <c r="M124" s="293" t="n"/>
      <c r="N124" s="293" t="n">
        <v>220000</v>
      </c>
      <c r="O124" s="293">
        <f>I124*N124</f>
        <v/>
      </c>
      <c r="P124" s="293">
        <f>J124*N124</f>
        <v/>
      </c>
      <c r="Q124" s="293">
        <f>SUM(O124:P124)</f>
        <v/>
      </c>
      <c r="R124" s="293">
        <f>Q124*$R$9</f>
        <v/>
      </c>
      <c r="S124" s="293">
        <f>SUM(Q124:R124)</f>
        <v/>
      </c>
      <c r="T124" s="44" t="inlineStr">
        <is>
          <t>Accesorios: No incluye
Consumibles: No incluye</t>
        </is>
      </c>
      <c r="U124" s="45" t="inlineStr">
        <is>
          <t>Durante la vigencia del contrato</t>
        </is>
      </c>
      <c r="V124" s="46" t="inlineStr">
        <is>
          <t>SI</t>
        </is>
      </c>
      <c r="W124" s="47" t="inlineStr">
        <is>
          <t>IMAGEN</t>
        </is>
      </c>
    </row>
    <row r="125" ht="156" customHeight="1" s="227">
      <c r="A125" s="38" t="n">
        <v>221</v>
      </c>
      <c r="B125" s="68" t="inlineStr">
        <is>
          <t>VERACRUZ</t>
        </is>
      </c>
      <c r="D125" s="69" t="inlineStr">
        <is>
          <t>Sistema de digitalización de imágenes, marca Fujifilm, modelo Digitalizador: FCR Capsula XLII (CR-IR 359) Impresora: Drypix Plus</t>
        </is>
      </c>
      <c r="E125" s="68" t="inlineStr">
        <is>
          <t>Digitalizador: 46770610 Impresora: 36753809</t>
        </is>
      </c>
      <c r="F125" s="69" t="inlineStr">
        <is>
          <t>H.M.Z. La Boticaría</t>
        </is>
      </c>
      <c r="G125" s="39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5" s="40" t="inlineStr">
        <is>
          <t>Servicio</t>
        </is>
      </c>
      <c r="I125" s="41" t="n">
        <v>1</v>
      </c>
      <c r="J125" s="41" t="n">
        <v>2</v>
      </c>
      <c r="K125" s="42" t="inlineStr">
        <is>
          <t>México</t>
        </is>
      </c>
      <c r="L125" s="293" t="n">
        <v>230215.52</v>
      </c>
      <c r="M125" s="293" t="n"/>
      <c r="N125" s="293" t="n">
        <v>220000</v>
      </c>
      <c r="O125" s="293">
        <f>I125*N125</f>
        <v/>
      </c>
      <c r="P125" s="293">
        <f>J125*N125</f>
        <v/>
      </c>
      <c r="Q125" s="293">
        <f>SUM(O125:P125)</f>
        <v/>
      </c>
      <c r="R125" s="293">
        <f>Q125*$R$9</f>
        <v/>
      </c>
      <c r="S125" s="293">
        <f>SUM(Q125:R125)</f>
        <v/>
      </c>
      <c r="T125" s="44" t="inlineStr">
        <is>
          <t>Accesorios: No incluye
Consumibles: No incluye</t>
        </is>
      </c>
      <c r="U125" s="45" t="inlineStr">
        <is>
          <t>Durante la vigencia del contrato</t>
        </is>
      </c>
      <c r="V125" s="46" t="inlineStr">
        <is>
          <t>SI</t>
        </is>
      </c>
      <c r="W125" s="47" t="inlineStr">
        <is>
          <t>IMAGEN</t>
        </is>
      </c>
    </row>
    <row r="126" ht="124.95" customHeight="1" s="227">
      <c r="A126" s="49" t="n">
        <v>222</v>
      </c>
      <c r="B126" s="68" t="inlineStr">
        <is>
          <t>VERACRUZ</t>
        </is>
      </c>
      <c r="D126" s="69" t="inlineStr">
        <is>
          <t>Ultrasonido oftálmico, marca OPTIKON, modelo HiScan</t>
        </is>
      </c>
      <c r="E126" s="68" t="inlineStr">
        <is>
          <t>387BC</t>
        </is>
      </c>
      <c r="F126" s="69" t="inlineStr">
        <is>
          <t>H.M.Z. La Boticaría</t>
        </is>
      </c>
      <c r="G126" s="50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6" s="51" t="inlineStr">
        <is>
          <t>Servicio</t>
        </is>
      </c>
      <c r="I126" s="52" t="n">
        <v>1</v>
      </c>
      <c r="J126" s="52" t="n">
        <v>2</v>
      </c>
      <c r="K126" s="59" t="inlineStr">
        <is>
          <t>México</t>
        </is>
      </c>
      <c r="L126" s="290" t="n">
        <v>368200</v>
      </c>
      <c r="M126" s="291" t="n"/>
      <c r="N126" s="292" t="n">
        <v>365000</v>
      </c>
      <c r="O126" s="292">
        <f>I126*N126</f>
        <v/>
      </c>
      <c r="P126" s="292">
        <f>J126*N126</f>
        <v/>
      </c>
      <c r="Q126" s="292">
        <f>SUM(O126:P126)</f>
        <v/>
      </c>
      <c r="R126" s="292">
        <f>Q126*$R$9</f>
        <v/>
      </c>
      <c r="S126" s="292">
        <f>SUM(Q126:R126)</f>
        <v/>
      </c>
      <c r="T126" s="56" t="inlineStr">
        <is>
          <t>Accesorios: No incluye
Consumibles: No incluye</t>
        </is>
      </c>
      <c r="U126" s="54" t="inlineStr">
        <is>
          <t>Durante la vigencia del contrato</t>
        </is>
      </c>
      <c r="V126" s="57" t="inlineStr">
        <is>
          <t>SI</t>
        </is>
      </c>
      <c r="W126" s="54" t="inlineStr">
        <is>
          <t>OFTALMO</t>
        </is>
      </c>
      <c r="X126" s="32" t="inlineStr">
        <is>
          <t>OPTIKON</t>
        </is>
      </c>
    </row>
    <row r="127" ht="124.95" customHeight="1" s="227">
      <c r="A127" s="38" t="n">
        <v>223</v>
      </c>
      <c r="B127" s="68" t="inlineStr">
        <is>
          <t>GUERRERO</t>
        </is>
      </c>
      <c r="D127" s="69" t="inlineStr">
        <is>
          <t>Rayos X móvil, marca Shimadzu, modelo MobileArt Evolution</t>
        </is>
      </c>
      <c r="E127" s="68" t="inlineStr">
        <is>
          <t>41000333B017</t>
        </is>
      </c>
      <c r="F127" s="69" t="inlineStr">
        <is>
          <t>H.M.R. Chilpancingo</t>
        </is>
      </c>
      <c r="G127" s="39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H127" s="40" t="inlineStr">
        <is>
          <t>Servicio</t>
        </is>
      </c>
      <c r="I127" s="41" t="n">
        <v>1</v>
      </c>
      <c r="J127" s="41" t="n">
        <v>2</v>
      </c>
      <c r="K127" s="42" t="inlineStr">
        <is>
          <t>México</t>
        </is>
      </c>
      <c r="L127" s="293" t="n">
        <v>228530.52</v>
      </c>
      <c r="M127" s="293" t="n"/>
      <c r="N127" s="293" t="n">
        <v>220000</v>
      </c>
      <c r="O127" s="293">
        <f>I127*N127</f>
        <v/>
      </c>
      <c r="P127" s="293">
        <f>J127*N127</f>
        <v/>
      </c>
      <c r="Q127" s="293">
        <f>SUM(O127:P127)</f>
        <v/>
      </c>
      <c r="R127" s="293">
        <f>Q127*$R$9</f>
        <v/>
      </c>
      <c r="S127" s="293">
        <f>SUM(Q127:R127)</f>
        <v/>
      </c>
      <c r="T127" s="44" t="inlineStr">
        <is>
          <t>Accesorios: No incluye
Consumibles: No incluye</t>
        </is>
      </c>
      <c r="U127" s="45" t="inlineStr">
        <is>
          <t>Durante la vigencia del contrato</t>
        </is>
      </c>
      <c r="V127" s="46" t="inlineStr">
        <is>
          <t>SI</t>
        </is>
      </c>
      <c r="W127" s="47" t="inlineStr">
        <is>
          <t>IMAGEN</t>
        </is>
      </c>
    </row>
    <row r="128" ht="124.95" customHeight="1" s="227">
      <c r="A128" s="38" t="n">
        <v>225</v>
      </c>
      <c r="B128" s="68" t="inlineStr">
        <is>
          <t>ZACATECAS</t>
        </is>
      </c>
      <c r="D128" s="69" t="inlineStr">
        <is>
          <t>Equipo de rayos X móvil, marca Technix, modelo TMS 320</t>
        </is>
      </c>
      <c r="E128" s="68" t="inlineStr">
        <is>
          <t>80-16-86-157</t>
        </is>
      </c>
      <c r="F128" s="69" t="inlineStr">
        <is>
          <t>H.M.Z. Guadalupe</t>
        </is>
      </c>
      <c r="G128" s="39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H128" s="40" t="inlineStr">
        <is>
          <t>Servicio</t>
        </is>
      </c>
      <c r="I128" s="41" t="n">
        <v>1</v>
      </c>
      <c r="J128" s="41" t="n">
        <v>2</v>
      </c>
      <c r="K128" s="42" t="inlineStr">
        <is>
          <t>México</t>
        </is>
      </c>
      <c r="L128" s="293" t="n">
        <v>222715.52</v>
      </c>
      <c r="M128" s="293" t="n"/>
      <c r="N128" s="293" t="n">
        <v>300000</v>
      </c>
      <c r="O128" s="293">
        <f>I128*N128</f>
        <v/>
      </c>
      <c r="P128" s="293">
        <f>J128*N128</f>
        <v/>
      </c>
      <c r="Q128" s="293">
        <f>SUM(O128:P128)</f>
        <v/>
      </c>
      <c r="R128" s="293">
        <f>Q128*$R$9</f>
        <v/>
      </c>
      <c r="S128" s="293">
        <f>SUM(Q128:R128)</f>
        <v/>
      </c>
      <c r="T128" s="44" t="inlineStr">
        <is>
          <t>Accesorios: No incluye
Consumibles: No incluye</t>
        </is>
      </c>
      <c r="U128" s="45" t="inlineStr">
        <is>
          <t>Durante la vigencia del contrato</t>
        </is>
      </c>
      <c r="V128" s="46" t="inlineStr">
        <is>
          <t>NO</t>
        </is>
      </c>
      <c r="W128" s="47" t="inlineStr">
        <is>
          <t>IMAGEN</t>
        </is>
      </c>
    </row>
    <row r="129" ht="156" customHeight="1" s="227">
      <c r="A129" s="38" t="n">
        <v>226</v>
      </c>
      <c r="B129" s="68" t="inlineStr">
        <is>
          <t>CHIHUAHUA</t>
        </is>
      </c>
      <c r="D129" s="69" t="inlineStr">
        <is>
          <t>Sistema de digitalización de imágenes, marca Fujifilm, modelo Digitalizador: FCR Capsula XLII (CR-IR 359) Impresora: Drypix 4000</t>
        </is>
      </c>
      <c r="E129" s="68" t="inlineStr">
        <is>
          <t>Digitalizador: 37240106 Impresora: 36653761</t>
        </is>
      </c>
      <c r="F129" s="69" t="inlineStr">
        <is>
          <t>H.M.R. Chihuahua</t>
        </is>
      </c>
      <c r="G129" s="39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29" s="40" t="inlineStr">
        <is>
          <t>Servicio</t>
        </is>
      </c>
      <c r="I129" s="41" t="n">
        <v>1</v>
      </c>
      <c r="J129" s="41" t="n">
        <v>2</v>
      </c>
      <c r="K129" s="42" t="inlineStr">
        <is>
          <t>México</t>
        </is>
      </c>
      <c r="L129" s="293" t="n">
        <v>221767.25</v>
      </c>
      <c r="M129" s="293" t="n"/>
      <c r="N129" s="293" t="n">
        <v>300000</v>
      </c>
      <c r="O129" s="293">
        <f>I129*N129</f>
        <v/>
      </c>
      <c r="P129" s="293">
        <f>J129*N129</f>
        <v/>
      </c>
      <c r="Q129" s="293">
        <f>SUM(O129:P129)</f>
        <v/>
      </c>
      <c r="R129" s="293">
        <f>Q129*$R$9</f>
        <v/>
      </c>
      <c r="S129" s="293">
        <f>SUM(Q129:R129)</f>
        <v/>
      </c>
      <c r="T129" s="44" t="inlineStr">
        <is>
          <t>Accesorios: No incluye
Consumibles: No incluye</t>
        </is>
      </c>
      <c r="U129" s="45" t="inlineStr">
        <is>
          <t>Durante la vigencia del contrato</t>
        </is>
      </c>
      <c r="V129" s="46" t="inlineStr">
        <is>
          <t>NO</t>
        </is>
      </c>
      <c r="W129" s="47" t="inlineStr">
        <is>
          <t>IMAGEN</t>
        </is>
      </c>
    </row>
    <row r="130" ht="156" customHeight="1" s="227">
      <c r="A130" s="38" t="n">
        <v>227</v>
      </c>
      <c r="B130" s="68" t="inlineStr">
        <is>
          <t>EDO DE MEX</t>
        </is>
      </c>
      <c r="D130" s="69" t="inlineStr">
        <is>
          <t>Sistema de digitalización de imágenes, marca Fujifilm, modelo Digitalizador: FCR Capsula XLII (CR-IR 359) Impresora: Drypix 4000</t>
        </is>
      </c>
      <c r="E130" s="68" t="inlineStr">
        <is>
          <t>Digitalizador: 46370281 Impresora: 36753805</t>
        </is>
      </c>
      <c r="F130" s="69" t="inlineStr">
        <is>
          <t>H.M.Z. Temamatla</t>
        </is>
      </c>
      <c r="G130" s="39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0" s="40" t="inlineStr">
        <is>
          <t>Servicio</t>
        </is>
      </c>
      <c r="I130" s="41" t="n">
        <v>1</v>
      </c>
      <c r="J130" s="41" t="n">
        <v>2</v>
      </c>
      <c r="K130" s="42" t="inlineStr">
        <is>
          <t>México</t>
        </is>
      </c>
      <c r="L130" s="293" t="n">
        <v>221400</v>
      </c>
      <c r="M130" s="293" t="n"/>
      <c r="N130" s="293" t="n">
        <v>220000</v>
      </c>
      <c r="O130" s="293">
        <f>I130*N130</f>
        <v/>
      </c>
      <c r="P130" s="293">
        <f>J130*N130</f>
        <v/>
      </c>
      <c r="Q130" s="293">
        <f>SUM(O130:P130)</f>
        <v/>
      </c>
      <c r="R130" s="293">
        <f>Q130*$R$9</f>
        <v/>
      </c>
      <c r="S130" s="293">
        <f>SUM(Q130:R130)</f>
        <v/>
      </c>
      <c r="T130" s="44" t="inlineStr">
        <is>
          <t>Accesorios: No incluye
Consumibles: No incluye</t>
        </is>
      </c>
      <c r="U130" s="45" t="inlineStr">
        <is>
          <t>Durante la vigencia del contrato</t>
        </is>
      </c>
      <c r="V130" s="46" t="inlineStr">
        <is>
          <t>SI</t>
        </is>
      </c>
      <c r="W130" s="47" t="inlineStr">
        <is>
          <t>IMAGEN</t>
        </is>
      </c>
    </row>
    <row r="131" ht="124.95" customHeight="1" s="227">
      <c r="A131" s="38" t="n">
        <v>228</v>
      </c>
      <c r="B131" s="68" t="inlineStr">
        <is>
          <t>EDO DE MEX</t>
        </is>
      </c>
      <c r="D131" s="69" t="inlineStr">
        <is>
          <t>Impresora para placas radiográficas, marca Konica Minolta, modelo DryPro 873</t>
        </is>
      </c>
      <c r="E131" s="68" t="inlineStr">
        <is>
          <t>0992-50128</t>
        </is>
      </c>
      <c r="F131" s="69" t="inlineStr">
        <is>
          <t>H.M.Z. Temamatla</t>
        </is>
      </c>
      <c r="G131" s="39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1" s="40" t="inlineStr">
        <is>
          <t>Servicio</t>
        </is>
      </c>
      <c r="I131" s="41" t="n">
        <v>1</v>
      </c>
      <c r="J131" s="41" t="n">
        <v>2</v>
      </c>
      <c r="K131" s="42" t="inlineStr">
        <is>
          <t>México</t>
        </is>
      </c>
      <c r="L131" s="293" t="n">
        <v>239063.79</v>
      </c>
      <c r="M131" s="293" t="n"/>
      <c r="N131" s="293" t="n">
        <v>220000</v>
      </c>
      <c r="O131" s="293">
        <f>I131*N131</f>
        <v/>
      </c>
      <c r="P131" s="293">
        <f>J131*N131</f>
        <v/>
      </c>
      <c r="Q131" s="293">
        <f>SUM(O131:P131)</f>
        <v/>
      </c>
      <c r="R131" s="293">
        <f>Q131*$R$9</f>
        <v/>
      </c>
      <c r="S131" s="293">
        <f>SUM(Q131:R131)</f>
        <v/>
      </c>
      <c r="T131" s="44" t="inlineStr">
        <is>
          <t>Accesorios: No incluye
Consumibles: No incluye</t>
        </is>
      </c>
      <c r="U131" s="45" t="inlineStr">
        <is>
          <t>Durante la vigencia del contrato</t>
        </is>
      </c>
      <c r="V131" s="46" t="inlineStr">
        <is>
          <t>SI</t>
        </is>
      </c>
      <c r="W131" s="47" t="inlineStr">
        <is>
          <t>IMAGEN</t>
        </is>
      </c>
    </row>
    <row r="132" ht="124.95" customHeight="1" s="227">
      <c r="A132" s="38" t="n">
        <v>230</v>
      </c>
      <c r="B132" s="68" t="inlineStr">
        <is>
          <t>GUANAJUATO</t>
        </is>
      </c>
      <c r="D132" s="69" t="inlineStr">
        <is>
          <t>Equipo de rayos X móvil, marca Technix, modelo TMS 320</t>
        </is>
      </c>
      <c r="E132" s="68" t="inlineStr">
        <is>
          <t>80-16-85-156</t>
        </is>
      </c>
      <c r="F132" s="69" t="inlineStr">
        <is>
          <t>H.M.R., Irapuato</t>
        </is>
      </c>
      <c r="G132" s="39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H132" s="40" t="inlineStr">
        <is>
          <t>Servicio</t>
        </is>
      </c>
      <c r="I132" s="41" t="n">
        <v>1</v>
      </c>
      <c r="J132" s="41" t="n">
        <v>2</v>
      </c>
      <c r="K132" s="42" t="inlineStr">
        <is>
          <t>México</t>
        </is>
      </c>
      <c r="L132" s="293" t="n">
        <v>230107.76</v>
      </c>
      <c r="M132" s="293" t="n"/>
      <c r="N132" s="293" t="n">
        <v>220000</v>
      </c>
      <c r="O132" s="293">
        <f>I132*N132</f>
        <v/>
      </c>
      <c r="P132" s="293">
        <f>J132*N132</f>
        <v/>
      </c>
      <c r="Q132" s="293">
        <f>SUM(O132:P132)</f>
        <v/>
      </c>
      <c r="R132" s="293">
        <f>Q132*$R$9</f>
        <v/>
      </c>
      <c r="S132" s="293">
        <f>SUM(Q132:R132)</f>
        <v/>
      </c>
      <c r="T132" s="44" t="inlineStr">
        <is>
          <t>Accesorios: No incluye
Consumibles: No incluye</t>
        </is>
      </c>
      <c r="U132" s="45" t="inlineStr">
        <is>
          <t>Durante la vigencia del contrato</t>
        </is>
      </c>
      <c r="V132" s="46" t="inlineStr">
        <is>
          <t>SI</t>
        </is>
      </c>
      <c r="W132" s="47" t="inlineStr">
        <is>
          <t>IMAGEN</t>
        </is>
      </c>
    </row>
    <row r="133" ht="156" customHeight="1" s="227">
      <c r="A133" s="38" t="n">
        <v>231</v>
      </c>
      <c r="B133" s="68" t="inlineStr">
        <is>
          <t>MORELOS</t>
        </is>
      </c>
      <c r="D133" s="69" t="inlineStr">
        <is>
          <t>Sistema de digitalización de imágenes, marca Fujifilm, modelo Digitalizador: FCR Capsula XLII (CR-IR 359) Impresora: Drypix 4000</t>
        </is>
      </c>
      <c r="E133" s="68" t="inlineStr">
        <is>
          <t>Digitalizador: 46770614 Impresora: 36653758</t>
        </is>
      </c>
      <c r="F133" s="69" t="inlineStr">
        <is>
          <t>H.M.Z. Cuernavaca</t>
        </is>
      </c>
      <c r="G133" s="39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33" s="40" t="inlineStr">
        <is>
          <t>Servicio</t>
        </is>
      </c>
      <c r="I133" s="41" t="n">
        <v>1</v>
      </c>
      <c r="J133" s="41" t="n">
        <v>2</v>
      </c>
      <c r="K133" s="42" t="inlineStr">
        <is>
          <t>México</t>
        </is>
      </c>
      <c r="L133" s="293" t="n">
        <v>239600</v>
      </c>
      <c r="M133" s="293" t="n"/>
      <c r="N133" s="293" t="n">
        <v>220000</v>
      </c>
      <c r="O133" s="293">
        <f>I133*N133</f>
        <v/>
      </c>
      <c r="P133" s="293">
        <f>J133*N133</f>
        <v/>
      </c>
      <c r="Q133" s="293">
        <f>SUM(O133:P133)</f>
        <v/>
      </c>
      <c r="R133" s="293">
        <f>Q133*$R$9</f>
        <v/>
      </c>
      <c r="S133" s="293">
        <f>SUM(Q133:R133)</f>
        <v/>
      </c>
      <c r="T133" s="44" t="inlineStr">
        <is>
          <t>Accesorios: No incluye
Consumibles: No incluye</t>
        </is>
      </c>
      <c r="U133" s="45" t="inlineStr">
        <is>
          <t>Durante la vigencia del contrato</t>
        </is>
      </c>
      <c r="V133" s="46" t="inlineStr">
        <is>
          <t>SI</t>
        </is>
      </c>
      <c r="W133" s="47" t="inlineStr">
        <is>
          <t>IMAGEN</t>
        </is>
      </c>
    </row>
    <row r="134" ht="124.95" customHeight="1" s="227">
      <c r="A134" s="38" t="n">
        <v>232</v>
      </c>
      <c r="B134" s="68" t="inlineStr">
        <is>
          <t>GUERRERO</t>
        </is>
      </c>
      <c r="D134" s="69" t="inlineStr">
        <is>
          <t>Digitalizador de placas radiográficas, marca Fujifilm, modelo CR-IR359</t>
        </is>
      </c>
      <c r="E134" s="68" t="inlineStr">
        <is>
          <t>46270262</t>
        </is>
      </c>
      <c r="F134" s="69" t="inlineStr">
        <is>
          <t>H.M.R. Acapulco</t>
        </is>
      </c>
      <c r="G134" s="39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H134" s="40" t="inlineStr">
        <is>
          <t>Servicio</t>
        </is>
      </c>
      <c r="I134" s="41" t="n">
        <v>1</v>
      </c>
      <c r="J134" s="41" t="n">
        <v>2</v>
      </c>
      <c r="K134" s="42" t="inlineStr">
        <is>
          <t>México</t>
        </is>
      </c>
      <c r="L134" s="293" t="n">
        <v>245744</v>
      </c>
      <c r="M134" s="293" t="n"/>
      <c r="N134" s="293" t="n">
        <v>220000</v>
      </c>
      <c r="O134" s="293">
        <f>I134*N134</f>
        <v/>
      </c>
      <c r="P134" s="293">
        <f>J134*N134</f>
        <v/>
      </c>
      <c r="Q134" s="293">
        <f>SUM(O134:P134)</f>
        <v/>
      </c>
      <c r="R134" s="293">
        <f>Q134*$R$9</f>
        <v/>
      </c>
      <c r="S134" s="293">
        <f>SUM(Q134:R134)</f>
        <v/>
      </c>
      <c r="T134" s="44" t="inlineStr">
        <is>
          <t>Accesorios: No incluye
Consumibles: No incluye</t>
        </is>
      </c>
      <c r="U134" s="45" t="inlineStr">
        <is>
          <t>Durante la vigencia del contrato</t>
        </is>
      </c>
      <c r="V134" s="46" t="inlineStr">
        <is>
          <t>SI</t>
        </is>
      </c>
      <c r="W134" s="47" t="inlineStr">
        <is>
          <t>IMAGEN</t>
        </is>
      </c>
    </row>
    <row r="135" ht="124.95" customHeight="1" s="227">
      <c r="A135" s="38" t="n">
        <v>265</v>
      </c>
      <c r="B135" s="68" t="inlineStr">
        <is>
          <t>EDO DE MEX</t>
        </is>
      </c>
      <c r="D135" s="69" t="inlineStr">
        <is>
          <t>Rayos X móvil, marca Listem, modelo MOBIX-1000</t>
        </is>
      </c>
      <c r="E135" s="68" t="inlineStr">
        <is>
          <t>10 0155</t>
        </is>
      </c>
      <c r="F135" s="69" t="inlineStr">
        <is>
          <t>H.M.Z. Santa María Rayón</t>
        </is>
      </c>
      <c r="G135" s="39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5" s="40" t="inlineStr">
        <is>
          <t>Servicio</t>
        </is>
      </c>
      <c r="I135" s="41" t="n">
        <v>1</v>
      </c>
      <c r="J135" s="41" t="n">
        <v>2</v>
      </c>
      <c r="K135" s="42" t="inlineStr">
        <is>
          <t>México</t>
        </is>
      </c>
      <c r="L135" s="293" t="n">
        <v>221659.48</v>
      </c>
      <c r="M135" s="293" t="n"/>
      <c r="N135" s="293" t="n">
        <v>220000</v>
      </c>
      <c r="O135" s="293">
        <f>I135*N135</f>
        <v/>
      </c>
      <c r="P135" s="293">
        <f>J135*N135</f>
        <v/>
      </c>
      <c r="Q135" s="293">
        <f>SUM(O135:P135)</f>
        <v/>
      </c>
      <c r="R135" s="293">
        <f>Q135*$R$9</f>
        <v/>
      </c>
      <c r="S135" s="293">
        <f>SUM(Q135:R135)</f>
        <v/>
      </c>
      <c r="T135" s="44" t="inlineStr">
        <is>
          <t>Accesorios: No incluye
Consumibles: No incluye</t>
        </is>
      </c>
      <c r="U135" s="45" t="inlineStr">
        <is>
          <t>Durante la vigencia del contrato</t>
        </is>
      </c>
      <c r="V135" s="46" t="inlineStr">
        <is>
          <t>SI</t>
        </is>
      </c>
      <c r="W135" s="47" t="inlineStr">
        <is>
          <t>IMAGEN</t>
        </is>
      </c>
    </row>
    <row r="136" ht="124.95" customHeight="1" s="227">
      <c r="A136" s="38" t="n">
        <v>268</v>
      </c>
      <c r="B136" s="68" t="inlineStr">
        <is>
          <t>OAXACA</t>
        </is>
      </c>
      <c r="D136" s="69" t="inlineStr">
        <is>
          <t>Fotocoagulador láser , marca Meridian AG, modelo SLA-UNI</t>
        </is>
      </c>
      <c r="E136" s="68" t="inlineStr">
        <is>
          <t>0069</t>
        </is>
      </c>
      <c r="F136" s="69" t="inlineStr">
        <is>
          <t>H.M.Z. Ixcotel</t>
        </is>
      </c>
      <c r="G136" s="39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6" s="40" t="inlineStr">
        <is>
          <t>Servicio</t>
        </is>
      </c>
      <c r="I136" s="41" t="n">
        <v>1</v>
      </c>
      <c r="J136" s="41" t="n">
        <v>2</v>
      </c>
      <c r="K136" s="42" t="inlineStr">
        <is>
          <t>México</t>
        </is>
      </c>
      <c r="L136" s="293" t="n">
        <v>430000</v>
      </c>
      <c r="M136" s="293" t="inlineStr">
        <is>
          <t>P</t>
        </is>
      </c>
      <c r="N136" s="293" t="n">
        <v>425000</v>
      </c>
      <c r="O136" s="293">
        <f>I136*N136</f>
        <v/>
      </c>
      <c r="P136" s="293">
        <f>J136*N136</f>
        <v/>
      </c>
      <c r="Q136" s="293">
        <f>SUM(O136:P136)</f>
        <v/>
      </c>
      <c r="R136" s="293">
        <f>Q136*$R$9</f>
        <v/>
      </c>
      <c r="S136" s="293">
        <f>SUM(Q136:R136)</f>
        <v/>
      </c>
      <c r="T136" s="44" t="inlineStr">
        <is>
          <t>Accesorios: No incluye
Consumibles: No incluye</t>
        </is>
      </c>
      <c r="U136" s="45" t="inlineStr">
        <is>
          <t>Durante la vigencia del contrato</t>
        </is>
      </c>
      <c r="V136" s="46" t="inlineStr">
        <is>
          <t>SI</t>
        </is>
      </c>
      <c r="W136" s="45" t="inlineStr">
        <is>
          <t>OFTALMO</t>
        </is>
      </c>
      <c r="X136" s="32" t="inlineStr">
        <is>
          <t>DEWIMED</t>
        </is>
      </c>
    </row>
    <row r="137" ht="124.95" customHeight="1" s="227">
      <c r="A137" s="38" t="n">
        <v>273</v>
      </c>
      <c r="B137" s="68" t="inlineStr">
        <is>
          <t>OAXACA</t>
        </is>
      </c>
      <c r="D137" s="69" t="inlineStr">
        <is>
          <t>Láser oftálmico, marca Alcon, modelo 3000LE</t>
        </is>
      </c>
      <c r="E137" s="68" t="inlineStr">
        <is>
          <t>5342LX</t>
        </is>
      </c>
      <c r="F137" s="69" t="inlineStr">
        <is>
          <t>H.M.Z. Ixcotel</t>
        </is>
      </c>
      <c r="G137" s="39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7" s="40" t="inlineStr">
        <is>
          <t>Servicio</t>
        </is>
      </c>
      <c r="I137" s="41" t="n">
        <v>1</v>
      </c>
      <c r="J137" s="41" t="n">
        <v>2</v>
      </c>
      <c r="K137" s="42" t="inlineStr">
        <is>
          <t>México</t>
        </is>
      </c>
      <c r="L137" s="293" t="n">
        <v>411654</v>
      </c>
      <c r="M137" s="293" t="n">
        <v>0</v>
      </c>
      <c r="N137" s="293" t="n">
        <v>400000</v>
      </c>
      <c r="O137" s="293">
        <f>I137*N137</f>
        <v/>
      </c>
      <c r="P137" s="293">
        <f>J137*N137</f>
        <v/>
      </c>
      <c r="Q137" s="293">
        <f>SUM(O137:P137)</f>
        <v/>
      </c>
      <c r="R137" s="293">
        <f>Q137*$R$9</f>
        <v/>
      </c>
      <c r="S137" s="293">
        <f>SUM(Q137:R137)</f>
        <v/>
      </c>
      <c r="T137" s="44" t="inlineStr">
        <is>
          <t>Accesorios: No incluye
Consumibles: No incluye</t>
        </is>
      </c>
      <c r="U137" s="45" t="inlineStr">
        <is>
          <t>Durante la vigencia del contrato</t>
        </is>
      </c>
      <c r="V137" s="46" t="inlineStr">
        <is>
          <t>NO</t>
        </is>
      </c>
      <c r="W137" s="45" t="inlineStr">
        <is>
          <t>OFTALMO</t>
        </is>
      </c>
      <c r="X137" s="32" t="inlineStr">
        <is>
          <t>ALCON</t>
        </is>
      </c>
    </row>
    <row r="138" ht="124.95" customHeight="1" s="227">
      <c r="A138" s="38" t="n">
        <v>283</v>
      </c>
      <c r="B138" s="68" t="inlineStr">
        <is>
          <t>CDMX</t>
        </is>
      </c>
      <c r="D138" s="69" t="inlineStr">
        <is>
          <t>Láser excimer, marca Bausch &amp; Lomb, modelo Zyoptix XP</t>
        </is>
      </c>
      <c r="E138" s="68" t="inlineStr">
        <is>
          <t>2805</t>
        </is>
      </c>
      <c r="F138" s="69" t="inlineStr">
        <is>
          <t>H.M.E.O. Constituyentes</t>
        </is>
      </c>
      <c r="G138" s="39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8" s="40" t="inlineStr">
        <is>
          <t>Servicio</t>
        </is>
      </c>
      <c r="I138" s="41" t="n">
        <v>1</v>
      </c>
      <c r="J138" s="41" t="n">
        <v>2</v>
      </c>
      <c r="K138" s="42" t="inlineStr">
        <is>
          <t>México</t>
        </is>
      </c>
      <c r="L138" s="293" t="n">
        <v>170786.6</v>
      </c>
      <c r="M138" s="293" t="n">
        <v>1</v>
      </c>
      <c r="N138" s="293" t="n">
        <v>170000</v>
      </c>
      <c r="O138" s="293">
        <f>I138*N138</f>
        <v/>
      </c>
      <c r="P138" s="293">
        <f>J138*N138</f>
        <v/>
      </c>
      <c r="Q138" s="293">
        <f>SUM(O138:P138)</f>
        <v/>
      </c>
      <c r="R138" s="293">
        <f>Q138*$R$9</f>
        <v/>
      </c>
      <c r="S138" s="293">
        <f>SUM(Q138:R138)</f>
        <v/>
      </c>
      <c r="T138" s="44" t="inlineStr">
        <is>
          <t>Accesorios: No incluye
Consumibles: No incluye</t>
        </is>
      </c>
      <c r="U138" s="45" t="inlineStr">
        <is>
          <t>Durante la vigencia del contrato</t>
        </is>
      </c>
      <c r="V138" s="46" t="inlineStr">
        <is>
          <t>SI</t>
        </is>
      </c>
      <c r="W138" s="45" t="inlineStr">
        <is>
          <t>OFTALMO</t>
        </is>
      </c>
      <c r="X138" s="32" t="inlineStr">
        <is>
          <t>BAUSH</t>
        </is>
      </c>
    </row>
    <row r="139" ht="124.95" customHeight="1" s="227">
      <c r="A139" s="49" t="n">
        <v>286</v>
      </c>
      <c r="B139" s="68" t="inlineStr">
        <is>
          <t>JALISCO</t>
        </is>
      </c>
      <c r="D139" s="69" t="inlineStr">
        <is>
          <t>Láser de fotocoagulación oftálmico, marca Carl Zeiss, modelo Visulas 532s</t>
        </is>
      </c>
      <c r="E139" s="68" t="inlineStr">
        <is>
          <t>936471</t>
        </is>
      </c>
      <c r="F139" s="69" t="inlineStr">
        <is>
          <t>H.M.R.E. Guadalajara</t>
        </is>
      </c>
      <c r="G139" s="50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39" s="51" t="inlineStr">
        <is>
          <t>Servicio</t>
        </is>
      </c>
      <c r="I139" s="52" t="n">
        <v>1</v>
      </c>
      <c r="J139" s="52" t="n">
        <v>2</v>
      </c>
      <c r="K139" s="59" t="inlineStr">
        <is>
          <t>México</t>
        </is>
      </c>
      <c r="L139" s="290" t="n">
        <v>277155.17</v>
      </c>
      <c r="M139" s="291" t="n">
        <v>100000</v>
      </c>
      <c r="N139" s="292" t="n">
        <v>275000</v>
      </c>
      <c r="O139" s="292">
        <f>I139*N139</f>
        <v/>
      </c>
      <c r="P139" s="292">
        <f>J139*N139</f>
        <v/>
      </c>
      <c r="Q139" s="292">
        <f>SUM(O139:P139)</f>
        <v/>
      </c>
      <c r="R139" s="292">
        <f>Q139*$R$9</f>
        <v/>
      </c>
      <c r="S139" s="292">
        <f>SUM(Q139:R139)</f>
        <v/>
      </c>
      <c r="T139" s="56" t="inlineStr">
        <is>
          <t>Accesorios: No incluye
Consumibles: No incluye</t>
        </is>
      </c>
      <c r="U139" s="54" t="inlineStr">
        <is>
          <t>Durante la vigencia del contrato</t>
        </is>
      </c>
      <c r="V139" s="57" t="inlineStr">
        <is>
          <t>SI</t>
        </is>
      </c>
      <c r="W139" s="54" t="inlineStr">
        <is>
          <t>OFTALMO</t>
        </is>
      </c>
      <c r="X139" s="32" t="inlineStr">
        <is>
          <t>ZEISS</t>
        </is>
      </c>
    </row>
    <row r="140" ht="124.95" customHeight="1" s="227">
      <c r="A140" s="38" t="n">
        <v>287</v>
      </c>
      <c r="B140" s="68" t="inlineStr">
        <is>
          <t>JALISCO</t>
        </is>
      </c>
      <c r="D140" s="69" t="inlineStr">
        <is>
          <t>Topógrafo corneal, marca Bausch &amp; Lomb, modelo Orbscan II-Z</t>
        </is>
      </c>
      <c r="E140" s="68" t="inlineStr">
        <is>
          <t>06061672 Z</t>
        </is>
      </c>
      <c r="F140" s="69" t="inlineStr">
        <is>
          <t>H.M.R.E. Guadalajara</t>
        </is>
      </c>
      <c r="G140" s="39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40" s="40" t="inlineStr">
        <is>
          <t>Servicio</t>
        </is>
      </c>
      <c r="I140" s="41" t="n">
        <v>1</v>
      </c>
      <c r="J140" s="41" t="n">
        <v>2</v>
      </c>
      <c r="K140" s="42" t="inlineStr">
        <is>
          <t>México</t>
        </is>
      </c>
      <c r="L140" s="293" t="n">
        <v>205906.59</v>
      </c>
      <c r="M140" s="293" t="n"/>
      <c r="N140" s="293" t="n">
        <v>350000</v>
      </c>
      <c r="O140" s="293">
        <f>I140*N140</f>
        <v/>
      </c>
      <c r="P140" s="293">
        <f>J140*N140</f>
        <v/>
      </c>
      <c r="Q140" s="293">
        <f>SUM(O140:P140)</f>
        <v/>
      </c>
      <c r="R140" s="293">
        <f>Q140*$R$9</f>
        <v/>
      </c>
      <c r="S140" s="293">
        <f>SUM(Q140:R140)</f>
        <v/>
      </c>
      <c r="T140" s="44" t="inlineStr">
        <is>
          <t>Accesorios: No incluye
Consumibles: No incluye</t>
        </is>
      </c>
      <c r="U140" s="45" t="inlineStr">
        <is>
          <t>Durante la vigencia del contrato</t>
        </is>
      </c>
      <c r="V140" s="46" t="inlineStr">
        <is>
          <t>NO</t>
        </is>
      </c>
      <c r="W140" s="45" t="inlineStr">
        <is>
          <t>OFTALMO</t>
        </is>
      </c>
      <c r="X140" s="32" t="inlineStr">
        <is>
          <t>BAUSH</t>
        </is>
      </c>
    </row>
    <row r="141" ht="124.95" customHeight="1" s="227">
      <c r="A141" s="38" t="n">
        <v>291</v>
      </c>
      <c r="B141" s="68" t="inlineStr">
        <is>
          <t>CDMX</t>
        </is>
      </c>
      <c r="D141" s="69" t="inlineStr">
        <is>
          <t>Láser excimer, marca Bausch &amp; Lomb, modelo Zyoptix XP</t>
        </is>
      </c>
      <c r="E141" s="68" t="inlineStr">
        <is>
          <t>XL500322</t>
        </is>
      </c>
      <c r="F141" s="69" t="inlineStr">
        <is>
          <t>H.M.E.O. Constituyentes</t>
        </is>
      </c>
      <c r="G141" s="39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1" s="40" t="inlineStr">
        <is>
          <t>Servicio</t>
        </is>
      </c>
      <c r="I141" s="41" t="n">
        <v>1</v>
      </c>
      <c r="J141" s="41" t="n">
        <v>2</v>
      </c>
      <c r="K141" s="42" t="inlineStr">
        <is>
          <t>México</t>
        </is>
      </c>
      <c r="L141" s="293" t="n">
        <v>147529.05</v>
      </c>
      <c r="M141" s="293" t="n">
        <v>1</v>
      </c>
      <c r="N141" s="293" t="n">
        <v>140000</v>
      </c>
      <c r="O141" s="293">
        <f>I141*N141</f>
        <v/>
      </c>
      <c r="P141" s="293">
        <f>J141*N141</f>
        <v/>
      </c>
      <c r="Q141" s="293">
        <f>SUM(O141:P141)</f>
        <v/>
      </c>
      <c r="R141" s="293">
        <f>Q141*$R$9</f>
        <v/>
      </c>
      <c r="S141" s="293">
        <f>SUM(Q141:R141)</f>
        <v/>
      </c>
      <c r="T141" s="44" t="inlineStr">
        <is>
          <t>Accesorios: No incluye
Consumibles: No incluye</t>
        </is>
      </c>
      <c r="U141" s="45" t="inlineStr">
        <is>
          <t>Durante la vigencia del contrato</t>
        </is>
      </c>
      <c r="V141" s="46" t="inlineStr">
        <is>
          <t>SI</t>
        </is>
      </c>
      <c r="W141" s="45" t="inlineStr">
        <is>
          <t>OFTALMO</t>
        </is>
      </c>
      <c r="X141" s="32" t="inlineStr">
        <is>
          <t>BAUSH</t>
        </is>
      </c>
    </row>
    <row r="142" ht="124.95" customHeight="1" s="227">
      <c r="A142" s="49" t="n">
        <v>292</v>
      </c>
      <c r="B142" s="68" t="inlineStr">
        <is>
          <t>CDMX</t>
        </is>
      </c>
      <c r="D142" s="69" t="inlineStr">
        <is>
          <t>Microscopio especular, marca Konan, modelo CellChek XL NSP9900</t>
        </is>
      </c>
      <c r="E142" s="68" t="inlineStr">
        <is>
          <t>NPA-3-1816</t>
        </is>
      </c>
      <c r="F142" s="69" t="inlineStr">
        <is>
          <t>H.M.E.O. Constituyentes</t>
        </is>
      </c>
      <c r="G142" s="50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2" s="51" t="inlineStr">
        <is>
          <t>Servicio</t>
        </is>
      </c>
      <c r="I142" s="52" t="n">
        <v>1</v>
      </c>
      <c r="J142" s="52" t="n">
        <v>2</v>
      </c>
      <c r="K142" s="59" t="inlineStr">
        <is>
          <t>México</t>
        </is>
      </c>
      <c r="L142" s="290" t="n">
        <v>125647</v>
      </c>
      <c r="M142" s="291" t="n">
        <v>1</v>
      </c>
      <c r="N142" s="292" t="n">
        <v>120000</v>
      </c>
      <c r="O142" s="292">
        <f>I142*N142</f>
        <v/>
      </c>
      <c r="P142" s="292">
        <f>J142*N142</f>
        <v/>
      </c>
      <c r="Q142" s="292">
        <f>SUM(O142:P142)</f>
        <v/>
      </c>
      <c r="R142" s="292">
        <f>Q142*$R$9</f>
        <v/>
      </c>
      <c r="S142" s="292">
        <f>SUM(Q142:R142)</f>
        <v/>
      </c>
      <c r="T142" s="56" t="inlineStr">
        <is>
          <t>Accesorios: No incluye
Consumibles: No incluye</t>
        </is>
      </c>
      <c r="U142" s="54" t="inlineStr">
        <is>
          <t>Durante la vigencia del contrato</t>
        </is>
      </c>
      <c r="V142" s="57" t="inlineStr">
        <is>
          <t>SI</t>
        </is>
      </c>
      <c r="W142" s="54" t="inlineStr">
        <is>
          <t>OFTALMO</t>
        </is>
      </c>
      <c r="X142" s="32" t="inlineStr">
        <is>
          <t>TECHNOMIX</t>
        </is>
      </c>
    </row>
    <row r="143" ht="124.95" customHeight="1" s="227">
      <c r="A143" s="38" t="n">
        <v>294</v>
      </c>
      <c r="B143" s="68" t="inlineStr">
        <is>
          <t>CHIAPAS</t>
        </is>
      </c>
      <c r="D143" s="69" t="inlineStr">
        <is>
          <t>Láser excimer, marca WaveLight, modelo Allegretto</t>
        </is>
      </c>
      <c r="E143" s="68" t="inlineStr">
        <is>
          <t>1010-2-382</t>
        </is>
      </c>
      <c r="F143" s="69" t="inlineStr">
        <is>
          <t>H.M.R. Tuxtla Gutiérrez</t>
        </is>
      </c>
      <c r="G143" s="39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43" s="40" t="inlineStr">
        <is>
          <t>Servicio</t>
        </is>
      </c>
      <c r="I143" s="41" t="n">
        <v>1</v>
      </c>
      <c r="J143" s="41" t="n">
        <v>2</v>
      </c>
      <c r="K143" s="42" t="inlineStr">
        <is>
          <t>México</t>
        </is>
      </c>
      <c r="L143" s="293" t="n">
        <v>589413</v>
      </c>
      <c r="M143" s="293" t="inlineStr">
        <is>
          <t>NO</t>
        </is>
      </c>
      <c r="N143" s="293" t="n">
        <v>990000</v>
      </c>
      <c r="O143" s="293">
        <f>I143*N143</f>
        <v/>
      </c>
      <c r="P143" s="293">
        <f>J143*N143</f>
        <v/>
      </c>
      <c r="Q143" s="293">
        <f>SUM(O143:P143)</f>
        <v/>
      </c>
      <c r="R143" s="293">
        <f>Q143*$R$9</f>
        <v/>
      </c>
      <c r="S143" s="293">
        <f>SUM(Q143:R143)</f>
        <v/>
      </c>
      <c r="T143" s="44" t="inlineStr">
        <is>
          <t>Accesorios: No incluye
Consumibles: No incluye</t>
        </is>
      </c>
      <c r="U143" s="45" t="inlineStr">
        <is>
          <t>Durante la vigencia del contrato</t>
        </is>
      </c>
      <c r="V143" s="46" t="inlineStr">
        <is>
          <t>NO</t>
        </is>
      </c>
      <c r="W143" s="45" t="inlineStr">
        <is>
          <t>OFTALMO</t>
        </is>
      </c>
      <c r="X143" s="32" t="inlineStr">
        <is>
          <t>ALCON</t>
        </is>
      </c>
    </row>
    <row r="144" ht="140.4" customHeight="1" s="227">
      <c r="A144" s="38" t="n">
        <v>298</v>
      </c>
      <c r="B144" s="68" t="inlineStr">
        <is>
          <t>QUINTANA ROO</t>
        </is>
      </c>
      <c r="D144" s="69" t="inlineStr">
        <is>
          <t>Sistema de digitalización de imágenes, marca Fujifilm, modelo Digitalizador: FCR Capsula XLII (CR-IR 359)</t>
        </is>
      </c>
      <c r="E144" s="68" t="inlineStr">
        <is>
          <t>46770608</t>
        </is>
      </c>
      <c r="F144" s="69" t="inlineStr">
        <is>
          <t>H.M.Z. Chetumal</t>
        </is>
      </c>
      <c r="G144" s="39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H144" s="40" t="inlineStr">
        <is>
          <t>Servicio</t>
        </is>
      </c>
      <c r="I144" s="41" t="n">
        <v>1</v>
      </c>
      <c r="J144" s="41" t="n">
        <v>2</v>
      </c>
      <c r="K144" s="42" t="inlineStr">
        <is>
          <t>México</t>
        </is>
      </c>
      <c r="L144" s="293" t="n">
        <v>227995.69</v>
      </c>
      <c r="M144" s="293" t="n"/>
      <c r="N144" s="293" t="n">
        <v>220000</v>
      </c>
      <c r="O144" s="293">
        <f>I144*N144</f>
        <v/>
      </c>
      <c r="P144" s="293">
        <f>J144*N144</f>
        <v/>
      </c>
      <c r="Q144" s="293">
        <f>SUM(O144:P144)</f>
        <v/>
      </c>
      <c r="R144" s="293">
        <f>Q144*$R$9</f>
        <v/>
      </c>
      <c r="S144" s="293">
        <f>SUM(Q144:R144)</f>
        <v/>
      </c>
      <c r="T144" s="44" t="inlineStr">
        <is>
          <t>Accesorios: No incluye
Consumibles: No incluye</t>
        </is>
      </c>
      <c r="U144" s="45" t="inlineStr">
        <is>
          <t>Durante la vigencia del contrato</t>
        </is>
      </c>
      <c r="V144" s="46" t="inlineStr">
        <is>
          <t>SI</t>
        </is>
      </c>
      <c r="W144" s="47" t="inlineStr">
        <is>
          <t>IMAGEN</t>
        </is>
      </c>
    </row>
    <row r="145" ht="140.4" customHeight="1" s="227">
      <c r="A145" s="38" t="n">
        <v>301</v>
      </c>
      <c r="B145" s="68" t="inlineStr">
        <is>
          <t>CDMX</t>
        </is>
      </c>
      <c r="D145" s="69" t="inlineStr">
        <is>
          <t>Rayos X fijo, marca Osko, modelo XR5</t>
        </is>
      </c>
      <c r="E145" s="68" t="inlineStr">
        <is>
          <t>XRC1094990MX</t>
        </is>
      </c>
      <c r="F145" s="69" t="inlineStr">
        <is>
          <t>Subcentro de Evaluación Médica, Campo Militar 1-A</t>
        </is>
      </c>
      <c r="G145" s="39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5" s="40" t="inlineStr">
        <is>
          <t>Servicio</t>
        </is>
      </c>
      <c r="I145" s="41" t="n">
        <v>1</v>
      </c>
      <c r="J145" s="41" t="n">
        <v>2</v>
      </c>
      <c r="K145" s="42" t="inlineStr">
        <is>
          <t>México</t>
        </is>
      </c>
      <c r="L145" s="293" t="n">
        <v>229310.95</v>
      </c>
      <c r="M145" s="293" t="n"/>
      <c r="N145" s="293" t="n">
        <v>220000</v>
      </c>
      <c r="O145" s="293">
        <f>I145*N145</f>
        <v/>
      </c>
      <c r="P145" s="293">
        <f>J145*N145</f>
        <v/>
      </c>
      <c r="Q145" s="293">
        <f>SUM(O145:P145)</f>
        <v/>
      </c>
      <c r="R145" s="293">
        <f>Q145*$R$9</f>
        <v/>
      </c>
      <c r="S145" s="293">
        <f>SUM(Q145:R145)</f>
        <v/>
      </c>
      <c r="T145" s="44" t="inlineStr">
        <is>
          <t>Accesorios: No incluye
Consumibles: No incluye</t>
        </is>
      </c>
      <c r="U145" s="45" t="inlineStr">
        <is>
          <t>Durante la vigencia del contrato</t>
        </is>
      </c>
      <c r="V145" s="46" t="inlineStr">
        <is>
          <t>SI</t>
        </is>
      </c>
      <c r="W145" s="47" t="inlineStr">
        <is>
          <t>IMAGEN</t>
        </is>
      </c>
    </row>
    <row r="146" ht="140.4" customHeight="1" s="227">
      <c r="A146" s="38" t="n">
        <v>302</v>
      </c>
      <c r="B146" s="68" t="inlineStr">
        <is>
          <t>CDMX</t>
        </is>
      </c>
      <c r="D146" s="69" t="inlineStr">
        <is>
          <t>Rayos X fijo, marca Osko, modelo XR5</t>
        </is>
      </c>
      <c r="E146" s="68" t="inlineStr">
        <is>
          <t>XRC1095095MX</t>
        </is>
      </c>
      <c r="F146" s="69" t="inlineStr">
        <is>
          <t>Subcentro de Evaluación Médica, Campo Militar 1-A</t>
        </is>
      </c>
      <c r="G146" s="39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6" s="40" t="inlineStr">
        <is>
          <t>Servicio</t>
        </is>
      </c>
      <c r="I146" s="41" t="n">
        <v>1</v>
      </c>
      <c r="J146" s="41" t="n">
        <v>2</v>
      </c>
      <c r="K146" s="42" t="inlineStr">
        <is>
          <t>México</t>
        </is>
      </c>
      <c r="L146" s="293" t="n">
        <v>221980.55</v>
      </c>
      <c r="M146" s="293" t="n"/>
      <c r="N146" s="293" t="n">
        <v>220000</v>
      </c>
      <c r="O146" s="293">
        <f>I146*N146</f>
        <v/>
      </c>
      <c r="P146" s="293">
        <f>J146*N146</f>
        <v/>
      </c>
      <c r="Q146" s="293">
        <f>SUM(O146:P146)</f>
        <v/>
      </c>
      <c r="R146" s="293">
        <f>Q146*$R$9</f>
        <v/>
      </c>
      <c r="S146" s="293">
        <f>SUM(Q146:R146)</f>
        <v/>
      </c>
      <c r="T146" s="44" t="inlineStr">
        <is>
          <t>Accesorios: No incluye
Consumibles: No incluye</t>
        </is>
      </c>
      <c r="U146" s="45" t="inlineStr">
        <is>
          <t>Durante la vigencia del contrato</t>
        </is>
      </c>
      <c r="V146" s="46" t="inlineStr">
        <is>
          <t>SI</t>
        </is>
      </c>
      <c r="W146" s="47" t="inlineStr">
        <is>
          <t>IMAGEN</t>
        </is>
      </c>
    </row>
    <row r="147" ht="140.4" customHeight="1" s="227">
      <c r="A147" s="38" t="n">
        <v>303</v>
      </c>
      <c r="B147" s="68" t="inlineStr">
        <is>
          <t>CDMX</t>
        </is>
      </c>
      <c r="D147" s="69" t="inlineStr">
        <is>
          <t>Rayos X fijo, marca Osko, modelo XR5</t>
        </is>
      </c>
      <c r="E147" s="68" t="inlineStr">
        <is>
          <t>XRC1094988MX</t>
        </is>
      </c>
      <c r="F147" s="69" t="inlineStr">
        <is>
          <t>Subcentro de Evaluación Médica, Campo Militar 1-A</t>
        </is>
      </c>
      <c r="G147" s="39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7" s="40" t="inlineStr">
        <is>
          <t>Servicio</t>
        </is>
      </c>
      <c r="I147" s="41" t="n">
        <v>1</v>
      </c>
      <c r="J147" s="41" t="n">
        <v>2</v>
      </c>
      <c r="K147" s="42" t="inlineStr">
        <is>
          <t>México</t>
        </is>
      </c>
      <c r="L147" s="293" t="n">
        <v>223768.65</v>
      </c>
      <c r="M147" s="293" t="n"/>
      <c r="N147" s="293" t="n">
        <v>220000</v>
      </c>
      <c r="O147" s="293">
        <f>I147*N147</f>
        <v/>
      </c>
      <c r="P147" s="293">
        <f>J147*N147</f>
        <v/>
      </c>
      <c r="Q147" s="293">
        <f>SUM(O147:P147)</f>
        <v/>
      </c>
      <c r="R147" s="293">
        <f>Q147*$R$9</f>
        <v/>
      </c>
      <c r="S147" s="293">
        <f>SUM(Q147:R147)</f>
        <v/>
      </c>
      <c r="T147" s="44" t="inlineStr">
        <is>
          <t>Accesorios: No incluye
Consumibles: No incluye</t>
        </is>
      </c>
      <c r="U147" s="45" t="inlineStr">
        <is>
          <t>Durante la vigencia del contrato</t>
        </is>
      </c>
      <c r="V147" s="46" t="inlineStr">
        <is>
          <t>SI</t>
        </is>
      </c>
      <c r="W147" s="47" t="inlineStr">
        <is>
          <t>IMAGEN</t>
        </is>
      </c>
    </row>
    <row r="148" ht="140.4" customHeight="1" s="227">
      <c r="A148" s="38" t="n">
        <v>304</v>
      </c>
      <c r="B148" s="68" t="inlineStr">
        <is>
          <t>CDMX</t>
        </is>
      </c>
      <c r="D148" s="69" t="inlineStr">
        <is>
          <t>Impresora para placas radiográficas, marca Fujifilm, modelo Drypix 8000</t>
        </is>
      </c>
      <c r="E148" s="68" t="inlineStr">
        <is>
          <t>17130510</t>
        </is>
      </c>
      <c r="F148" s="69" t="inlineStr">
        <is>
          <t>Subcentro de Evaluación Médica, Campo Militar 1-A</t>
        </is>
      </c>
      <c r="G148" s="39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8" s="40" t="inlineStr">
        <is>
          <t>Servicio</t>
        </is>
      </c>
      <c r="I148" s="41" t="n">
        <v>1</v>
      </c>
      <c r="J148" s="41" t="n">
        <v>2</v>
      </c>
      <c r="K148" s="42" t="inlineStr">
        <is>
          <t>México</t>
        </is>
      </c>
      <c r="L148" s="293" t="n">
        <v>230000</v>
      </c>
      <c r="M148" s="293" t="n"/>
      <c r="N148" s="293" t="n">
        <v>220000</v>
      </c>
      <c r="O148" s="293">
        <f>I148*N148</f>
        <v/>
      </c>
      <c r="P148" s="293">
        <f>J148*N148</f>
        <v/>
      </c>
      <c r="Q148" s="293">
        <f>SUM(O148:P148)</f>
        <v/>
      </c>
      <c r="R148" s="293">
        <f>Q148*$R$9</f>
        <v/>
      </c>
      <c r="S148" s="293">
        <f>SUM(Q148:R148)</f>
        <v/>
      </c>
      <c r="T148" s="44" t="inlineStr">
        <is>
          <t>Accesorios: No incluye
Consumibles: No incluye</t>
        </is>
      </c>
      <c r="U148" s="45" t="inlineStr">
        <is>
          <t>Durante la vigencia del contrato</t>
        </is>
      </c>
      <c r="V148" s="46" t="inlineStr">
        <is>
          <t>SI</t>
        </is>
      </c>
      <c r="W148" s="47" t="inlineStr">
        <is>
          <t>IMAGEN</t>
        </is>
      </c>
    </row>
    <row r="149" ht="140.4" customHeight="1" s="227">
      <c r="A149" s="38" t="n">
        <v>305</v>
      </c>
      <c r="B149" s="68" t="inlineStr">
        <is>
          <t>CDMX</t>
        </is>
      </c>
      <c r="D149" s="69" t="inlineStr">
        <is>
          <t>Impresora para placas radiográficas, marca Fujifilm, modelo Drypix 8000</t>
        </is>
      </c>
      <c r="E149" s="68" t="inlineStr">
        <is>
          <t>17130513</t>
        </is>
      </c>
      <c r="F149" s="69" t="inlineStr">
        <is>
          <t>Subcentro de Evaluación Médica, Campo Militar 1-A</t>
        </is>
      </c>
      <c r="G149" s="39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9" s="40" t="inlineStr">
        <is>
          <t>Servicio</t>
        </is>
      </c>
      <c r="I149" s="41" t="n">
        <v>1</v>
      </c>
      <c r="J149" s="41" t="n">
        <v>2</v>
      </c>
      <c r="K149" s="42" t="inlineStr">
        <is>
          <t>México</t>
        </is>
      </c>
      <c r="L149" s="293" t="n">
        <v>248741</v>
      </c>
      <c r="M149" s="293" t="n"/>
      <c r="N149" s="293" t="n">
        <v>220000</v>
      </c>
      <c r="O149" s="293">
        <f>I149*N149</f>
        <v/>
      </c>
      <c r="P149" s="293">
        <f>J149*N149</f>
        <v/>
      </c>
      <c r="Q149" s="293">
        <f>SUM(O149:P149)</f>
        <v/>
      </c>
      <c r="R149" s="293">
        <f>Q149*$R$9</f>
        <v/>
      </c>
      <c r="S149" s="293">
        <f>SUM(Q149:R149)</f>
        <v/>
      </c>
      <c r="T149" s="44" t="inlineStr">
        <is>
          <t>Accesorios: No incluye
Consumibles: No incluye</t>
        </is>
      </c>
      <c r="U149" s="45" t="inlineStr">
        <is>
          <t>Durante la vigencia del contrato</t>
        </is>
      </c>
      <c r="V149" s="46" t="inlineStr">
        <is>
          <t>SI</t>
        </is>
      </c>
      <c r="W149" s="47" t="inlineStr">
        <is>
          <t>IMAGEN</t>
        </is>
      </c>
    </row>
    <row r="150" ht="140.4" customHeight="1" s="227">
      <c r="A150" s="38" t="n">
        <v>306</v>
      </c>
      <c r="B150" s="68" t="inlineStr">
        <is>
          <t>CDMX</t>
        </is>
      </c>
      <c r="D150" s="69" t="inlineStr">
        <is>
          <t>Impresora para placas radiográficas, marca Fujifilm, modelo Drypix 8000</t>
        </is>
      </c>
      <c r="E150" s="68" t="inlineStr">
        <is>
          <t>17130554</t>
        </is>
      </c>
      <c r="F150" s="69" t="inlineStr">
        <is>
          <t>Subcentro de Evaluación Médica, Campo Militar 1-A</t>
        </is>
      </c>
      <c r="G150" s="39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0" s="40" t="inlineStr">
        <is>
          <t>Servicio</t>
        </is>
      </c>
      <c r="I150" s="41" t="n">
        <v>1</v>
      </c>
      <c r="J150" s="41" t="n">
        <v>2</v>
      </c>
      <c r="K150" s="42" t="inlineStr">
        <is>
          <t>México</t>
        </is>
      </c>
      <c r="L150" s="293" t="n">
        <v>230000</v>
      </c>
      <c r="M150" s="293" t="n"/>
      <c r="N150" s="293" t="n">
        <v>220000</v>
      </c>
      <c r="O150" s="293">
        <f>I150*N150</f>
        <v/>
      </c>
      <c r="P150" s="293">
        <f>J150*N150</f>
        <v/>
      </c>
      <c r="Q150" s="293">
        <f>SUM(O150:P150)</f>
        <v/>
      </c>
      <c r="R150" s="293">
        <f>Q150*$R$9</f>
        <v/>
      </c>
      <c r="S150" s="293">
        <f>SUM(Q150:R150)</f>
        <v/>
      </c>
      <c r="T150" s="44" t="inlineStr">
        <is>
          <t>Accesorios: No incluye
Consumibles: No incluye</t>
        </is>
      </c>
      <c r="U150" s="45" t="inlineStr">
        <is>
          <t>Durante la vigencia del contrato</t>
        </is>
      </c>
      <c r="V150" s="46" t="inlineStr">
        <is>
          <t>SI</t>
        </is>
      </c>
      <c r="W150" s="47" t="inlineStr">
        <is>
          <t>IMAGEN</t>
        </is>
      </c>
    </row>
    <row r="151" ht="140.4" customHeight="1" s="227">
      <c r="A151" s="49" t="n">
        <v>307</v>
      </c>
      <c r="B151" s="68" t="inlineStr">
        <is>
          <t>CDMX</t>
        </is>
      </c>
      <c r="D151" s="69" t="inlineStr">
        <is>
          <t>Cámara de Scheimpflug, marca Oculus, modelo Pentacam HR</t>
        </is>
      </c>
      <c r="E151" s="68" t="inlineStr">
        <is>
          <t>70900 2455 1210</t>
        </is>
      </c>
      <c r="F151" s="69" t="inlineStr">
        <is>
          <t>Subcentro de Evaluación Médica, Campo Militar 1-A</t>
        </is>
      </c>
      <c r="G151" s="50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1" s="51" t="inlineStr">
        <is>
          <t>Servicio</t>
        </is>
      </c>
      <c r="I151" s="52" t="n">
        <v>1</v>
      </c>
      <c r="J151" s="52" t="n">
        <v>2</v>
      </c>
      <c r="K151" s="59" t="inlineStr">
        <is>
          <t>México</t>
        </is>
      </c>
      <c r="L151" s="290" t="n">
        <v>289745</v>
      </c>
      <c r="M151" s="291" t="n">
        <v>50000</v>
      </c>
      <c r="N151" s="292" t="n">
        <v>150000</v>
      </c>
      <c r="O151" s="292">
        <f>I151*N151</f>
        <v/>
      </c>
      <c r="P151" s="292">
        <f>J151*N151</f>
        <v/>
      </c>
      <c r="Q151" s="292">
        <f>SUM(O151:P151)</f>
        <v/>
      </c>
      <c r="R151" s="292">
        <f>Q151*$R$9</f>
        <v/>
      </c>
      <c r="S151" s="292">
        <f>SUM(Q151:R151)</f>
        <v/>
      </c>
      <c r="T151" s="56" t="inlineStr">
        <is>
          <t>Accesorios: No incluye
Consumibles: No incluye</t>
        </is>
      </c>
      <c r="U151" s="54" t="inlineStr">
        <is>
          <t>Durante la vigencia del contrato</t>
        </is>
      </c>
      <c r="V151" s="57" t="inlineStr">
        <is>
          <t>SI</t>
        </is>
      </c>
      <c r="W151" s="54" t="inlineStr">
        <is>
          <t>OFTALMO</t>
        </is>
      </c>
      <c r="X151" s="32" t="inlineStr">
        <is>
          <t>CYAN</t>
        </is>
      </c>
    </row>
    <row r="152" ht="124.95" customHeight="1" s="227">
      <c r="A152" s="38" t="n">
        <v>309</v>
      </c>
      <c r="B152" s="68" t="inlineStr">
        <is>
          <t>BAJA CALIFORNIA</t>
        </is>
      </c>
      <c r="D152" s="69" t="inlineStr">
        <is>
          <t>Equipo de rayos X móvil, marca Technix, modelo TMS 320</t>
        </is>
      </c>
      <c r="E152" s="68" t="inlineStr">
        <is>
          <t>80-16-82-153</t>
        </is>
      </c>
      <c r="F152" s="69" t="inlineStr">
        <is>
          <t>H.M.R. La Paz</t>
        </is>
      </c>
      <c r="G152" s="39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2" s="40" t="inlineStr">
        <is>
          <t>Servicio</t>
        </is>
      </c>
      <c r="I152" s="41" t="n">
        <v>1</v>
      </c>
      <c r="J152" s="41" t="n">
        <v>2</v>
      </c>
      <c r="K152" s="42" t="inlineStr">
        <is>
          <t>México</t>
        </is>
      </c>
      <c r="L152" s="293" t="n">
        <v>220564.52</v>
      </c>
      <c r="M152" s="293" t="n"/>
      <c r="N152" s="293" t="n">
        <v>300000</v>
      </c>
      <c r="O152" s="293">
        <f>I152*N152</f>
        <v/>
      </c>
      <c r="P152" s="293">
        <f>J152*N152</f>
        <v/>
      </c>
      <c r="Q152" s="293">
        <f>SUM(O152:P152)</f>
        <v/>
      </c>
      <c r="R152" s="293">
        <f>Q152*$R$9</f>
        <v/>
      </c>
      <c r="S152" s="293">
        <f>SUM(Q152:R152)</f>
        <v/>
      </c>
      <c r="T152" s="44" t="inlineStr">
        <is>
          <t>Accesorios: No incluye
Consumibles: No incluye</t>
        </is>
      </c>
      <c r="U152" s="45" t="inlineStr">
        <is>
          <t>Durante la vigencia del contrato</t>
        </is>
      </c>
      <c r="V152" s="46" t="inlineStr">
        <is>
          <t>NO</t>
        </is>
      </c>
      <c r="W152" s="47" t="inlineStr">
        <is>
          <t>IMAGEN</t>
        </is>
      </c>
    </row>
    <row r="153" ht="124.95" customHeight="1" s="227">
      <c r="A153" s="49" t="n">
        <v>310</v>
      </c>
      <c r="B153" s="68" t="inlineStr">
        <is>
          <t>BAJA CALIFORNIA</t>
        </is>
      </c>
      <c r="D153" s="69" t="inlineStr">
        <is>
          <t>Fotocoagulador láser , marca Quantel Medical, modelo Supra Scan</t>
        </is>
      </c>
      <c r="E153" s="68" t="inlineStr">
        <is>
          <t>454</t>
        </is>
      </c>
      <c r="F153" s="69" t="inlineStr">
        <is>
          <t>H.M.R. La Paz</t>
        </is>
      </c>
      <c r="G153" s="50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3" s="51" t="inlineStr">
        <is>
          <t>Servicio</t>
        </is>
      </c>
      <c r="I153" s="52" t="n">
        <v>1</v>
      </c>
      <c r="J153" s="52" t="n">
        <v>2</v>
      </c>
      <c r="K153" s="59" t="inlineStr">
        <is>
          <t>México</t>
        </is>
      </c>
      <c r="L153" s="290" t="n">
        <v>186174.57</v>
      </c>
      <c r="M153" s="291" t="n">
        <v>55000</v>
      </c>
      <c r="N153" s="292" t="n">
        <v>180000</v>
      </c>
      <c r="O153" s="292">
        <f>I153*N153</f>
        <v/>
      </c>
      <c r="P153" s="292">
        <f>J153*N153</f>
        <v/>
      </c>
      <c r="Q153" s="292">
        <f>SUM(O153:P153)</f>
        <v/>
      </c>
      <c r="R153" s="292">
        <f>Q153*$R$9</f>
        <v/>
      </c>
      <c r="S153" s="292">
        <f>SUM(Q153:R153)</f>
        <v/>
      </c>
      <c r="T153" s="56" t="inlineStr">
        <is>
          <t>Accesorios: No incluye
Consumibles: No incluye</t>
        </is>
      </c>
      <c r="U153" s="54" t="inlineStr">
        <is>
          <t>Durante la vigencia del contrato</t>
        </is>
      </c>
      <c r="V153" s="57" t="inlineStr">
        <is>
          <t>SI</t>
        </is>
      </c>
      <c r="W153" s="54" t="inlineStr">
        <is>
          <t>OFTALMO</t>
        </is>
      </c>
      <c r="X153" s="32" t="inlineStr">
        <is>
          <t>ARFAMEX</t>
        </is>
      </c>
    </row>
    <row r="154" ht="124.95" customHeight="1" s="227">
      <c r="A154" s="38" t="n">
        <v>313</v>
      </c>
      <c r="B154" s="68" t="inlineStr">
        <is>
          <t>SINALOA</t>
        </is>
      </c>
      <c r="D154" s="69" t="inlineStr">
        <is>
          <t>Rayos X móvil, marca Villa Sistemi Medicali, modelo Visitor T30 M-DR</t>
        </is>
      </c>
      <c r="E154" s="68" t="inlineStr">
        <is>
          <t>14-11-1038</t>
        </is>
      </c>
      <c r="F154" s="69" t="inlineStr">
        <is>
          <t>H.M.R.E. Mazatlán</t>
        </is>
      </c>
      <c r="G154" s="39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54" s="40" t="inlineStr">
        <is>
          <t>Servicio</t>
        </is>
      </c>
      <c r="I154" s="41" t="n">
        <v>1</v>
      </c>
      <c r="J154" s="41" t="n">
        <v>2</v>
      </c>
      <c r="K154" s="42" t="inlineStr">
        <is>
          <t>México</t>
        </is>
      </c>
      <c r="L154" s="293" t="n">
        <v>231163.79</v>
      </c>
      <c r="M154" s="293" t="n"/>
      <c r="N154" s="293" t="n">
        <v>300000</v>
      </c>
      <c r="O154" s="293">
        <f>I154*N154</f>
        <v/>
      </c>
      <c r="P154" s="293">
        <f>J154*N154</f>
        <v/>
      </c>
      <c r="Q154" s="293">
        <f>SUM(O154:P154)</f>
        <v/>
      </c>
      <c r="R154" s="293">
        <f>Q154*$R$9</f>
        <v/>
      </c>
      <c r="S154" s="293">
        <f>SUM(Q154:R154)</f>
        <v/>
      </c>
      <c r="T154" s="44" t="inlineStr">
        <is>
          <t>Accesorios: No incluye
Consumibles: No incluye</t>
        </is>
      </c>
      <c r="U154" s="45" t="inlineStr">
        <is>
          <t>Durante la vigencia del contrato</t>
        </is>
      </c>
      <c r="V154" s="46" t="inlineStr">
        <is>
          <t>NO</t>
        </is>
      </c>
      <c r="W154" s="47" t="inlineStr">
        <is>
          <t>IMAGEN</t>
        </is>
      </c>
    </row>
    <row r="155" ht="124.95" customHeight="1" s="227">
      <c r="A155" s="38" t="n">
        <v>314</v>
      </c>
      <c r="B155" s="68" t="inlineStr">
        <is>
          <t>PUEBLA</t>
        </is>
      </c>
      <c r="D155" s="69" t="inlineStr">
        <is>
          <t>Equipo de rayos X móvil, marca Technix, modelo TMS 320</t>
        </is>
      </c>
      <c r="E155" s="68" t="inlineStr">
        <is>
          <t>80-16-101-172</t>
        </is>
      </c>
      <c r="F155" s="69" t="inlineStr">
        <is>
          <t>H.M.R. Puebla</t>
        </is>
      </c>
      <c r="G155" s="39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5" s="40" t="inlineStr">
        <is>
          <t>Servicio</t>
        </is>
      </c>
      <c r="I155" s="41" t="n">
        <v>1</v>
      </c>
      <c r="J155" s="41" t="n">
        <v>2</v>
      </c>
      <c r="K155" s="42" t="inlineStr">
        <is>
          <t>México</t>
        </is>
      </c>
      <c r="L155" s="293" t="n">
        <v>225603.45</v>
      </c>
      <c r="M155" s="293" t="n"/>
      <c r="N155" s="293" t="n">
        <v>220000</v>
      </c>
      <c r="O155" s="293">
        <f>I155*N155</f>
        <v/>
      </c>
      <c r="P155" s="293">
        <f>J155*N155</f>
        <v/>
      </c>
      <c r="Q155" s="293">
        <f>SUM(O155:P155)</f>
        <v/>
      </c>
      <c r="R155" s="293">
        <f>Q155*$R$9</f>
        <v/>
      </c>
      <c r="S155" s="293">
        <f>SUM(Q155:R155)</f>
        <v/>
      </c>
      <c r="T155" s="44" t="inlineStr">
        <is>
          <t>Accesorios: No incluye
Consumibles: No incluye</t>
        </is>
      </c>
      <c r="U155" s="45" t="inlineStr">
        <is>
          <t>Durante la vigencia del contrato</t>
        </is>
      </c>
      <c r="V155" s="46" t="inlineStr">
        <is>
          <t>SI</t>
        </is>
      </c>
      <c r="W155" s="47" t="inlineStr">
        <is>
          <t>IMAGEN</t>
        </is>
      </c>
    </row>
    <row r="156" ht="124.95" customHeight="1" s="227">
      <c r="A156" s="38" t="n">
        <v>316</v>
      </c>
      <c r="B156" s="68" t="inlineStr">
        <is>
          <t>PUEBLA</t>
        </is>
      </c>
      <c r="D156" s="69" t="inlineStr">
        <is>
          <t>Equipo de rayos X móvil, marca Mindray, modelo MobiEye 700</t>
        </is>
      </c>
      <c r="E156" s="68" t="inlineStr">
        <is>
          <t>C8-05002378T</t>
        </is>
      </c>
      <c r="F156" s="69" t="inlineStr">
        <is>
          <t>H.M.R. Puebla</t>
        </is>
      </c>
      <c r="G156" s="39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6" s="40" t="inlineStr">
        <is>
          <t>Servicio</t>
        </is>
      </c>
      <c r="I156" s="41" t="n">
        <v>1</v>
      </c>
      <c r="J156" s="41" t="n">
        <v>2</v>
      </c>
      <c r="K156" s="42" t="inlineStr">
        <is>
          <t>México</t>
        </is>
      </c>
      <c r="L156" s="293" t="n">
        <v>237500.26</v>
      </c>
      <c r="M156" s="293" t="n"/>
      <c r="N156" s="293" t="n">
        <v>220000</v>
      </c>
      <c r="O156" s="293">
        <f>I156*N156</f>
        <v/>
      </c>
      <c r="P156" s="293">
        <f>J156*N156</f>
        <v/>
      </c>
      <c r="Q156" s="293">
        <f>SUM(O156:P156)</f>
        <v/>
      </c>
      <c r="R156" s="293">
        <f>Q156*$R$9</f>
        <v/>
      </c>
      <c r="S156" s="293">
        <f>SUM(Q156:R156)</f>
        <v/>
      </c>
      <c r="T156" s="44" t="inlineStr">
        <is>
          <t>Accesorios: No incluye
Consumibles: No incluye</t>
        </is>
      </c>
      <c r="U156" s="45" t="inlineStr">
        <is>
          <t>Durante la vigencia del contrato</t>
        </is>
      </c>
      <c r="V156" s="46" t="inlineStr">
        <is>
          <t>SI</t>
        </is>
      </c>
      <c r="W156" s="47" t="inlineStr">
        <is>
          <t>IMAGEN</t>
        </is>
      </c>
    </row>
    <row r="157" ht="124.95" customHeight="1" s="227">
      <c r="A157" s="38" t="n">
        <v>319</v>
      </c>
      <c r="B157" s="68" t="inlineStr">
        <is>
          <t>CDMX</t>
        </is>
      </c>
      <c r="D157" s="69" t="inlineStr">
        <is>
          <t>Arco en C, marca Ziehm Imaging, modelo Vision R</t>
        </is>
      </c>
      <c r="E157" s="68" t="inlineStr">
        <is>
          <t>10705</t>
        </is>
      </c>
      <c r="F157" s="69" t="inlineStr">
        <is>
          <t>H.M.Z. Campo Militar No. 1-A</t>
        </is>
      </c>
      <c r="G157" s="39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H157" s="40" t="inlineStr">
        <is>
          <t>Servicio</t>
        </is>
      </c>
      <c r="I157" s="41" t="n">
        <v>1</v>
      </c>
      <c r="J157" s="41" t="n">
        <v>2</v>
      </c>
      <c r="K157" s="42" t="inlineStr">
        <is>
          <t>México</t>
        </is>
      </c>
      <c r="L157" s="293" t="n">
        <v>255210</v>
      </c>
      <c r="M157" s="293" t="n"/>
      <c r="N157" s="293" t="n">
        <v>220000</v>
      </c>
      <c r="O157" s="293">
        <f>I157*N157</f>
        <v/>
      </c>
      <c r="P157" s="293">
        <f>J157*N157</f>
        <v/>
      </c>
      <c r="Q157" s="293">
        <f>SUM(O157:P157)</f>
        <v/>
      </c>
      <c r="R157" s="293">
        <f>Q157*$R$9</f>
        <v/>
      </c>
      <c r="S157" s="293">
        <f>SUM(Q157:R157)</f>
        <v/>
      </c>
      <c r="T157" s="44" t="inlineStr">
        <is>
          <t>Accesorios: No incluye
Consumibles: No incluye</t>
        </is>
      </c>
      <c r="U157" s="45" t="inlineStr">
        <is>
          <t>Durante la vigencia del contrato</t>
        </is>
      </c>
      <c r="V157" s="46" t="inlineStr">
        <is>
          <t>SI</t>
        </is>
      </c>
      <c r="W157" s="47" t="inlineStr">
        <is>
          <t>IMAGEN</t>
        </is>
      </c>
    </row>
    <row r="158" ht="124.95" customHeight="1" s="227">
      <c r="A158" s="49" t="n">
        <v>321</v>
      </c>
      <c r="B158" s="68" t="inlineStr">
        <is>
          <t>JALISCO</t>
        </is>
      </c>
      <c r="D158" s="69" t="inlineStr">
        <is>
          <t>Microscopio quirúrgico oftalmológico, marca Leica, modelo M822 F40</t>
        </is>
      </c>
      <c r="E158" s="68" t="inlineStr">
        <is>
          <t>160219002</t>
        </is>
      </c>
      <c r="F158" s="69" t="inlineStr">
        <is>
          <t>H.M.Z. Zapopan</t>
        </is>
      </c>
      <c r="G158" s="50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58" s="51" t="inlineStr">
        <is>
          <t>Servicio</t>
        </is>
      </c>
      <c r="I158" s="52" t="n">
        <v>1</v>
      </c>
      <c r="J158" s="52" t="n">
        <v>2</v>
      </c>
      <c r="K158" s="59" t="inlineStr">
        <is>
          <t>México</t>
        </is>
      </c>
      <c r="L158" s="290" t="n">
        <v>167985</v>
      </c>
      <c r="M158" s="291" t="n">
        <v>250000</v>
      </c>
      <c r="N158" s="292" t="n">
        <v>160000</v>
      </c>
      <c r="O158" s="292">
        <f>I158*N158</f>
        <v/>
      </c>
      <c r="P158" s="292">
        <f>J158*N158</f>
        <v/>
      </c>
      <c r="Q158" s="292">
        <f>SUM(O158:P158)</f>
        <v/>
      </c>
      <c r="R158" s="292">
        <f>Q158*$R$9</f>
        <v/>
      </c>
      <c r="S158" s="292">
        <f>SUM(Q158:R158)</f>
        <v/>
      </c>
      <c r="T158" s="56" t="inlineStr">
        <is>
          <t>Accesorios: No incluye
Consumibles: No incluye</t>
        </is>
      </c>
      <c r="U158" s="54" t="inlineStr">
        <is>
          <t>Durante la vigencia del contrato</t>
        </is>
      </c>
      <c r="V158" s="57" t="inlineStr">
        <is>
          <t>SI</t>
        </is>
      </c>
      <c r="W158" s="54" t="inlineStr">
        <is>
          <t>OFTALMO</t>
        </is>
      </c>
      <c r="X158" s="32" t="inlineStr">
        <is>
          <t>COINDISA</t>
        </is>
      </c>
    </row>
    <row r="159" ht="140.4" customHeight="1" s="227">
      <c r="A159" s="38" t="n">
        <v>335</v>
      </c>
      <c r="B159" s="68" t="inlineStr">
        <is>
          <t>CDMX</t>
        </is>
      </c>
      <c r="D159" s="69" t="inlineStr">
        <is>
          <t>Rayos X móvil, marca Philips, modelo MobileDiagnost wDR Release 2</t>
        </is>
      </c>
      <c r="E159" s="68" t="inlineStr">
        <is>
          <t>15100252</t>
        </is>
      </c>
      <c r="F159" s="69" t="inlineStr">
        <is>
          <t>H.M.E.M. Y N. Lomas de Sotelo</t>
        </is>
      </c>
      <c r="G159" s="39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59" s="40" t="inlineStr">
        <is>
          <t>Servicio</t>
        </is>
      </c>
      <c r="I159" s="41" t="n">
        <v>1</v>
      </c>
      <c r="J159" s="41" t="n">
        <v>2</v>
      </c>
      <c r="K159" s="42" t="inlineStr">
        <is>
          <t>México</t>
        </is>
      </c>
      <c r="L159" s="293" t="n">
        <v>225784</v>
      </c>
      <c r="M159" s="293" t="n"/>
      <c r="N159" s="293" t="n">
        <v>220000</v>
      </c>
      <c r="O159" s="293">
        <f>I159*N159</f>
        <v/>
      </c>
      <c r="P159" s="293">
        <f>J159*N159</f>
        <v/>
      </c>
      <c r="Q159" s="293">
        <f>SUM(O159:P159)</f>
        <v/>
      </c>
      <c r="R159" s="293">
        <f>Q159*$R$9</f>
        <v/>
      </c>
      <c r="S159" s="293">
        <f>SUM(Q159:R159)</f>
        <v/>
      </c>
      <c r="T159" s="44" t="inlineStr">
        <is>
          <t>Accesorios: No incluye
Consumibles: No incluye</t>
        </is>
      </c>
      <c r="U159" s="45" t="inlineStr">
        <is>
          <t>Durante la vigencia del contrato</t>
        </is>
      </c>
      <c r="V159" s="46" t="inlineStr">
        <is>
          <t>SI</t>
        </is>
      </c>
      <c r="W159" s="47" t="inlineStr">
        <is>
          <t>IMAGEN</t>
        </is>
      </c>
    </row>
    <row r="160" ht="124.95" customHeight="1" s="227">
      <c r="A160" s="38" t="n">
        <v>336</v>
      </c>
      <c r="B160" s="68" t="inlineStr">
        <is>
          <t>NUEVO LEON</t>
        </is>
      </c>
      <c r="D160" s="69" t="inlineStr">
        <is>
          <t>Rayos X móvil, marca Philips, modelo MobileDiagnost wDR Release 2</t>
        </is>
      </c>
      <c r="E160" s="68" t="inlineStr">
        <is>
          <t>16200158</t>
        </is>
      </c>
      <c r="F160" s="69" t="inlineStr">
        <is>
          <t>H.M.R.E. Monterrey</t>
        </is>
      </c>
      <c r="G160" s="39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0" s="40" t="inlineStr">
        <is>
          <t>Servicio</t>
        </is>
      </c>
      <c r="I160" s="41" t="n">
        <v>1</v>
      </c>
      <c r="J160" s="41" t="n">
        <v>2</v>
      </c>
      <c r="K160" s="42" t="inlineStr">
        <is>
          <t>México</t>
        </is>
      </c>
      <c r="L160" s="293" t="n">
        <v>225846.76</v>
      </c>
      <c r="M160" s="293" t="n"/>
      <c r="N160" s="293" t="n">
        <v>300000</v>
      </c>
      <c r="O160" s="293">
        <f>I160*N160</f>
        <v/>
      </c>
      <c r="P160" s="293">
        <f>J160*N160</f>
        <v/>
      </c>
      <c r="Q160" s="293">
        <f>SUM(O160:P160)</f>
        <v/>
      </c>
      <c r="R160" s="293">
        <f>Q160*$R$9</f>
        <v/>
      </c>
      <c r="S160" s="293">
        <f>SUM(Q160:R160)</f>
        <v/>
      </c>
      <c r="T160" s="44" t="inlineStr">
        <is>
          <t>Accesorios: No incluye
Consumibles: No incluye</t>
        </is>
      </c>
      <c r="U160" s="45" t="inlineStr">
        <is>
          <t>Durante la vigencia del contrato</t>
        </is>
      </c>
      <c r="V160" s="46" t="inlineStr">
        <is>
          <t>NO</t>
        </is>
      </c>
      <c r="W160" s="47" t="inlineStr">
        <is>
          <t>IMAGEN</t>
        </is>
      </c>
    </row>
    <row r="161" ht="124.95" customHeight="1" s="227">
      <c r="A161" s="49" t="n">
        <v>338</v>
      </c>
      <c r="B161" s="68" t="inlineStr">
        <is>
          <t>CDMX</t>
        </is>
      </c>
      <c r="D161" s="69" t="inlineStr">
        <is>
          <t>Láser de femtosegundo, marca Alcon, modelo LenSx</t>
        </is>
      </c>
      <c r="E161" s="68" t="inlineStr">
        <is>
          <t>2102004501X</t>
        </is>
      </c>
      <c r="F161" s="69" t="inlineStr">
        <is>
          <t>H.M.E.O. Constituyentes</t>
        </is>
      </c>
      <c r="G161" s="50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1" s="51" t="inlineStr">
        <is>
          <t>Servicio</t>
        </is>
      </c>
      <c r="I161" s="52" t="n">
        <v>1</v>
      </c>
      <c r="J161" s="52" t="n">
        <v>2</v>
      </c>
      <c r="K161" s="59" t="inlineStr">
        <is>
          <t>México</t>
        </is>
      </c>
      <c r="L161" s="290" t="n">
        <v>421478</v>
      </c>
      <c r="M161" s="291" t="n">
        <v>280000</v>
      </c>
      <c r="N161" s="292" t="n">
        <v>390000</v>
      </c>
      <c r="O161" s="292">
        <f>I161*N161</f>
        <v/>
      </c>
      <c r="P161" s="292">
        <f>J161*N161</f>
        <v/>
      </c>
      <c r="Q161" s="292">
        <f>SUM(O161:P161)</f>
        <v/>
      </c>
      <c r="R161" s="292">
        <f>Q161*$R$9</f>
        <v/>
      </c>
      <c r="S161" s="292">
        <f>SUM(Q161:R161)</f>
        <v/>
      </c>
      <c r="T161" s="56" t="inlineStr">
        <is>
          <t>Accesorios: No incluye
Consumibles: No incluye</t>
        </is>
      </c>
      <c r="U161" s="54" t="inlineStr">
        <is>
          <t>Durante la vigencia del contrato</t>
        </is>
      </c>
      <c r="V161" s="57" t="inlineStr">
        <is>
          <t>SI</t>
        </is>
      </c>
      <c r="W161" s="54" t="inlineStr">
        <is>
          <t>OFTALMO</t>
        </is>
      </c>
      <c r="X161" s="32" t="inlineStr">
        <is>
          <t>ALCON</t>
        </is>
      </c>
    </row>
    <row r="162" ht="140.4" customHeight="1" s="227">
      <c r="A162" s="49" t="n">
        <v>351</v>
      </c>
      <c r="B162" s="68" t="inlineStr">
        <is>
          <t>CDMX</t>
        </is>
      </c>
      <c r="D162" s="69" t="inlineStr">
        <is>
          <t>Sistema de diagnóstico oftálmico avanzado, marca Nidek, modelo OPD-Scan III</t>
        </is>
      </c>
      <c r="E162" s="68" t="inlineStr">
        <is>
          <t>470023</t>
        </is>
      </c>
      <c r="F162" s="69" t="inlineStr">
        <is>
          <t>H.M.E.O. Constituyentes</t>
        </is>
      </c>
      <c r="G162" s="50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2" s="51" t="inlineStr">
        <is>
          <t>Servicio</t>
        </is>
      </c>
      <c r="I162" s="52" t="n">
        <v>1</v>
      </c>
      <c r="J162" s="52" t="n">
        <v>2</v>
      </c>
      <c r="K162" s="59" t="inlineStr">
        <is>
          <t>México</t>
        </is>
      </c>
      <c r="L162" s="290" t="n">
        <v>206206.89</v>
      </c>
      <c r="M162" s="291" t="n">
        <v>40000</v>
      </c>
      <c r="N162" s="292" t="n">
        <v>150000</v>
      </c>
      <c r="O162" s="292">
        <f>I162*N162</f>
        <v/>
      </c>
      <c r="P162" s="292">
        <f>J162*N162</f>
        <v/>
      </c>
      <c r="Q162" s="292">
        <f>SUM(O162:P162)</f>
        <v/>
      </c>
      <c r="R162" s="292">
        <f>Q162*$R$9</f>
        <v/>
      </c>
      <c r="S162" s="292">
        <f>SUM(Q162:R162)</f>
        <v/>
      </c>
      <c r="T162" s="56" t="inlineStr">
        <is>
          <t>Accesorios: No incluye
Consumibles: No incluye</t>
        </is>
      </c>
      <c r="U162" s="54" t="inlineStr">
        <is>
          <t>Durante la vigencia del contrato</t>
        </is>
      </c>
      <c r="V162" s="57" t="inlineStr">
        <is>
          <t>SI</t>
        </is>
      </c>
      <c r="W162" s="54" t="inlineStr">
        <is>
          <t>OFTALMO</t>
        </is>
      </c>
      <c r="X162" s="32" t="inlineStr">
        <is>
          <t>S4</t>
        </is>
      </c>
    </row>
    <row r="163" ht="124.95" customHeight="1" s="227">
      <c r="A163" s="38" t="n">
        <v>353</v>
      </c>
      <c r="B163" s="68" t="inlineStr">
        <is>
          <t>CDMX</t>
        </is>
      </c>
      <c r="D163" s="69" t="inlineStr">
        <is>
          <t>Rayos X portátil, marca Carestream, modelo DRX Revolution</t>
        </is>
      </c>
      <c r="E163" s="68" t="inlineStr">
        <is>
          <t>21F0363</t>
        </is>
      </c>
      <c r="F163" s="69" t="inlineStr">
        <is>
          <t>U.M.C.E. Tlalpan</t>
        </is>
      </c>
      <c r="G163" s="39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3" s="40" t="inlineStr">
        <is>
          <t>Servicio</t>
        </is>
      </c>
      <c r="I163" s="41" t="n">
        <v>1</v>
      </c>
      <c r="J163" s="65" t="n">
        <v>2</v>
      </c>
      <c r="K163" s="42" t="inlineStr">
        <is>
          <t>México</t>
        </is>
      </c>
      <c r="L163" s="293" t="n">
        <v>265000</v>
      </c>
      <c r="M163" s="293" t="n"/>
      <c r="N163" s="293" t="n">
        <v>250000</v>
      </c>
      <c r="O163" s="293">
        <f>I163*N163</f>
        <v/>
      </c>
      <c r="P163" s="293">
        <f>J163*N163</f>
        <v/>
      </c>
      <c r="Q163" s="293">
        <f>SUM(O163:P163)</f>
        <v/>
      </c>
      <c r="R163" s="293">
        <f>Q163*$R$9</f>
        <v/>
      </c>
      <c r="S163" s="293">
        <f>SUM(Q163:R163)</f>
        <v/>
      </c>
      <c r="T163" s="44" t="inlineStr">
        <is>
          <t>Accesorios: No incluye
Consumibles: No incluye</t>
        </is>
      </c>
      <c r="U163" s="45" t="inlineStr">
        <is>
          <t>Durante la vigencia del contrato</t>
        </is>
      </c>
      <c r="V163" s="46" t="inlineStr">
        <is>
          <t>SI</t>
        </is>
      </c>
      <c r="W163" s="47" t="inlineStr">
        <is>
          <t>IMAGEN</t>
        </is>
      </c>
    </row>
    <row r="164" ht="124.95" customHeight="1" s="227">
      <c r="A164" s="38" t="n">
        <v>354</v>
      </c>
      <c r="B164" s="68" t="inlineStr">
        <is>
          <t>TAMAULIPAS</t>
        </is>
      </c>
      <c r="D164" s="69" t="inlineStr">
        <is>
          <t>Rayos X portátil, marca Carestream, modelo DRX Revolution</t>
        </is>
      </c>
      <c r="E164" s="68" t="inlineStr">
        <is>
          <t>MM00296</t>
        </is>
      </c>
      <c r="F164" s="69" t="inlineStr">
        <is>
          <t>U.M.C.E. Reynosa</t>
        </is>
      </c>
      <c r="G164" s="39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64" s="40" t="inlineStr">
        <is>
          <t>Servicio</t>
        </is>
      </c>
      <c r="I164" s="41" t="n">
        <v>1</v>
      </c>
      <c r="J164" s="65" t="n">
        <v>2</v>
      </c>
      <c r="K164" s="42" t="inlineStr">
        <is>
          <t>México</t>
        </is>
      </c>
      <c r="L164" s="293" t="n">
        <v>150000</v>
      </c>
      <c r="M164" s="293" t="n"/>
      <c r="N164" s="293" t="n">
        <v>250000</v>
      </c>
      <c r="O164" s="293">
        <f>I164*N164</f>
        <v/>
      </c>
      <c r="P164" s="293">
        <f>J164*N164</f>
        <v/>
      </c>
      <c r="Q164" s="293">
        <f>SUM(O164:P164)</f>
        <v/>
      </c>
      <c r="R164" s="293">
        <f>Q164*$R$9</f>
        <v/>
      </c>
      <c r="S164" s="293">
        <f>SUM(Q164:R164)</f>
        <v/>
      </c>
      <c r="T164" s="44" t="inlineStr">
        <is>
          <t>Accesorios: No incluye
Consumibles: No incluye</t>
        </is>
      </c>
      <c r="U164" s="45" t="inlineStr">
        <is>
          <t>Durante la vigencia del contrato</t>
        </is>
      </c>
      <c r="V164" s="46" t="inlineStr">
        <is>
          <t>NO</t>
        </is>
      </c>
      <c r="W164" s="47" t="inlineStr">
        <is>
          <t>IMAGEN</t>
        </is>
      </c>
    </row>
    <row r="165" ht="140.4" customHeight="1" s="227">
      <c r="A165" s="38" t="n">
        <v>355</v>
      </c>
      <c r="B165" s="68" t="inlineStr">
        <is>
          <t>OAXACA</t>
        </is>
      </c>
      <c r="D165" s="69" t="inlineStr">
        <is>
          <t>Sistema de digitalización de imágenes, marca Carestream, modelo Digitalizador: Direct</t>
        </is>
      </c>
      <c r="E165" s="68" t="inlineStr">
        <is>
          <t>Pendiente</t>
        </is>
      </c>
      <c r="F165" s="69" t="inlineStr">
        <is>
          <t>H.M.Z. Ixcotel</t>
        </is>
      </c>
      <c r="G165" s="39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5" s="40" t="inlineStr">
        <is>
          <t>Servicio</t>
        </is>
      </c>
      <c r="I165" s="41" t="n">
        <v>1</v>
      </c>
      <c r="J165" s="65" t="n">
        <v>2</v>
      </c>
      <c r="K165" s="42" t="inlineStr">
        <is>
          <t>México</t>
        </is>
      </c>
      <c r="L165" s="293" t="n">
        <v>138387.24</v>
      </c>
      <c r="M165" s="293" t="n"/>
      <c r="N165" s="293" t="n">
        <v>225000</v>
      </c>
      <c r="O165" s="293">
        <f>I165*N165</f>
        <v/>
      </c>
      <c r="P165" s="293">
        <f>J165*N165</f>
        <v/>
      </c>
      <c r="Q165" s="293">
        <f>SUM(O165:P165)</f>
        <v/>
      </c>
      <c r="R165" s="293">
        <f>Q165*$R$9</f>
        <v/>
      </c>
      <c r="S165" s="293">
        <f>SUM(Q165:R165)</f>
        <v/>
      </c>
      <c r="T165" s="44" t="inlineStr">
        <is>
          <t>Accesorios: No incluye
Consumibles: No incluye</t>
        </is>
      </c>
      <c r="U165" s="45" t="inlineStr">
        <is>
          <t>Durante la vigencia del contrato</t>
        </is>
      </c>
      <c r="V165" s="46" t="inlineStr">
        <is>
          <t>NO</t>
        </is>
      </c>
      <c r="W165" s="47" t="inlineStr">
        <is>
          <t>IMAGEN</t>
        </is>
      </c>
    </row>
    <row r="166" ht="124.95" customHeight="1" s="227">
      <c r="A166" s="49" t="n">
        <v>356</v>
      </c>
      <c r="B166" s="68" t="inlineStr">
        <is>
          <t>SINALOA</t>
        </is>
      </c>
      <c r="D166" s="69" t="inlineStr">
        <is>
          <t>Microscopio, marca Carl Zeiss, modelo OPMI</t>
        </is>
      </c>
      <c r="E166" s="68" t="inlineStr">
        <is>
          <t>6628503641</t>
        </is>
      </c>
      <c r="F166" s="69" t="inlineStr">
        <is>
          <t>H.M.R.E. Mazatlán</t>
        </is>
      </c>
      <c r="G166" s="50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66" s="51" t="inlineStr">
        <is>
          <t>Servicio</t>
        </is>
      </c>
      <c r="I166" s="52" t="n">
        <v>1</v>
      </c>
      <c r="J166" s="61" t="n">
        <v>2</v>
      </c>
      <c r="K166" s="59" t="inlineStr">
        <is>
          <t>México</t>
        </is>
      </c>
      <c r="L166" s="290" t="n">
        <v>58960</v>
      </c>
      <c r="M166" s="291" t="inlineStr">
        <is>
          <t>NO</t>
        </is>
      </c>
      <c r="N166" s="292" t="n">
        <v>250000</v>
      </c>
      <c r="O166" s="292">
        <f>I166*N166</f>
        <v/>
      </c>
      <c r="P166" s="292">
        <f>J166*N166</f>
        <v/>
      </c>
      <c r="Q166" s="292">
        <f>SUM(O166:P166)</f>
        <v/>
      </c>
      <c r="R166" s="292">
        <f>Q166*$R$9</f>
        <v/>
      </c>
      <c r="S166" s="292">
        <f>SUM(Q166:R166)</f>
        <v/>
      </c>
      <c r="T166" s="56" t="inlineStr">
        <is>
          <t>Accesorios: No incluye
Consumibles: No incluye</t>
        </is>
      </c>
      <c r="U166" s="54" t="inlineStr">
        <is>
          <t>Durante la vigencia del contrato</t>
        </is>
      </c>
      <c r="V166" s="57" t="inlineStr">
        <is>
          <t>SI</t>
        </is>
      </c>
      <c r="W166" s="54" t="inlineStr">
        <is>
          <t>OFTALMO</t>
        </is>
      </c>
      <c r="X166" s="32" t="inlineStr">
        <is>
          <t>ZEISS</t>
        </is>
      </c>
    </row>
    <row r="167" ht="124.95" customHeight="1" s="227">
      <c r="A167" s="49" t="n">
        <v>357</v>
      </c>
      <c r="B167" s="68" t="inlineStr">
        <is>
          <t>NUEVO LEON</t>
        </is>
      </c>
      <c r="D167" s="69" t="inlineStr">
        <is>
          <t>Topógrafo corneal, marca Zeiss, modelo Atlas 9000</t>
        </is>
      </c>
      <c r="E167" s="68" t="inlineStr">
        <is>
          <t>9000-2972</t>
        </is>
      </c>
      <c r="F167" s="69" t="inlineStr">
        <is>
          <t>H.M.R.E. Monterrey</t>
        </is>
      </c>
      <c r="G167" s="50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7" s="51" t="inlineStr">
        <is>
          <t>Servicio</t>
        </is>
      </c>
      <c r="I167" s="52" t="n">
        <v>1</v>
      </c>
      <c r="J167" s="61" t="n">
        <v>2</v>
      </c>
      <c r="K167" s="59" t="inlineStr">
        <is>
          <t>México</t>
        </is>
      </c>
      <c r="L167" s="290" t="n">
        <v>276244</v>
      </c>
      <c r="M167" s="291" t="inlineStr">
        <is>
          <t>P</t>
        </is>
      </c>
      <c r="N167" s="292" t="n">
        <v>270000</v>
      </c>
      <c r="O167" s="292">
        <f>I167*N167</f>
        <v/>
      </c>
      <c r="P167" s="292">
        <f>J167*N167</f>
        <v/>
      </c>
      <c r="Q167" s="292">
        <f>SUM(O167:P167)</f>
        <v/>
      </c>
      <c r="R167" s="292">
        <f>Q167*$R$9</f>
        <v/>
      </c>
      <c r="S167" s="292">
        <f>SUM(Q167:R167)</f>
        <v/>
      </c>
      <c r="T167" s="56" t="inlineStr">
        <is>
          <t>Accesorios: No incluye
Consumibles: No incluye</t>
        </is>
      </c>
      <c r="U167" s="54" t="inlineStr">
        <is>
          <t>Durante la vigencia del contrato</t>
        </is>
      </c>
      <c r="V167" s="57" t="inlineStr">
        <is>
          <t>SI</t>
        </is>
      </c>
      <c r="W167" s="54" t="inlineStr">
        <is>
          <t>OFTALMO</t>
        </is>
      </c>
      <c r="X167" s="32" t="inlineStr">
        <is>
          <t>ZEISS</t>
        </is>
      </c>
    </row>
    <row r="168" ht="124.95" customHeight="1" s="227">
      <c r="A168" s="49" t="n">
        <v>358</v>
      </c>
      <c r="B168" s="68" t="inlineStr">
        <is>
          <t>JALISCO</t>
        </is>
      </c>
      <c r="D168" s="69" t="inlineStr">
        <is>
          <t>Microscopio, marca Carl Zeiss, modelo OPMI Visu 160</t>
        </is>
      </c>
      <c r="E168" s="68" t="inlineStr">
        <is>
          <t>6213404030</t>
        </is>
      </c>
      <c r="F168" s="69" t="inlineStr">
        <is>
          <t>H.M.R.E. Guadalajara</t>
        </is>
      </c>
      <c r="G168" s="50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68" s="51" t="inlineStr">
        <is>
          <t>Servicio</t>
        </is>
      </c>
      <c r="I168" s="52" t="n">
        <v>1</v>
      </c>
      <c r="J168" s="61" t="n">
        <v>2</v>
      </c>
      <c r="K168" s="59" t="inlineStr">
        <is>
          <t>México</t>
        </is>
      </c>
      <c r="L168" s="290" t="n">
        <v>58960</v>
      </c>
      <c r="M168" s="291" t="n"/>
      <c r="N168" s="292" t="n">
        <v>55000</v>
      </c>
      <c r="O168" s="292">
        <f>I168*N168</f>
        <v/>
      </c>
      <c r="P168" s="292">
        <f>J168*N168</f>
        <v/>
      </c>
      <c r="Q168" s="292">
        <f>SUM(O168:P168)</f>
        <v/>
      </c>
      <c r="R168" s="292">
        <f>Q168*$R$9</f>
        <v/>
      </c>
      <c r="S168" s="292">
        <f>SUM(Q168:R168)</f>
        <v/>
      </c>
      <c r="T168" s="56" t="inlineStr">
        <is>
          <t>Accesorios: No incluye
Consumibles: No incluye</t>
        </is>
      </c>
      <c r="U168" s="54" t="inlineStr">
        <is>
          <t>Durante la vigencia del contrato</t>
        </is>
      </c>
      <c r="V168" s="57" t="inlineStr">
        <is>
          <t>SI</t>
        </is>
      </c>
      <c r="W168" s="54" t="inlineStr">
        <is>
          <t>OFTALMO</t>
        </is>
      </c>
      <c r="X168" s="32" t="inlineStr">
        <is>
          <t>ZEISS</t>
        </is>
      </c>
    </row>
    <row r="169" ht="124.95" customHeight="1" s="227">
      <c r="A169" s="49" t="n">
        <v>359</v>
      </c>
      <c r="B169" s="68" t="inlineStr">
        <is>
          <t>EDO DE MEX</t>
        </is>
      </c>
      <c r="D169" s="69" t="inlineStr">
        <is>
          <t>Campímetro, marca Carl Zeiss, modelo Humphrey 750</t>
        </is>
      </c>
      <c r="E169" s="68" t="inlineStr">
        <is>
          <t>11974</t>
        </is>
      </c>
      <c r="F169" s="69" t="inlineStr">
        <is>
          <t>H.M.R. Santa Lucía</t>
        </is>
      </c>
      <c r="G169" s="50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9" s="51" t="inlineStr">
        <is>
          <t>Servicio</t>
        </is>
      </c>
      <c r="I169" s="52" t="n">
        <v>1</v>
      </c>
      <c r="J169" s="61" t="n">
        <v>2</v>
      </c>
      <c r="K169" s="59" t="inlineStr">
        <is>
          <t>México</t>
        </is>
      </c>
      <c r="L169" s="290" t="n">
        <v>88566.45</v>
      </c>
      <c r="M169" s="291" t="inlineStr">
        <is>
          <t>NO</t>
        </is>
      </c>
      <c r="N169" s="292" t="n">
        <v>250000</v>
      </c>
      <c r="O169" s="292">
        <f>I169*N169</f>
        <v/>
      </c>
      <c r="P169" s="292">
        <f>J169*N169</f>
        <v/>
      </c>
      <c r="Q169" s="292">
        <f>SUM(O169:P169)</f>
        <v/>
      </c>
      <c r="R169" s="292">
        <f>Q169*$R$9</f>
        <v/>
      </c>
      <c r="S169" s="292">
        <f>SUM(Q169:R169)</f>
        <v/>
      </c>
      <c r="T169" s="56" t="inlineStr">
        <is>
          <t>Accesorios: No incluye
Consumibles: No incluye</t>
        </is>
      </c>
      <c r="U169" s="54" t="inlineStr">
        <is>
          <t>Durante la vigencia del contrato</t>
        </is>
      </c>
      <c r="V169" s="57" t="inlineStr">
        <is>
          <t>SI</t>
        </is>
      </c>
      <c r="W169" s="54" t="inlineStr">
        <is>
          <t>OFTALMO</t>
        </is>
      </c>
      <c r="X169" s="32" t="inlineStr">
        <is>
          <t>ZEISS</t>
        </is>
      </c>
    </row>
    <row r="170" ht="124.95" customHeight="1" s="227">
      <c r="A170" s="38" t="n">
        <v>360</v>
      </c>
      <c r="B170" s="68" t="inlineStr">
        <is>
          <t>CHIAPAS</t>
        </is>
      </c>
      <c r="D170" s="69" t="inlineStr">
        <is>
          <t>Campímetro, marca Carl Zeiss Meditec, modelo Humphrey Matrix 800</t>
        </is>
      </c>
      <c r="E170" s="68" t="inlineStr">
        <is>
          <t>56000002990</t>
        </is>
      </c>
      <c r="F170" s="69" t="inlineStr">
        <is>
          <t>H.M.R. Tuxtla Gutiérrez</t>
        </is>
      </c>
      <c r="G170" s="39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0" s="40" t="inlineStr">
        <is>
          <t>Servicio</t>
        </is>
      </c>
      <c r="I170" s="41" t="n">
        <v>1</v>
      </c>
      <c r="J170" s="65" t="n">
        <v>2</v>
      </c>
      <c r="K170" s="42" t="inlineStr">
        <is>
          <t>México</t>
        </is>
      </c>
      <c r="L170" s="293" t="n">
        <v>94500</v>
      </c>
      <c r="M170" s="293" t="inlineStr">
        <is>
          <t>NO</t>
        </is>
      </c>
      <c r="N170" s="293" t="n">
        <v>250000</v>
      </c>
      <c r="O170" s="293">
        <f>I170*N170</f>
        <v/>
      </c>
      <c r="P170" s="293">
        <f>J170*N170</f>
        <v/>
      </c>
      <c r="Q170" s="293">
        <f>SUM(O170:P170)</f>
        <v/>
      </c>
      <c r="R170" s="293">
        <f>Q170*$R$9</f>
        <v/>
      </c>
      <c r="S170" s="293">
        <f>SUM(Q170:R170)</f>
        <v/>
      </c>
      <c r="T170" s="44" t="inlineStr">
        <is>
          <t>Accesorios: No incluye
Consumibles: No incluye</t>
        </is>
      </c>
      <c r="U170" s="45" t="inlineStr">
        <is>
          <t>Durante la vigencia del contrato</t>
        </is>
      </c>
      <c r="V170" s="46" t="inlineStr">
        <is>
          <t>SI</t>
        </is>
      </c>
      <c r="W170" s="45" t="inlineStr">
        <is>
          <t>OFTALMO</t>
        </is>
      </c>
      <c r="X170" s="32" t="inlineStr">
        <is>
          <t>ZEISS</t>
        </is>
      </c>
    </row>
    <row r="171" ht="124.95" customHeight="1" s="227">
      <c r="A171" s="49" t="n">
        <v>361</v>
      </c>
      <c r="B171" s="68" t="inlineStr">
        <is>
          <t>CHIAPAS</t>
        </is>
      </c>
      <c r="D171" s="69" t="inlineStr">
        <is>
          <t>Microscopio , marca Carl Zeiss, modelo OPMI Visu 160</t>
        </is>
      </c>
      <c r="E171" s="68" t="inlineStr">
        <is>
          <t>6629120864</t>
        </is>
      </c>
      <c r="F171" s="69" t="inlineStr">
        <is>
          <t>H.M.R. Tuxtla Gutiérrez</t>
        </is>
      </c>
      <c r="G171" s="50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1" s="51" t="inlineStr">
        <is>
          <t>Servicio</t>
        </is>
      </c>
      <c r="I171" s="52" t="n">
        <v>1</v>
      </c>
      <c r="J171" s="61" t="n">
        <v>2</v>
      </c>
      <c r="K171" s="59" t="inlineStr">
        <is>
          <t>México</t>
        </is>
      </c>
      <c r="L171" s="290" t="n">
        <v>58960</v>
      </c>
      <c r="M171" s="291" t="inlineStr">
        <is>
          <t>NO</t>
        </is>
      </c>
      <c r="N171" s="292" t="n">
        <v>250000</v>
      </c>
      <c r="O171" s="292">
        <f>I171*N171</f>
        <v/>
      </c>
      <c r="P171" s="292">
        <f>J171*N171</f>
        <v/>
      </c>
      <c r="Q171" s="292">
        <f>SUM(O171:P171)</f>
        <v/>
      </c>
      <c r="R171" s="292">
        <f>Q171*$R$9</f>
        <v/>
      </c>
      <c r="S171" s="292">
        <f>SUM(Q171:R171)</f>
        <v/>
      </c>
      <c r="T171" s="56" t="inlineStr">
        <is>
          <t>Accesorios: No incluye
Consumibles: No incluye</t>
        </is>
      </c>
      <c r="U171" s="54" t="inlineStr">
        <is>
          <t>Durante la vigencia del contrato</t>
        </is>
      </c>
      <c r="V171" s="57" t="inlineStr">
        <is>
          <t>SI</t>
        </is>
      </c>
      <c r="W171" s="54" t="inlineStr">
        <is>
          <t>OFTALMO</t>
        </is>
      </c>
      <c r="X171" s="32" t="inlineStr">
        <is>
          <t>ZEISS</t>
        </is>
      </c>
    </row>
    <row r="172" ht="124.95" customHeight="1" s="227">
      <c r="A172" s="49" t="n">
        <v>362</v>
      </c>
      <c r="B172" s="68" t="inlineStr">
        <is>
          <t>BAJA CALIFORNIA</t>
        </is>
      </c>
      <c r="D172" s="69" t="inlineStr">
        <is>
          <t>Microscopio, marca Carl Zeiss, modelo OPMI Visu 210</t>
        </is>
      </c>
      <c r="E172" s="68" t="inlineStr">
        <is>
          <t>662950</t>
        </is>
      </c>
      <c r="F172" s="69" t="inlineStr">
        <is>
          <t>H.M.R. La Paz</t>
        </is>
      </c>
      <c r="G172" s="50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72" s="51" t="inlineStr">
        <is>
          <t>Servicio</t>
        </is>
      </c>
      <c r="I172" s="52" t="n">
        <v>1</v>
      </c>
      <c r="J172" s="61" t="n">
        <v>2</v>
      </c>
      <c r="K172" s="59" t="inlineStr">
        <is>
          <t>México</t>
        </is>
      </c>
      <c r="L172" s="290" t="n">
        <v>58960</v>
      </c>
      <c r="M172" s="291" t="inlineStr">
        <is>
          <t>NO</t>
        </is>
      </c>
      <c r="N172" s="292" t="n">
        <v>250000</v>
      </c>
      <c r="O172" s="292">
        <f>I172*N172</f>
        <v/>
      </c>
      <c r="P172" s="292">
        <f>J172*N172</f>
        <v/>
      </c>
      <c r="Q172" s="292">
        <f>SUM(O172:P172)</f>
        <v/>
      </c>
      <c r="R172" s="292">
        <f>Q172*$R$9</f>
        <v/>
      </c>
      <c r="S172" s="292">
        <f>SUM(Q172:R172)</f>
        <v/>
      </c>
      <c r="T172" s="56" t="inlineStr">
        <is>
          <t>Accesorios: No incluye
Consumibles: No incluye</t>
        </is>
      </c>
      <c r="U172" s="54" t="inlineStr">
        <is>
          <t>Durante la vigencia del contrato</t>
        </is>
      </c>
      <c r="V172" s="57" t="inlineStr">
        <is>
          <t>SI</t>
        </is>
      </c>
      <c r="W172" s="54" t="inlineStr">
        <is>
          <t>OFTALMO</t>
        </is>
      </c>
      <c r="X172" s="32" t="inlineStr">
        <is>
          <t>ZEISS</t>
        </is>
      </c>
    </row>
    <row r="173" ht="124.95" customHeight="1" s="227">
      <c r="A173" s="38" t="n">
        <v>363</v>
      </c>
      <c r="B173" s="68" t="inlineStr">
        <is>
          <t>TABASCO</t>
        </is>
      </c>
      <c r="D173" s="69" t="inlineStr">
        <is>
          <t>Campímetro, marca Carl Zeiss Meditec, modelo Humphrey 740I</t>
        </is>
      </c>
      <c r="E173" s="68" t="inlineStr">
        <is>
          <t>740I-14200</t>
        </is>
      </c>
      <c r="F173" s="69" t="inlineStr">
        <is>
          <t>H.M.Z. Villahermosa</t>
        </is>
      </c>
      <c r="G173" s="39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H173" s="40" t="inlineStr">
        <is>
          <t>Servicio</t>
        </is>
      </c>
      <c r="I173" s="41" t="n">
        <v>1</v>
      </c>
      <c r="J173" s="65" t="n">
        <v>2</v>
      </c>
      <c r="K173" s="42" t="inlineStr">
        <is>
          <t>México</t>
        </is>
      </c>
      <c r="L173" s="293" t="n">
        <v>198600</v>
      </c>
      <c r="M173" s="293" t="n">
        <v>100000</v>
      </c>
      <c r="N173" s="293" t="n">
        <v>195000</v>
      </c>
      <c r="O173" s="293">
        <f>I173*N173</f>
        <v/>
      </c>
      <c r="P173" s="293">
        <f>J173*N173</f>
        <v/>
      </c>
      <c r="Q173" s="293">
        <f>SUM(O173:P173)</f>
        <v/>
      </c>
      <c r="R173" s="293">
        <f>Q173*$R$9</f>
        <v/>
      </c>
      <c r="S173" s="293">
        <f>SUM(Q173:R173)</f>
        <v/>
      </c>
      <c r="T173" s="44" t="inlineStr">
        <is>
          <t>Accesorios: No incluye
Consumibles: No incluye</t>
        </is>
      </c>
      <c r="U173" s="45" t="inlineStr">
        <is>
          <t>Durante la vigencia del contrato</t>
        </is>
      </c>
      <c r="V173" s="46" t="inlineStr">
        <is>
          <t>SI</t>
        </is>
      </c>
      <c r="W173" s="45" t="inlineStr">
        <is>
          <t>OFTALMO</t>
        </is>
      </c>
      <c r="X173" s="32" t="inlineStr">
        <is>
          <t>ZEISS</t>
        </is>
      </c>
    </row>
    <row r="174" ht="124.95" customHeight="1" s="227">
      <c r="A174" s="38" t="n">
        <v>367</v>
      </c>
      <c r="B174" s="68" t="inlineStr">
        <is>
          <t>CHIHUAHUA</t>
        </is>
      </c>
      <c r="D174" s="69" t="inlineStr">
        <is>
          <t>Equipo de rayos X móvil, marca Primax, modelo Raybow dR</t>
        </is>
      </c>
      <c r="E174" s="68" t="inlineStr">
        <is>
          <t>10076715</t>
        </is>
      </c>
      <c r="F174" s="69" t="inlineStr">
        <is>
          <t>H.M.Z. Santa Gertrudis</t>
        </is>
      </c>
      <c r="G174" s="39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H174" s="40" t="inlineStr">
        <is>
          <t>Servicio</t>
        </is>
      </c>
      <c r="I174" s="41" t="n">
        <v>1</v>
      </c>
      <c r="J174" s="65" t="n">
        <v>2</v>
      </c>
      <c r="K174" s="42" t="inlineStr">
        <is>
          <t>México</t>
        </is>
      </c>
      <c r="L174" s="293" t="n">
        <v>252360.8</v>
      </c>
      <c r="M174" s="293" t="n"/>
      <c r="N174" s="293" t="n">
        <v>250000</v>
      </c>
      <c r="O174" s="293">
        <f>I174*N174</f>
        <v/>
      </c>
      <c r="P174" s="293">
        <f>J174*N174</f>
        <v/>
      </c>
      <c r="Q174" s="293">
        <f>SUM(O174:P174)</f>
        <v/>
      </c>
      <c r="R174" s="293">
        <f>Q174*$R$9</f>
        <v/>
      </c>
      <c r="S174" s="293">
        <f>SUM(Q174:R174)</f>
        <v/>
      </c>
      <c r="T174" s="44" t="inlineStr">
        <is>
          <t>Accesorios: No incluye
Consumibles: No incluye</t>
        </is>
      </c>
      <c r="U174" s="45" t="inlineStr">
        <is>
          <t>Durante la vigencia del contrato</t>
        </is>
      </c>
      <c r="V174" s="46" t="inlineStr">
        <is>
          <t>SI</t>
        </is>
      </c>
      <c r="W174" s="47" t="inlineStr">
        <is>
          <t>IMAGEN</t>
        </is>
      </c>
    </row>
    <row r="175" ht="124.95" customHeight="1" s="227">
      <c r="A175" s="38" t="n">
        <v>368</v>
      </c>
      <c r="B175" s="68" t="inlineStr">
        <is>
          <t>BAJA CALIFORNIA SUR</t>
        </is>
      </c>
      <c r="D175" s="69" t="inlineStr">
        <is>
          <t>Equipo de rayos X móvil, marca Primax Internacional, modelo Raybow dR</t>
        </is>
      </c>
      <c r="E175" s="68" t="inlineStr">
        <is>
          <t>10106715</t>
        </is>
      </c>
      <c r="F175" s="69" t="inlineStr">
        <is>
          <t>H.M.Z. Guerrero Negro</t>
        </is>
      </c>
      <c r="G175" s="39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H175" s="40" t="inlineStr">
        <is>
          <t>Servicio</t>
        </is>
      </c>
      <c r="I175" s="41" t="n">
        <v>1</v>
      </c>
      <c r="J175" s="65" t="n">
        <v>2</v>
      </c>
      <c r="K175" s="42" t="inlineStr">
        <is>
          <t>México</t>
        </is>
      </c>
      <c r="L175" s="293" t="n">
        <v>216292.02</v>
      </c>
      <c r="M175" s="293" t="n"/>
      <c r="N175" s="293" t="n">
        <v>300000</v>
      </c>
      <c r="O175" s="293">
        <f>I175*N175</f>
        <v/>
      </c>
      <c r="P175" s="293">
        <f>J175*N175</f>
        <v/>
      </c>
      <c r="Q175" s="293">
        <f>SUM(O175:P175)</f>
        <v/>
      </c>
      <c r="R175" s="293">
        <f>Q175*$R$9</f>
        <v/>
      </c>
      <c r="S175" s="293">
        <f>SUM(Q175:R175)</f>
        <v/>
      </c>
      <c r="T175" s="44" t="inlineStr">
        <is>
          <t>Accesorios: No incluye
Consumibles: No incluye</t>
        </is>
      </c>
      <c r="U175" s="45" t="inlineStr">
        <is>
          <t>Durante la vigencia del contrato</t>
        </is>
      </c>
      <c r="V175" s="46" t="inlineStr">
        <is>
          <t>NO</t>
        </is>
      </c>
      <c r="W175" s="47" t="inlineStr">
        <is>
          <t>IMAGEN</t>
        </is>
      </c>
    </row>
    <row r="176" ht="124.95" customHeight="1" s="227">
      <c r="A176" s="38" t="n">
        <v>369</v>
      </c>
      <c r="B176" s="68" t="inlineStr">
        <is>
          <t>TAMAULIPAS</t>
        </is>
      </c>
      <c r="D176" s="69" t="inlineStr">
        <is>
          <t>Equipo de rayos X móvil, marca Primax, modelo Raybow dR</t>
        </is>
      </c>
      <c r="E176" s="68" t="inlineStr">
        <is>
          <t>10116715</t>
        </is>
      </c>
      <c r="F176" s="69" t="inlineStr">
        <is>
          <t>U.M.C.E. Reynosa</t>
        </is>
      </c>
      <c r="G176" s="39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76" s="40" t="inlineStr">
        <is>
          <t>Servicio</t>
        </is>
      </c>
      <c r="I176" s="41" t="n">
        <v>1</v>
      </c>
      <c r="J176" s="65" t="n">
        <v>2</v>
      </c>
      <c r="K176" s="42" t="inlineStr">
        <is>
          <t>México</t>
        </is>
      </c>
      <c r="L176" s="293" t="n">
        <v>250000</v>
      </c>
      <c r="M176" s="293" t="n"/>
      <c r="N176" s="293" t="n">
        <v>300000</v>
      </c>
      <c r="O176" s="293">
        <f>I176*N176</f>
        <v/>
      </c>
      <c r="P176" s="293">
        <f>J176*N176</f>
        <v/>
      </c>
      <c r="Q176" s="293">
        <f>SUM(O176:P176)</f>
        <v/>
      </c>
      <c r="R176" s="293">
        <f>Q176*$R$9</f>
        <v/>
      </c>
      <c r="S176" s="293">
        <f>SUM(Q176:R176)</f>
        <v/>
      </c>
      <c r="T176" s="44" t="inlineStr">
        <is>
          <t>Accesorios: No incluye
Consumibles: No incluye</t>
        </is>
      </c>
      <c r="U176" s="45" t="inlineStr">
        <is>
          <t>Durante la vigencia del contrato</t>
        </is>
      </c>
      <c r="V176" s="46" t="inlineStr">
        <is>
          <t>NO</t>
        </is>
      </c>
      <c r="W176" s="47" t="inlineStr">
        <is>
          <t>IMAGEN</t>
        </is>
      </c>
    </row>
    <row r="177" ht="15.75" customHeight="1" s="227">
      <c r="I177" s="32">
        <f>SUM(I14:I176)</f>
        <v/>
      </c>
      <c r="J177" s="32">
        <f>SUM(J14:J176)</f>
        <v/>
      </c>
      <c r="L177" s="267" t="n"/>
      <c r="M177" s="291">
        <f>L177-N177</f>
        <v/>
      </c>
      <c r="O177" s="294">
        <f>SUM(O14:O176)</f>
        <v/>
      </c>
      <c r="P177" s="294">
        <f>SUM(P14:P176)</f>
        <v/>
      </c>
      <c r="Q177" s="294">
        <f>SUM(Q14:Q176)</f>
        <v/>
      </c>
      <c r="R177" s="294">
        <f>SUM(R14:R176)</f>
        <v/>
      </c>
      <c r="S177" s="294">
        <f>SUM(S14:S176)</f>
        <v/>
      </c>
    </row>
    <row r="178">
      <c r="I178" s="295">
        <f>SUM(I177:J177)</f>
        <v/>
      </c>
      <c r="J178" s="254" t="n"/>
      <c r="L178" s="267" t="n"/>
      <c r="M178" s="267" t="n"/>
    </row>
    <row r="179">
      <c r="G179" s="34" t="n"/>
      <c r="L179" s="267" t="n"/>
      <c r="M179" s="267" t="n"/>
    </row>
    <row r="180" ht="135.75" customHeight="1" s="227">
      <c r="G180" s="6" t="n"/>
      <c r="L180" s="267" t="n"/>
      <c r="M180" s="267" t="n"/>
    </row>
    <row r="181">
      <c r="L181" s="267" t="n"/>
      <c r="M181" s="267" t="n"/>
    </row>
    <row r="182">
      <c r="G182" s="35" t="inlineStr">
        <is>
          <t>Las condiciones de entrega son conforme a lo especificado en el "Anexo administrativo".</t>
        </is>
      </c>
      <c r="L182" s="267" t="n"/>
      <c r="M182" s="267" t="n"/>
    </row>
    <row r="183">
      <c r="G183" s="267" t="inlineStr">
        <is>
          <t>Los bienes requeridos son conforme a lo especificado en los anexos "Consolidado de necesidades",  "Anexos técnicos" y  "Anexo administrativo".</t>
        </is>
      </c>
      <c r="L183" s="267" t="n"/>
      <c r="M183" s="267" t="n"/>
    </row>
    <row r="184">
      <c r="G184" s="267" t="inlineStr">
        <is>
          <t>El porcentaje de garantia de cumplimiento será del 10%.</t>
        </is>
      </c>
      <c r="L184" s="267" t="n"/>
      <c r="M184" s="267" t="n"/>
    </row>
    <row r="185">
      <c r="G185" s="35" t="inlineStr">
        <is>
          <t>El lugar  de entrega:  será en las instalaciones de los diferentes escalones sanitarios donde se encuentran instalados los equipos médicos conforme al anexo "Consolidado de necesidades" y "Lugares de prestación de servicios".</t>
        </is>
      </c>
      <c r="L185" s="267" t="n"/>
      <c r="M185" s="267" t="n"/>
    </row>
    <row r="186">
      <c r="G186" s="35" t="inlineStr">
        <is>
          <t>La garantías que debe entregar: de calidad, de cumplimiento y de responsabilidad civil, serán conforme a lo especificado en el "Anexo administrativo".</t>
        </is>
      </c>
      <c r="L186" s="267" t="n"/>
      <c r="M186" s="267" t="n"/>
    </row>
    <row r="187">
      <c r="G187" s="267" t="inlineStr">
        <is>
          <t>El precio será fijo y definitivo desde el momento del fallo y durante la vigencia del contrato.</t>
        </is>
      </c>
      <c r="L187" s="267" t="n"/>
      <c r="M187" s="267" t="n"/>
    </row>
    <row r="188">
      <c r="G188" s="36" t="inlineStr">
        <is>
          <t>El precio está moneda nacional.</t>
        </is>
      </c>
      <c r="L188" s="267" t="n"/>
      <c r="M188" s="267" t="n"/>
    </row>
    <row r="189">
      <c r="G189" s="35" t="inlineStr">
        <is>
          <t>La forma y condiciones de pago será de acuerdo a lo especificado en el "Anexo administrativo".</t>
        </is>
      </c>
      <c r="L189" s="267" t="n"/>
      <c r="M189" s="267" t="n"/>
    </row>
    <row r="190" ht="15.75" customHeight="1" s="227">
      <c r="G190" s="37" t="inlineStr">
        <is>
          <t>Esta cotización tiene vigencia hasta el 30 Jun. 2026.</t>
        </is>
      </c>
      <c r="L190" s="267" t="n"/>
      <c r="M190" s="267" t="n"/>
    </row>
  </sheetData>
  <autoFilter ref="V12:X178"/>
  <mergeCells count="13">
    <mergeCell ref="I178:J178"/>
    <mergeCell ref="V10:X10"/>
    <mergeCell ref="I12:J12"/>
    <mergeCell ref="A12:A13"/>
    <mergeCell ref="H12:H13"/>
    <mergeCell ref="X12:X13"/>
    <mergeCell ref="L12:L13"/>
    <mergeCell ref="G12:G13"/>
    <mergeCell ref="M12:M13"/>
    <mergeCell ref="A11:X11"/>
    <mergeCell ref="N8:P8"/>
    <mergeCell ref="A5:G8"/>
    <mergeCell ref="W12:W13"/>
  </mergeCells>
  <conditionalFormatting sqref="E16:F16">
    <cfRule type="duplicateValues" priority="1" dxfId="0"/>
  </conditionalFormatting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116"/>
  <sheetViews>
    <sheetView topLeftCell="I137" zoomScaleNormal="10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customWidth="1" style="267" min="2" max="2"/>
    <col width="60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customWidth="1" style="277" min="9" max="11"/>
    <col width="23.44140625" customWidth="1" style="277" min="12" max="12"/>
    <col width="17.109375" customWidth="1" style="277" min="13" max="13"/>
    <col width="24.33203125" customWidth="1" style="277" min="14" max="14"/>
    <col width="18" customWidth="1" style="267" min="15" max="15"/>
    <col width="21.88671875" customWidth="1" style="267" min="16" max="17"/>
    <col width="27.6640625" customWidth="1" style="267" min="18" max="18"/>
    <col width="19.109375" customWidth="1" style="267" min="19" max="19"/>
    <col width="24.33203125" customWidth="1" style="267" min="20" max="20"/>
    <col width="23.109375" customWidth="1" style="267" min="21" max="21"/>
    <col width="21.109375" customWidth="1" style="64" min="22" max="22"/>
    <col width="18" customWidth="1" style="5" min="23" max="23"/>
    <col width="21" bestFit="1" customWidth="1" style="5" min="24" max="24"/>
    <col width="47.6640625" customWidth="1" style="5" min="25" max="25"/>
    <col width="18" customWidth="1" style="5" min="26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  <c r="X12" s="270" t="inlineStr">
        <is>
          <t>FALLO</t>
        </is>
      </c>
      <c r="Y12" s="272" t="inlineStr">
        <is>
          <t>OBSERVACIONES</t>
        </is>
      </c>
    </row>
    <row r="13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  <c r="X13" s="271" t="n"/>
      <c r="Y13" s="271" t="n"/>
    </row>
    <row r="14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>
        <f>I14</f>
        <v/>
      </c>
      <c r="K14" s="291">
        <f>J14</f>
        <v/>
      </c>
      <c r="L14" s="291">
        <f>SUM(I14:K14)</f>
        <v/>
      </c>
      <c r="M14" s="291">
        <f>L14*0.16</f>
        <v/>
      </c>
      <c r="N14" s="291">
        <f>SUM(L14:M14)</f>
        <v/>
      </c>
      <c r="O14" s="296" t="n">
        <v>150000</v>
      </c>
      <c r="P14" s="296">
        <f>G14*O14</f>
        <v/>
      </c>
      <c r="Q14" s="296">
        <f>H14*O14</f>
        <v/>
      </c>
      <c r="R14" s="296">
        <f>SUM(P14:Q14)</f>
        <v/>
      </c>
      <c r="S14" s="296">
        <f>R14*$S$9</f>
        <v/>
      </c>
      <c r="T14" s="296">
        <f>SUM(R14:S14)</f>
        <v/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>
        <f>I15</f>
        <v/>
      </c>
      <c r="K15" s="291">
        <f>J15</f>
        <v/>
      </c>
      <c r="L15" s="291">
        <f>SUM(I15:K15)</f>
        <v/>
      </c>
      <c r="M15" s="291">
        <f>L15*0.16</f>
        <v/>
      </c>
      <c r="N15" s="291">
        <f>SUM(L15:M15)</f>
        <v/>
      </c>
      <c r="O15" s="296" t="n">
        <v>180000</v>
      </c>
      <c r="P15" s="296">
        <f>G15*O15</f>
        <v/>
      </c>
      <c r="Q15" s="296">
        <f>H15*O15</f>
        <v/>
      </c>
      <c r="R15" s="296">
        <f>SUM(P15:Q15)</f>
        <v/>
      </c>
      <c r="S15" s="296">
        <f>R15*$S$9</f>
        <v/>
      </c>
      <c r="T15" s="296">
        <f>SUM(R15:S15)</f>
        <v/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>
        <f>I16</f>
        <v/>
      </c>
      <c r="K16" s="291">
        <f>J16</f>
        <v/>
      </c>
      <c r="L16" s="291">
        <f>SUM(I16:K16)</f>
        <v/>
      </c>
      <c r="M16" s="291">
        <f>L16*0.16</f>
        <v/>
      </c>
      <c r="N16" s="291">
        <f>SUM(L16:M16)</f>
        <v/>
      </c>
      <c r="O16" s="296" t="n">
        <v>225000</v>
      </c>
      <c r="P16" s="296">
        <f>G16*O16</f>
        <v/>
      </c>
      <c r="Q16" s="296">
        <f>H16*O16</f>
        <v/>
      </c>
      <c r="R16" s="296">
        <f>SUM(P16:Q16)</f>
        <v/>
      </c>
      <c r="S16" s="296">
        <f>R16*$S$9</f>
        <v/>
      </c>
      <c r="T16" s="296">
        <f>SUM(R16:S16)</f>
        <v/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>
        <f>I17</f>
        <v/>
      </c>
      <c r="K17" s="291">
        <f>J17</f>
        <v/>
      </c>
      <c r="L17" s="291">
        <f>SUM(I17:K17)</f>
        <v/>
      </c>
      <c r="M17" s="291">
        <f>L17*0.16</f>
        <v/>
      </c>
      <c r="N17" s="291">
        <f>SUM(L17:M17)</f>
        <v/>
      </c>
      <c r="O17" s="296" t="n">
        <v>160000</v>
      </c>
      <c r="P17" s="296">
        <f>G17*O17</f>
        <v/>
      </c>
      <c r="Q17" s="296">
        <f>H17*O17</f>
        <v/>
      </c>
      <c r="R17" s="296">
        <f>SUM(P17:Q17)</f>
        <v/>
      </c>
      <c r="S17" s="296">
        <f>R17*$S$9</f>
        <v/>
      </c>
      <c r="T17" s="296">
        <f>SUM(R17:S17)</f>
        <v/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>
        <f>I18</f>
        <v/>
      </c>
      <c r="K18" s="291">
        <f>J18</f>
        <v/>
      </c>
      <c r="L18" s="291">
        <f>SUM(I18:K18)</f>
        <v/>
      </c>
      <c r="M18" s="291">
        <f>L18*0.16</f>
        <v/>
      </c>
      <c r="N18" s="291">
        <f>SUM(L18:M18)</f>
        <v/>
      </c>
      <c r="O18" s="296" t="n">
        <v>160000</v>
      </c>
      <c r="P18" s="296">
        <f>G18*O18</f>
        <v/>
      </c>
      <c r="Q18" s="296">
        <f>H18*O18</f>
        <v/>
      </c>
      <c r="R18" s="296">
        <f>SUM(P18:Q18)</f>
        <v/>
      </c>
      <c r="S18" s="296">
        <f>R18*$S$9</f>
        <v/>
      </c>
      <c r="T18" s="296">
        <f>SUM(R18:S18)</f>
        <v/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>
        <f>I19</f>
        <v/>
      </c>
      <c r="K19" s="291">
        <f>J19</f>
        <v/>
      </c>
      <c r="L19" s="291">
        <f>SUM(I19:K19)</f>
        <v/>
      </c>
      <c r="M19" s="291">
        <f>L19*0.16</f>
        <v/>
      </c>
      <c r="N19" s="291">
        <f>SUM(L19:M19)</f>
        <v/>
      </c>
      <c r="O19" s="296" t="n">
        <v>160000</v>
      </c>
      <c r="P19" s="296">
        <f>G19*O19</f>
        <v/>
      </c>
      <c r="Q19" s="296">
        <f>H19*O19</f>
        <v/>
      </c>
      <c r="R19" s="296">
        <f>SUM(P19:Q19)</f>
        <v/>
      </c>
      <c r="S19" s="296">
        <f>R19*$S$9</f>
        <v/>
      </c>
      <c r="T19" s="296">
        <f>SUM(R19:S19)</f>
        <v/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>
        <f>I20</f>
        <v/>
      </c>
      <c r="K20" s="291">
        <f>J20</f>
        <v/>
      </c>
      <c r="L20" s="291">
        <f>SUM(I20:K20)</f>
        <v/>
      </c>
      <c r="M20" s="291">
        <f>L20*0.16</f>
        <v/>
      </c>
      <c r="N20" s="291">
        <f>SUM(L20:M20)</f>
        <v/>
      </c>
      <c r="O20" s="296" t="n">
        <v>160000</v>
      </c>
      <c r="P20" s="296">
        <f>G20*O20</f>
        <v/>
      </c>
      <c r="Q20" s="296">
        <f>H20*O20</f>
        <v/>
      </c>
      <c r="R20" s="296">
        <f>SUM(P20:Q20)</f>
        <v/>
      </c>
      <c r="S20" s="296">
        <f>R20*$S$9</f>
        <v/>
      </c>
      <c r="T20" s="296">
        <f>SUM(R20:S20)</f>
        <v/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>
        <f>I21</f>
        <v/>
      </c>
      <c r="K21" s="291">
        <f>J21</f>
        <v/>
      </c>
      <c r="L21" s="291">
        <f>SUM(I21:K21)</f>
        <v/>
      </c>
      <c r="M21" s="291">
        <f>L21*0.16</f>
        <v/>
      </c>
      <c r="N21" s="291">
        <f>SUM(L21:M21)</f>
        <v/>
      </c>
      <c r="O21" s="296" t="n">
        <v>350000</v>
      </c>
      <c r="P21" s="296">
        <f>G21*O21</f>
        <v/>
      </c>
      <c r="Q21" s="296">
        <f>H21*O21</f>
        <v/>
      </c>
      <c r="R21" s="296">
        <f>SUM(P21:Q21)</f>
        <v/>
      </c>
      <c r="S21" s="296">
        <f>R21*$S$9</f>
        <v/>
      </c>
      <c r="T21" s="296">
        <f>SUM(R21:S21)</f>
        <v/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>
        <f>I22</f>
        <v/>
      </c>
      <c r="K22" s="291">
        <f>J22</f>
        <v/>
      </c>
      <c r="L22" s="291">
        <f>SUM(I22:K22)</f>
        <v/>
      </c>
      <c r="M22" s="291">
        <f>L22*0.16</f>
        <v/>
      </c>
      <c r="N22" s="291">
        <f>SUM(L22:M22)</f>
        <v/>
      </c>
      <c r="O22" s="296" t="n">
        <v>350000</v>
      </c>
      <c r="P22" s="296">
        <f>G22*O22</f>
        <v/>
      </c>
      <c r="Q22" s="296">
        <f>H22*O22</f>
        <v/>
      </c>
      <c r="R22" s="296">
        <f>SUM(P22:Q22)</f>
        <v/>
      </c>
      <c r="S22" s="296">
        <f>R22*$S$9</f>
        <v/>
      </c>
      <c r="T22" s="296">
        <f>SUM(R22:S22)</f>
        <v/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>
        <f>I23</f>
        <v/>
      </c>
      <c r="K23" s="291">
        <f>J23</f>
        <v/>
      </c>
      <c r="L23" s="291">
        <f>SUM(I23:K23)</f>
        <v/>
      </c>
      <c r="M23" s="291">
        <f>L23*0.16</f>
        <v/>
      </c>
      <c r="N23" s="291">
        <f>SUM(L23:M23)</f>
        <v/>
      </c>
      <c r="O23" s="296" t="n">
        <v>350000</v>
      </c>
      <c r="P23" s="296">
        <f>G23*O23</f>
        <v/>
      </c>
      <c r="Q23" s="296">
        <f>H23*O23</f>
        <v/>
      </c>
      <c r="R23" s="296">
        <f>SUM(P23:Q23)</f>
        <v/>
      </c>
      <c r="S23" s="296">
        <f>R23*$S$9</f>
        <v/>
      </c>
      <c r="T23" s="296">
        <f>SUM(R23:S23)</f>
        <v/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>
        <f>I24</f>
        <v/>
      </c>
      <c r="K24" s="291">
        <f>J24</f>
        <v/>
      </c>
      <c r="L24" s="291">
        <f>SUM(I24:K24)</f>
        <v/>
      </c>
      <c r="M24" s="291">
        <f>L24*0.16</f>
        <v/>
      </c>
      <c r="N24" s="291">
        <f>SUM(L24:M24)</f>
        <v/>
      </c>
      <c r="O24" s="296" t="n">
        <v>500000</v>
      </c>
      <c r="P24" s="296">
        <f>G24*O24</f>
        <v/>
      </c>
      <c r="Q24" s="296">
        <f>H24*O24</f>
        <v/>
      </c>
      <c r="R24" s="296">
        <f>SUM(P24:Q24)</f>
        <v/>
      </c>
      <c r="S24" s="296">
        <f>R24*$S$9</f>
        <v/>
      </c>
      <c r="T24" s="296">
        <f>SUM(R24:S24)</f>
        <v/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>
        <f>I25</f>
        <v/>
      </c>
      <c r="K25" s="291">
        <f>J25</f>
        <v/>
      </c>
      <c r="L25" s="291">
        <f>SUM(I25:K25)</f>
        <v/>
      </c>
      <c r="M25" s="291">
        <f>L25*0.16</f>
        <v/>
      </c>
      <c r="N25" s="291">
        <f>SUM(L25:M25)</f>
        <v/>
      </c>
      <c r="O25" s="296" t="n">
        <v>420000</v>
      </c>
      <c r="P25" s="296">
        <f>G25*O25</f>
        <v/>
      </c>
      <c r="Q25" s="296">
        <f>H25*O25</f>
        <v/>
      </c>
      <c r="R25" s="296">
        <f>SUM(P25:Q25)</f>
        <v/>
      </c>
      <c r="S25" s="296">
        <f>R25*$S$9</f>
        <v/>
      </c>
      <c r="T25" s="296">
        <f>SUM(R25:S25)</f>
        <v/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>
        <f>I26</f>
        <v/>
      </c>
      <c r="K26" s="291">
        <f>J26</f>
        <v/>
      </c>
      <c r="L26" s="291">
        <f>SUM(I26:K26)</f>
        <v/>
      </c>
      <c r="M26" s="291">
        <f>L26*0.16</f>
        <v/>
      </c>
      <c r="N26" s="291">
        <f>SUM(L26:M26)</f>
        <v/>
      </c>
      <c r="O26" s="296" t="n">
        <v>420000</v>
      </c>
      <c r="P26" s="296">
        <f>G26*O26</f>
        <v/>
      </c>
      <c r="Q26" s="296">
        <f>H26*O26</f>
        <v/>
      </c>
      <c r="R26" s="296">
        <f>SUM(P26:Q26)</f>
        <v/>
      </c>
      <c r="S26" s="296">
        <f>R26*$S$9</f>
        <v/>
      </c>
      <c r="T26" s="296">
        <f>SUM(R26:S26)</f>
        <v/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>
        <f>I27</f>
        <v/>
      </c>
      <c r="K27" s="291">
        <f>J27</f>
        <v/>
      </c>
      <c r="L27" s="291">
        <f>SUM(I27:K27)</f>
        <v/>
      </c>
      <c r="M27" s="291">
        <f>L27*0.16</f>
        <v/>
      </c>
      <c r="N27" s="291">
        <f>SUM(L27:M27)</f>
        <v/>
      </c>
      <c r="O27" s="296" t="n">
        <v>150000</v>
      </c>
      <c r="P27" s="296">
        <f>G27*O27</f>
        <v/>
      </c>
      <c r="Q27" s="296">
        <f>H27*O27</f>
        <v/>
      </c>
      <c r="R27" s="296">
        <f>SUM(P27:Q27)</f>
        <v/>
      </c>
      <c r="S27" s="296">
        <f>R27*$S$9</f>
        <v/>
      </c>
      <c r="T27" s="296">
        <f>SUM(R27:S27)</f>
        <v/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>
        <f>I28</f>
        <v/>
      </c>
      <c r="K28" s="291">
        <f>J28</f>
        <v/>
      </c>
      <c r="L28" s="291">
        <f>SUM(I28:K28)</f>
        <v/>
      </c>
      <c r="M28" s="291">
        <f>L28*0.16</f>
        <v/>
      </c>
      <c r="N28" s="291">
        <f>SUM(L28:M28)</f>
        <v/>
      </c>
      <c r="O28" s="296" t="n">
        <v>150000</v>
      </c>
      <c r="P28" s="296">
        <f>G28*O28</f>
        <v/>
      </c>
      <c r="Q28" s="296">
        <f>H28*O28</f>
        <v/>
      </c>
      <c r="R28" s="296">
        <f>SUM(P28:Q28)</f>
        <v/>
      </c>
      <c r="S28" s="296">
        <f>R28*$S$9</f>
        <v/>
      </c>
      <c r="T28" s="296">
        <f>SUM(R28:S28)</f>
        <v/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t="28.2" customFormat="1" customHeight="1" s="29">
      <c r="A29" s="92" t="n">
        <v>31</v>
      </c>
      <c r="B29" s="68" t="inlineStr">
        <is>
          <t>CDMX</t>
        </is>
      </c>
      <c r="C29" s="72" t="inlineStr">
        <is>
          <t>Ultrasonido, marca Quantel Medical, modelo Absolu</t>
        </is>
      </c>
      <c r="D29" s="68" t="inlineStr">
        <is>
          <t>1131</t>
        </is>
      </c>
      <c r="E29" s="69" t="inlineStr">
        <is>
          <t>H.M.E.O. Constituyentes</t>
        </is>
      </c>
      <c r="F29" s="95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60000</v>
      </c>
      <c r="J29" s="291">
        <f>I29</f>
        <v/>
      </c>
      <c r="K29" s="291">
        <f>J29</f>
        <v/>
      </c>
      <c r="L29" s="291">
        <f>SUM(I29:K29)</f>
        <v/>
      </c>
      <c r="M29" s="291">
        <f>L29*0.16</f>
        <v/>
      </c>
      <c r="N29" s="291">
        <f>SUM(L29:M29)</f>
        <v/>
      </c>
      <c r="O29" s="296" t="n">
        <v>200000</v>
      </c>
      <c r="P29" s="296">
        <f>G29*O29</f>
        <v/>
      </c>
      <c r="Q29" s="296">
        <f>H29*O29</f>
        <v/>
      </c>
      <c r="R29" s="296">
        <f>SUM(P29:Q29)</f>
        <v/>
      </c>
      <c r="S29" s="296">
        <f>R29*$S$9</f>
        <v/>
      </c>
      <c r="T29" s="296">
        <f>SUM(R29:S29)</f>
        <v/>
      </c>
      <c r="U29" s="78" t="inlineStr">
        <is>
          <t>OFTALMO</t>
        </is>
      </c>
      <c r="V29" s="82" t="inlineStr">
        <is>
          <t>ARFAMEX</t>
        </is>
      </c>
      <c r="W29" s="91" t="inlineStr">
        <is>
          <t>NO ADJUDICADO</t>
        </is>
      </c>
      <c r="X29" s="29" t="inlineStr">
        <is>
          <t>PROYECTADO</t>
        </is>
      </c>
    </row>
    <row r="30" ht="28.2" customFormat="1" customHeight="1" s="29">
      <c r="A30" s="86" t="n">
        <v>32</v>
      </c>
      <c r="B30" s="68" t="inlineStr">
        <is>
          <t>CDMX</t>
        </is>
      </c>
      <c r="C30" s="72" t="inlineStr">
        <is>
          <t>Sistema de fotocoagulación láser con estación de trabajo, marca OD-OS, modelo Navilas</t>
        </is>
      </c>
      <c r="D30" s="73" t="inlineStr">
        <is>
          <t>158000-3215</t>
        </is>
      </c>
      <c r="E30" s="72" t="inlineStr">
        <is>
          <t>H.M.E.O. Constituyentes</t>
        </is>
      </c>
      <c r="F30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176000</v>
      </c>
      <c r="J30" s="291">
        <f>I30</f>
        <v/>
      </c>
      <c r="K30" s="291">
        <f>J30</f>
        <v/>
      </c>
      <c r="L30" s="291">
        <f>SUM(I30:K30)</f>
        <v/>
      </c>
      <c r="M30" s="291">
        <f>L30*0.16</f>
        <v/>
      </c>
      <c r="N30" s="291">
        <f>SUM(L30:M30)</f>
        <v/>
      </c>
      <c r="O30" s="296" t="n">
        <v>330000</v>
      </c>
      <c r="P30" s="296">
        <f>G30*O30</f>
        <v/>
      </c>
      <c r="Q30" s="296">
        <f>H30*O30</f>
        <v/>
      </c>
      <c r="R30" s="296">
        <f>SUM(P30:Q30)</f>
        <v/>
      </c>
      <c r="S30" s="296">
        <f>R30*$S$9</f>
        <v/>
      </c>
      <c r="T30" s="296">
        <f>SUM(R30:S30)</f>
        <v/>
      </c>
      <c r="U30" s="78" t="inlineStr">
        <is>
          <t>OFTALMO</t>
        </is>
      </c>
      <c r="V30" s="82" t="inlineStr">
        <is>
          <t>FARBAC</t>
        </is>
      </c>
      <c r="W30" s="83" t="inlineStr">
        <is>
          <t>ADJUDICADO</t>
        </is>
      </c>
      <c r="X30" s="29" t="inlineStr">
        <is>
          <t>PROYECTADO</t>
        </is>
      </c>
    </row>
    <row r="31" ht="28.2" customFormat="1" customHeight="1" s="29">
      <c r="A31" s="86" t="n">
        <v>33</v>
      </c>
      <c r="B31" s="68" t="inlineStr">
        <is>
          <t>CDMX</t>
        </is>
      </c>
      <c r="C31" s="72" t="inlineStr">
        <is>
          <t>Cámara de campo ultra amplio, marca Natus, modelo RetCam Envision</t>
        </is>
      </c>
      <c r="D31" s="73" t="inlineStr">
        <is>
          <t>RE-0276</t>
        </is>
      </c>
      <c r="E31" s="72" t="inlineStr">
        <is>
          <t>H.M.E.O. Constituyentes</t>
        </is>
      </c>
      <c r="F31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75000</v>
      </c>
      <c r="J31" s="291">
        <f>I31</f>
        <v/>
      </c>
      <c r="K31" s="291">
        <f>J31</f>
        <v/>
      </c>
      <c r="L31" s="291">
        <f>SUM(I31:K31)</f>
        <v/>
      </c>
      <c r="M31" s="291">
        <f>L31*0.16</f>
        <v/>
      </c>
      <c r="N31" s="291">
        <f>SUM(L31:M31)</f>
        <v/>
      </c>
      <c r="O31" s="296" t="n">
        <v>145000</v>
      </c>
      <c r="P31" s="296">
        <f>G31*O31</f>
        <v/>
      </c>
      <c r="Q31" s="296">
        <f>H31*O31</f>
        <v/>
      </c>
      <c r="R31" s="296">
        <f>SUM(P31:Q31)</f>
        <v/>
      </c>
      <c r="S31" s="296">
        <f>R31*$S$9</f>
        <v/>
      </c>
      <c r="T31" s="296">
        <f>SUM(R31:S31)</f>
        <v/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t="28.2" customFormat="1" customHeight="1" s="29">
      <c r="A32" s="86" t="n">
        <v>34</v>
      </c>
      <c r="B32" s="68" t="inlineStr">
        <is>
          <t>CDMX</t>
        </is>
      </c>
      <c r="C32" s="72" t="inlineStr">
        <is>
          <t>Láser, marca Quantel Medical, modelo Vitra 810</t>
        </is>
      </c>
      <c r="D32" s="73" t="inlineStr">
        <is>
          <t>574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>
        <f>I32</f>
        <v/>
      </c>
      <c r="K32" s="291">
        <f>J32</f>
        <v/>
      </c>
      <c r="L32" s="291">
        <f>SUM(I32:K32)</f>
        <v/>
      </c>
      <c r="M32" s="291">
        <f>L32*0.16</f>
        <v/>
      </c>
      <c r="N32" s="291">
        <f>SUM(L32:M32)</f>
        <v/>
      </c>
      <c r="O32" s="296" t="n">
        <v>175000</v>
      </c>
      <c r="P32" s="296">
        <f>G32*O32</f>
        <v/>
      </c>
      <c r="Q32" s="296">
        <f>H32*O32</f>
        <v/>
      </c>
      <c r="R32" s="296">
        <f>SUM(P32:Q32)</f>
        <v/>
      </c>
      <c r="S32" s="296">
        <f>R32*$S$9</f>
        <v/>
      </c>
      <c r="T32" s="296">
        <f>SUM(R32:S32)</f>
        <v/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t="28.2" customFormat="1" customHeight="1" s="29">
      <c r="A33" s="86" t="n">
        <v>35</v>
      </c>
      <c r="B33" s="68" t="inlineStr">
        <is>
          <t>CDMX</t>
        </is>
      </c>
      <c r="C33" s="72" t="inlineStr">
        <is>
          <t>Láser, marca Quantel Medical, modelo Vitra 811</t>
        </is>
      </c>
      <c r="D33" s="73" t="inlineStr">
        <is>
          <t>575</t>
        </is>
      </c>
      <c r="E33" s="72" t="inlineStr">
        <is>
          <t>H.M.E.O. Constituyentes</t>
        </is>
      </c>
      <c r="F33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79" t="n">
        <v>2</v>
      </c>
      <c r="I33" s="291" t="n">
        <v>60000</v>
      </c>
      <c r="J33" s="291">
        <f>I33</f>
        <v/>
      </c>
      <c r="K33" s="291">
        <f>J33</f>
        <v/>
      </c>
      <c r="L33" s="291">
        <f>SUM(I33:K33)</f>
        <v/>
      </c>
      <c r="M33" s="291">
        <f>L33*0.16</f>
        <v/>
      </c>
      <c r="N33" s="291">
        <f>SUM(L33:M33)</f>
        <v/>
      </c>
      <c r="O33" s="296" t="n">
        <v>175000</v>
      </c>
      <c r="P33" s="296">
        <f>G33*O33</f>
        <v/>
      </c>
      <c r="Q33" s="296">
        <f>H33*O33</f>
        <v/>
      </c>
      <c r="R33" s="296">
        <f>SUM(P33:Q33)</f>
        <v/>
      </c>
      <c r="S33" s="296">
        <f>R33*$S$9</f>
        <v/>
      </c>
      <c r="T33" s="296">
        <f>SUM(R33:S33)</f>
        <v/>
      </c>
      <c r="U33" s="78" t="inlineStr">
        <is>
          <t>OFTALMO</t>
        </is>
      </c>
      <c r="V33" s="82" t="inlineStr">
        <is>
          <t>ARFAMEX</t>
        </is>
      </c>
      <c r="W33" s="83" t="inlineStr">
        <is>
          <t>ADJUDICADO</t>
        </is>
      </c>
      <c r="X33" s="29" t="inlineStr">
        <is>
          <t>PROYECTADO</t>
        </is>
      </c>
    </row>
    <row r="34" ht="28.2" customFormat="1" customHeight="1" s="29">
      <c r="A34" s="92" t="n">
        <v>36</v>
      </c>
      <c r="B34" s="68" t="inlineStr">
        <is>
          <t>CDMX</t>
        </is>
      </c>
      <c r="C34" s="72" t="inlineStr">
        <is>
          <t>Ultrasonido terapéutico, marca Eye Tech Care, modelo UCP Flex</t>
        </is>
      </c>
      <c r="D34" s="73" t="inlineStr">
        <is>
          <t>19/015</t>
        </is>
      </c>
      <c r="E34" s="72" t="inlineStr">
        <is>
          <t>H.M.E.O. Constituyentes</t>
        </is>
      </c>
      <c r="F34" s="95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79" t="n">
        <v>2</v>
      </c>
      <c r="I34" s="291" t="n">
        <v>12000</v>
      </c>
      <c r="J34" s="291">
        <f>I34</f>
        <v/>
      </c>
      <c r="K34" s="291">
        <f>J34</f>
        <v/>
      </c>
      <c r="L34" s="291">
        <f>SUM(I34:K34)</f>
        <v/>
      </c>
      <c r="M34" s="291">
        <f>L34*0.16</f>
        <v/>
      </c>
      <c r="N34" s="291">
        <f>SUM(L34:M34)</f>
        <v/>
      </c>
      <c r="O34" s="296" t="n">
        <v>220000</v>
      </c>
      <c r="P34" s="296">
        <f>G34*O34</f>
        <v/>
      </c>
      <c r="Q34" s="296">
        <f>H34*O34</f>
        <v/>
      </c>
      <c r="R34" s="296">
        <f>SUM(P34:Q34)</f>
        <v/>
      </c>
      <c r="S34" s="296">
        <f>R34*$S$9</f>
        <v/>
      </c>
      <c r="T34" s="296">
        <f>SUM(R34:S34)</f>
        <v/>
      </c>
      <c r="U34" s="78" t="inlineStr">
        <is>
          <t>OFTALMO</t>
        </is>
      </c>
      <c r="V34" s="82" t="inlineStr">
        <is>
          <t>EYCCO</t>
        </is>
      </c>
      <c r="W34" s="91" t="inlineStr">
        <is>
          <t>NO ADJUDICADO</t>
        </is>
      </c>
      <c r="X34" s="29" t="inlineStr">
        <is>
          <t>PROYECTADO</t>
        </is>
      </c>
    </row>
    <row r="35" ht="28.2" customFormat="1" customHeight="1" s="29">
      <c r="A35" s="92" t="n">
        <v>37</v>
      </c>
      <c r="B35" s="68" t="inlineStr">
        <is>
          <t>CDMX</t>
        </is>
      </c>
      <c r="C35" s="72" t="inlineStr">
        <is>
          <t>Ultrasonido terapéutico, marca Eye Tech Care, modelo UCP Flex</t>
        </is>
      </c>
      <c r="D35" s="68" t="inlineStr">
        <is>
          <t>20/016</t>
        </is>
      </c>
      <c r="E35" s="69" t="inlineStr">
        <is>
          <t>H.M.E.O. Constituyentes</t>
        </is>
      </c>
      <c r="F35" s="95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79" t="n">
        <v>2</v>
      </c>
      <c r="I35" s="291" t="n">
        <v>12000</v>
      </c>
      <c r="J35" s="291">
        <f>I35</f>
        <v/>
      </c>
      <c r="K35" s="291">
        <f>J35</f>
        <v/>
      </c>
      <c r="L35" s="291">
        <f>SUM(I35:K35)</f>
        <v/>
      </c>
      <c r="M35" s="291">
        <f>L35*0.16</f>
        <v/>
      </c>
      <c r="N35" s="291">
        <f>SUM(L35:M35)</f>
        <v/>
      </c>
      <c r="O35" s="296" t="n">
        <v>220000</v>
      </c>
      <c r="P35" s="296">
        <f>G35*O35</f>
        <v/>
      </c>
      <c r="Q35" s="296">
        <f>H35*O35</f>
        <v/>
      </c>
      <c r="R35" s="296">
        <f>SUM(P35:Q35)</f>
        <v/>
      </c>
      <c r="S35" s="296">
        <f>R35*$S$9</f>
        <v/>
      </c>
      <c r="T35" s="296">
        <f>SUM(R35:S35)</f>
        <v/>
      </c>
      <c r="U35" s="78" t="inlineStr">
        <is>
          <t>OFTALMO</t>
        </is>
      </c>
      <c r="V35" s="82" t="inlineStr">
        <is>
          <t>EYCCO</t>
        </is>
      </c>
      <c r="W35" s="91" t="inlineStr">
        <is>
          <t>NO ADJUDICADO</t>
        </is>
      </c>
      <c r="X35" s="29" t="inlineStr">
        <is>
          <t>PROYECTADO</t>
        </is>
      </c>
    </row>
    <row r="36" ht="28.2" customFormat="1" customHeight="1" s="29">
      <c r="A36" s="86" t="n">
        <v>38</v>
      </c>
      <c r="B36" s="68" t="inlineStr">
        <is>
          <t>CDMX</t>
        </is>
      </c>
      <c r="C36" s="72" t="inlineStr">
        <is>
          <t>Retinógrafo portátil de campo amplio para neonatos, marca Visunex Medical Systems, modelo PanoCam</t>
        </is>
      </c>
      <c r="D36" s="68" t="inlineStr">
        <is>
          <t>A237402</t>
        </is>
      </c>
      <c r="E36" s="69" t="inlineStr">
        <is>
          <t>H.M.E.O. Constituyentes</t>
        </is>
      </c>
      <c r="F36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75000</v>
      </c>
      <c r="J36" s="291">
        <f>I36</f>
        <v/>
      </c>
      <c r="K36" s="291">
        <f>J36</f>
        <v/>
      </c>
      <c r="L36" s="291">
        <f>SUM(I36:K36)</f>
        <v/>
      </c>
      <c r="M36" s="291">
        <f>L36*0.16</f>
        <v/>
      </c>
      <c r="N36" s="291">
        <f>SUM(L36:M36)</f>
        <v/>
      </c>
      <c r="O36" s="296" t="n">
        <v>140000</v>
      </c>
      <c r="P36" s="296">
        <f>G36*O36</f>
        <v/>
      </c>
      <c r="Q36" s="296">
        <f>H36*O36</f>
        <v/>
      </c>
      <c r="R36" s="296">
        <f>SUM(P36:Q36)</f>
        <v/>
      </c>
      <c r="S36" s="296">
        <f>R36*$S$9</f>
        <v/>
      </c>
      <c r="T36" s="296">
        <f>SUM(R36:S36)</f>
        <v/>
      </c>
      <c r="U36" s="78" t="inlineStr">
        <is>
          <t>OFTALMO</t>
        </is>
      </c>
      <c r="V36" s="82" t="inlineStr">
        <is>
          <t>MD</t>
        </is>
      </c>
      <c r="W36" s="83" t="inlineStr">
        <is>
          <t>ADJUDICADO</t>
        </is>
      </c>
      <c r="X36" s="29" t="inlineStr">
        <is>
          <t>PROYECTADO</t>
        </is>
      </c>
    </row>
    <row r="37" ht="28.2" customFormat="1" customHeight="1" s="29">
      <c r="A37" s="86" t="n">
        <v>39</v>
      </c>
      <c r="B37" s="68" t="inlineStr">
        <is>
          <t>CDMX</t>
        </is>
      </c>
      <c r="C37" s="72" t="inlineStr">
        <is>
          <t>Retinógrafo portátil de campo amplio para neonatos, marca Visunex Medical Systems, modelo PanoCam</t>
        </is>
      </c>
      <c r="D37" s="73" t="inlineStr">
        <is>
          <t>A237403</t>
        </is>
      </c>
      <c r="E37" s="72" t="inlineStr">
        <is>
          <t>H.M.E.O. Constituyentes</t>
        </is>
      </c>
      <c r="F37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75000</v>
      </c>
      <c r="J37" s="291">
        <f>I37</f>
        <v/>
      </c>
      <c r="K37" s="291">
        <f>J37</f>
        <v/>
      </c>
      <c r="L37" s="291">
        <f>SUM(I37:K37)</f>
        <v/>
      </c>
      <c r="M37" s="291">
        <f>L37*0.16</f>
        <v/>
      </c>
      <c r="N37" s="291">
        <f>SUM(L37:M37)</f>
        <v/>
      </c>
      <c r="O37" s="296" t="n">
        <v>140000</v>
      </c>
      <c r="P37" s="296">
        <f>G37*O37</f>
        <v/>
      </c>
      <c r="Q37" s="296">
        <f>H37*O37</f>
        <v/>
      </c>
      <c r="R37" s="296">
        <f>SUM(P37:Q37)</f>
        <v/>
      </c>
      <c r="S37" s="296">
        <f>R37*$S$9</f>
        <v/>
      </c>
      <c r="T37" s="296">
        <f>SUM(R37:S37)</f>
        <v/>
      </c>
      <c r="U37" s="78" t="inlineStr">
        <is>
          <t>OFTALMO</t>
        </is>
      </c>
      <c r="V37" s="82" t="inlineStr">
        <is>
          <t>MD</t>
        </is>
      </c>
      <c r="W37" s="83" t="inlineStr">
        <is>
          <t>ADJUDICADO</t>
        </is>
      </c>
      <c r="X37" s="29" t="inlineStr">
        <is>
          <t>PROYECTADO</t>
        </is>
      </c>
    </row>
    <row r="38" ht="28.2" customFormat="1" customHeight="1" s="29">
      <c r="A38" s="86" t="n">
        <v>40</v>
      </c>
      <c r="B38" s="68" t="inlineStr">
        <is>
          <t>CDMX</t>
        </is>
      </c>
      <c r="C38" s="72" t="inlineStr">
        <is>
          <t>Retinógrafo portátil de campo amplio para neonatos, marca Visunex Medical Systems, modelo PanoCam</t>
        </is>
      </c>
      <c r="D38" s="73" t="inlineStr">
        <is>
          <t>A237401</t>
        </is>
      </c>
      <c r="E38" s="72" t="inlineStr">
        <is>
          <t>H.M.E.O. Constituyentes</t>
        </is>
      </c>
      <c r="F38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80" t="n">
        <v>2</v>
      </c>
      <c r="I38" s="291" t="n">
        <v>75000</v>
      </c>
      <c r="J38" s="291">
        <f>I38</f>
        <v/>
      </c>
      <c r="K38" s="291">
        <f>J38</f>
        <v/>
      </c>
      <c r="L38" s="291">
        <f>SUM(I38:K38)</f>
        <v/>
      </c>
      <c r="M38" s="291">
        <f>L38*0.16</f>
        <v/>
      </c>
      <c r="N38" s="291">
        <f>SUM(L38:M38)</f>
        <v/>
      </c>
      <c r="O38" s="296" t="n">
        <v>140000</v>
      </c>
      <c r="P38" s="296">
        <f>G38*O38</f>
        <v/>
      </c>
      <c r="Q38" s="296">
        <f>H38*O38</f>
        <v/>
      </c>
      <c r="R38" s="296">
        <f>SUM(P38:Q38)</f>
        <v/>
      </c>
      <c r="S38" s="296">
        <f>R38*$S$9</f>
        <v/>
      </c>
      <c r="T38" s="296">
        <f>SUM(R38:S38)</f>
        <v/>
      </c>
      <c r="U38" s="78" t="inlineStr">
        <is>
          <t>OFTALMO</t>
        </is>
      </c>
      <c r="V38" s="82" t="inlineStr">
        <is>
          <t>MD</t>
        </is>
      </c>
      <c r="W38" s="83" t="inlineStr">
        <is>
          <t>ADJUDICADO</t>
        </is>
      </c>
      <c r="X38" s="29" t="inlineStr">
        <is>
          <t>PROYECTADO</t>
        </is>
      </c>
    </row>
    <row r="39" ht="28.2" customFormat="1" customHeight="1" s="29">
      <c r="A39" s="86" t="n">
        <v>41</v>
      </c>
      <c r="B39" s="68" t="inlineStr">
        <is>
          <t>CDMX</t>
        </is>
      </c>
      <c r="C39" s="72" t="inlineStr">
        <is>
          <t>Microscopio especular, marca TOMEY, modelo EM-4000</t>
        </is>
      </c>
      <c r="D39" s="73" t="inlineStr">
        <is>
          <t>354304</t>
        </is>
      </c>
      <c r="E39" s="72" t="inlineStr">
        <is>
          <t>H.M.E.O. Constituyentes</t>
        </is>
      </c>
      <c r="F39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80" t="n">
        <v>2</v>
      </c>
      <c r="I39" s="291" t="n">
        <v>55000</v>
      </c>
      <c r="J39" s="291">
        <f>I39</f>
        <v/>
      </c>
      <c r="K39" s="291">
        <f>J39</f>
        <v/>
      </c>
      <c r="L39" s="291">
        <f>SUM(I39:K39)</f>
        <v/>
      </c>
      <c r="M39" s="291">
        <f>L39*0.16</f>
        <v/>
      </c>
      <c r="N39" s="291">
        <f>SUM(L39:M39)</f>
        <v/>
      </c>
      <c r="O39" s="296" t="n">
        <v>125000</v>
      </c>
      <c r="P39" s="296">
        <f>G39*O39</f>
        <v/>
      </c>
      <c r="Q39" s="296">
        <f>H39*O39</f>
        <v/>
      </c>
      <c r="R39" s="296">
        <f>SUM(P39:Q39)</f>
        <v/>
      </c>
      <c r="S39" s="296">
        <f>R39*$S$9</f>
        <v/>
      </c>
      <c r="T39" s="296">
        <f>SUM(R39:S39)</f>
        <v/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t="28.2" customFormat="1" customHeight="1" s="29">
      <c r="A40" s="86" t="n">
        <v>42</v>
      </c>
      <c r="B40" s="68" t="inlineStr">
        <is>
          <t>CDMX</t>
        </is>
      </c>
      <c r="C40" s="72" t="inlineStr">
        <is>
          <t>Microscopio especular, marca TOMEY, modelo EM-4001</t>
        </is>
      </c>
      <c r="D40" s="73" t="inlineStr">
        <is>
          <t>349103</t>
        </is>
      </c>
      <c r="E40" s="72" t="inlineStr">
        <is>
          <t>H.M.E.O. Constituyentes</t>
        </is>
      </c>
      <c r="F40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55000</v>
      </c>
      <c r="J40" s="291">
        <f>I40</f>
        <v/>
      </c>
      <c r="K40" s="291">
        <f>J40</f>
        <v/>
      </c>
      <c r="L40" s="291">
        <f>SUM(I40:K40)</f>
        <v/>
      </c>
      <c r="M40" s="291">
        <f>L40*0.16</f>
        <v/>
      </c>
      <c r="N40" s="291">
        <f>SUM(L40:M40)</f>
        <v/>
      </c>
      <c r="O40" s="296" t="n">
        <v>125000</v>
      </c>
      <c r="P40" s="296">
        <f>G40*O40</f>
        <v/>
      </c>
      <c r="Q40" s="296">
        <f>H40*O40</f>
        <v/>
      </c>
      <c r="R40" s="296">
        <f>SUM(P40:Q40)</f>
        <v/>
      </c>
      <c r="S40" s="296">
        <f>R40*$S$9</f>
        <v/>
      </c>
      <c r="T40" s="296">
        <f>SUM(R40:S40)</f>
        <v/>
      </c>
      <c r="U40" s="78" t="inlineStr">
        <is>
          <t>OFTALMO</t>
        </is>
      </c>
      <c r="V40" s="82" t="inlineStr">
        <is>
          <t xml:space="preserve">ALDAI </t>
        </is>
      </c>
      <c r="W40" s="83" t="inlineStr">
        <is>
          <t>ADJUDICADO</t>
        </is>
      </c>
      <c r="X40" s="29" t="inlineStr">
        <is>
          <t>PROYECTADO</t>
        </is>
      </c>
    </row>
    <row r="41" ht="28.2" customFormat="1" customHeight="1" s="29">
      <c r="A41" s="86" t="n">
        <v>43</v>
      </c>
      <c r="B41" s="68" t="inlineStr">
        <is>
          <t>CDMX</t>
        </is>
      </c>
      <c r="C41" s="72" t="inlineStr">
        <is>
          <t>Ultrasonido modo A-B, marca TOMEY, modelo UD-800</t>
        </is>
      </c>
      <c r="D41" s="68" t="inlineStr">
        <is>
          <t>366702</t>
        </is>
      </c>
      <c r="E41" s="69" t="inlineStr">
        <is>
          <t>H.M.E.O. Constituyentes</t>
        </is>
      </c>
      <c r="F41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79" t="n">
        <v>2</v>
      </c>
      <c r="I41" s="291" t="n">
        <v>47500</v>
      </c>
      <c r="J41" s="291">
        <f>I41</f>
        <v/>
      </c>
      <c r="K41" s="291">
        <f>J41</f>
        <v/>
      </c>
      <c r="L41" s="291">
        <f>SUM(I41:K41)</f>
        <v/>
      </c>
      <c r="M41" s="291">
        <f>L41*0.16</f>
        <v/>
      </c>
      <c r="N41" s="291">
        <f>SUM(L41:M41)</f>
        <v/>
      </c>
      <c r="O41" s="296" t="n">
        <v>150000</v>
      </c>
      <c r="P41" s="296">
        <f>G41*O41</f>
        <v/>
      </c>
      <c r="Q41" s="296">
        <f>H41*O41</f>
        <v/>
      </c>
      <c r="R41" s="296">
        <f>SUM(P41:Q41)</f>
        <v/>
      </c>
      <c r="S41" s="296">
        <f>R41*$S$9</f>
        <v/>
      </c>
      <c r="T41" s="296">
        <f>SUM(R41:S41)</f>
        <v/>
      </c>
      <c r="U41" s="78" t="inlineStr">
        <is>
          <t>OFTALMO</t>
        </is>
      </c>
      <c r="V41" s="82" t="inlineStr">
        <is>
          <t xml:space="preserve">ALDAI </t>
        </is>
      </c>
      <c r="W41" s="83" t="inlineStr">
        <is>
          <t>ADJUDICADO</t>
        </is>
      </c>
      <c r="X41" s="29" t="inlineStr">
        <is>
          <t>PROYECTADO</t>
        </is>
      </c>
    </row>
    <row r="42" ht="28.2" customFormat="1" customHeight="1" s="29">
      <c r="A42" s="86" t="n">
        <v>44</v>
      </c>
      <c r="B42" s="68" t="inlineStr">
        <is>
          <t>CDMX</t>
        </is>
      </c>
      <c r="C42" s="72" t="inlineStr">
        <is>
          <t>Ultrasonido modo A-B, marca TOMEY, modelo UD-801</t>
        </is>
      </c>
      <c r="D42" s="73" t="inlineStr">
        <is>
          <t>372404</t>
        </is>
      </c>
      <c r="E42" s="72" t="inlineStr">
        <is>
          <t>H.M.E.O. Constituyentes</t>
        </is>
      </c>
      <c r="F42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79" t="n">
        <v>2</v>
      </c>
      <c r="I42" s="291" t="n">
        <v>47500</v>
      </c>
      <c r="J42" s="291">
        <f>I42</f>
        <v/>
      </c>
      <c r="K42" s="291">
        <f>J42</f>
        <v/>
      </c>
      <c r="L42" s="291">
        <f>SUM(I42:K42)</f>
        <v/>
      </c>
      <c r="M42" s="291">
        <f>L42*0.16</f>
        <v/>
      </c>
      <c r="N42" s="291">
        <f>SUM(L42:M42)</f>
        <v/>
      </c>
      <c r="O42" s="296" t="n">
        <v>150000</v>
      </c>
      <c r="P42" s="296">
        <f>G42*O42</f>
        <v/>
      </c>
      <c r="Q42" s="296">
        <f>H42*O42</f>
        <v/>
      </c>
      <c r="R42" s="296">
        <f>SUM(P42:Q42)</f>
        <v/>
      </c>
      <c r="S42" s="296">
        <f>R42*$S$9</f>
        <v/>
      </c>
      <c r="T42" s="296">
        <f>SUM(R42:S42)</f>
        <v/>
      </c>
      <c r="U42" s="78" t="inlineStr">
        <is>
          <t>OFTALMO</t>
        </is>
      </c>
      <c r="V42" s="82" t="inlineStr">
        <is>
          <t xml:space="preserve">ALDAI </t>
        </is>
      </c>
      <c r="W42" s="83" t="inlineStr">
        <is>
          <t>ADJUDICADO</t>
        </is>
      </c>
      <c r="X42" s="29" t="inlineStr">
        <is>
          <t>PROYECTADO</t>
        </is>
      </c>
    </row>
    <row r="43" ht="28.2" customFormat="1" customHeight="1" s="29">
      <c r="A43" s="86" t="n">
        <v>45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68" t="inlineStr">
        <is>
          <t>BC0013GY1C</t>
        </is>
      </c>
      <c r="E43" s="69" t="inlineStr">
        <is>
          <t>H.M.E.O. Constituyentes</t>
        </is>
      </c>
      <c r="F43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>
        <f>I43</f>
        <v/>
      </c>
      <c r="K43" s="291">
        <f>J43</f>
        <v/>
      </c>
      <c r="L43" s="291">
        <f>SUM(I43:K43)</f>
        <v/>
      </c>
      <c r="M43" s="291">
        <f>L43*0.16</f>
        <v/>
      </c>
      <c r="N43" s="291">
        <f>SUM(L43:M43)</f>
        <v/>
      </c>
      <c r="O43" s="296" t="n">
        <v>150000</v>
      </c>
      <c r="P43" s="296">
        <f>G43*O43</f>
        <v/>
      </c>
      <c r="Q43" s="296">
        <f>H43*O43</f>
        <v/>
      </c>
      <c r="R43" s="296">
        <f>SUM(P43:Q43)</f>
        <v/>
      </c>
      <c r="S43" s="296">
        <f>R43*$S$9</f>
        <v/>
      </c>
      <c r="T43" s="296">
        <f>SUM(R43:S43)</f>
        <v/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t="28.2" customFormat="1" customHeight="1" s="29">
      <c r="A44" s="86" t="n">
        <v>46</v>
      </c>
      <c r="B44" s="68" t="inlineStr">
        <is>
          <t>CDMX</t>
        </is>
      </c>
      <c r="C44" s="72" t="inlineStr">
        <is>
          <t>Autorrefractómetro, marca SUOER, modelo Ocular Screening SW-800</t>
        </is>
      </c>
      <c r="D44" s="73" t="inlineStr">
        <is>
          <t>BC0007GY1C</t>
        </is>
      </c>
      <c r="E44" s="72" t="inlineStr">
        <is>
          <t>H.M.E.O. Constituyentes</t>
        </is>
      </c>
      <c r="F44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50000</v>
      </c>
      <c r="J44" s="291">
        <f>I44</f>
        <v/>
      </c>
      <c r="K44" s="291">
        <f>J44</f>
        <v/>
      </c>
      <c r="L44" s="291">
        <f>SUM(I44:K44)</f>
        <v/>
      </c>
      <c r="M44" s="291">
        <f>L44*0.16</f>
        <v/>
      </c>
      <c r="N44" s="291">
        <f>SUM(L44:M44)</f>
        <v/>
      </c>
      <c r="O44" s="296" t="n">
        <v>150000</v>
      </c>
      <c r="P44" s="296">
        <f>G44*O44</f>
        <v/>
      </c>
      <c r="Q44" s="296">
        <f>H44*O44</f>
        <v/>
      </c>
      <c r="R44" s="296">
        <f>SUM(P44:Q44)</f>
        <v/>
      </c>
      <c r="S44" s="296">
        <f>R44*$S$9</f>
        <v/>
      </c>
      <c r="T44" s="296">
        <f>SUM(R44:S44)</f>
        <v/>
      </c>
      <c r="U44" s="78" t="inlineStr">
        <is>
          <t>OFTALMO</t>
        </is>
      </c>
      <c r="V44" s="82" t="inlineStr">
        <is>
          <t>MD</t>
        </is>
      </c>
      <c r="W44" s="83" t="inlineStr">
        <is>
          <t>ADJUDICADO</t>
        </is>
      </c>
      <c r="X44" s="29" t="inlineStr">
        <is>
          <t>PROYECTADO</t>
        </is>
      </c>
    </row>
    <row r="45" ht="28.2" customFormat="1" customHeight="1" s="29">
      <c r="A45" s="86" t="n">
        <v>47</v>
      </c>
      <c r="B45" s="68" t="inlineStr">
        <is>
          <t>CDMX</t>
        </is>
      </c>
      <c r="C45" s="72" t="inlineStr">
        <is>
          <t>Autorrefractómetro, marca SUOER, modelo Ocular Screening SW-800</t>
        </is>
      </c>
      <c r="D45" s="68" t="inlineStr">
        <is>
          <t>BB0042GY1C</t>
        </is>
      </c>
      <c r="E45" s="69" t="inlineStr">
        <is>
          <t>H.M.E.O. Constituyentes</t>
        </is>
      </c>
      <c r="F45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50000</v>
      </c>
      <c r="J45" s="291">
        <f>I45</f>
        <v/>
      </c>
      <c r="K45" s="291">
        <f>J45</f>
        <v/>
      </c>
      <c r="L45" s="291">
        <f>SUM(I45:K45)</f>
        <v/>
      </c>
      <c r="M45" s="291">
        <f>L45*0.16</f>
        <v/>
      </c>
      <c r="N45" s="291">
        <f>SUM(L45:M45)</f>
        <v/>
      </c>
      <c r="O45" s="296" t="n">
        <v>150000</v>
      </c>
      <c r="P45" s="296">
        <f>G45*O45</f>
        <v/>
      </c>
      <c r="Q45" s="296">
        <f>H45*O45</f>
        <v/>
      </c>
      <c r="R45" s="296">
        <f>SUM(P45:Q45)</f>
        <v/>
      </c>
      <c r="S45" s="296">
        <f>R45*$S$9</f>
        <v/>
      </c>
      <c r="T45" s="296">
        <f>SUM(R45:S45)</f>
        <v/>
      </c>
      <c r="U45" s="78" t="inlineStr">
        <is>
          <t>OFTALMO</t>
        </is>
      </c>
      <c r="V45" s="82" t="inlineStr">
        <is>
          <t>MD</t>
        </is>
      </c>
      <c r="W45" s="83" t="inlineStr">
        <is>
          <t>ADJUDICADO</t>
        </is>
      </c>
      <c r="X45" s="29" t="inlineStr">
        <is>
          <t>PROYECTADO</t>
        </is>
      </c>
    </row>
    <row r="46" ht="28.2" customFormat="1" customHeight="1" s="29">
      <c r="A46" s="86" t="n">
        <v>48</v>
      </c>
      <c r="B46" s="68" t="inlineStr">
        <is>
          <t>CDMX</t>
        </is>
      </c>
      <c r="C46" s="72" t="inlineStr">
        <is>
          <t>Autorrefractómetro, marca SUOER, modelo Ocular Screening SW-800</t>
        </is>
      </c>
      <c r="D46" s="73" t="inlineStr">
        <is>
          <t>BB0043GY1C</t>
        </is>
      </c>
      <c r="E46" s="72" t="inlineStr">
        <is>
          <t>H.M.E.O. Constituyentes</t>
        </is>
      </c>
      <c r="F46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50000</v>
      </c>
      <c r="J46" s="291">
        <f>I46</f>
        <v/>
      </c>
      <c r="K46" s="291">
        <f>J46</f>
        <v/>
      </c>
      <c r="L46" s="291">
        <f>SUM(I46:K46)</f>
        <v/>
      </c>
      <c r="M46" s="291">
        <f>L46*0.16</f>
        <v/>
      </c>
      <c r="N46" s="291">
        <f>SUM(L46:M46)</f>
        <v/>
      </c>
      <c r="O46" s="296" t="n">
        <v>150000</v>
      </c>
      <c r="P46" s="296">
        <f>G46*O46</f>
        <v/>
      </c>
      <c r="Q46" s="296">
        <f>H46*O46</f>
        <v/>
      </c>
      <c r="R46" s="296">
        <f>SUM(P46:Q46)</f>
        <v/>
      </c>
      <c r="S46" s="296">
        <f>R46*$S$9</f>
        <v/>
      </c>
      <c r="T46" s="296">
        <f>SUM(R46:S46)</f>
        <v/>
      </c>
      <c r="U46" s="78" t="inlineStr">
        <is>
          <t>OFTALMO</t>
        </is>
      </c>
      <c r="V46" s="82" t="inlineStr">
        <is>
          <t>MD</t>
        </is>
      </c>
      <c r="W46" s="83" t="inlineStr">
        <is>
          <t>ADJUDICADO</t>
        </is>
      </c>
      <c r="X46" s="29" t="inlineStr">
        <is>
          <t>PROYECTADO</t>
        </is>
      </c>
    </row>
    <row r="47" ht="28.2" customFormat="1" customHeight="1" s="29">
      <c r="A47" s="86" t="n">
        <v>49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270021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>
        <f>I47</f>
        <v/>
      </c>
      <c r="K47" s="291">
        <f>J47</f>
        <v/>
      </c>
      <c r="L47" s="291">
        <f>SUM(I47:K47)</f>
        <v/>
      </c>
      <c r="M47" s="291">
        <f>L47*0.16</f>
        <v/>
      </c>
      <c r="N47" s="291">
        <f>SUM(L47:M47)</f>
        <v/>
      </c>
      <c r="O47" s="296" t="n">
        <v>120000</v>
      </c>
      <c r="P47" s="296">
        <f>G47*O47</f>
        <v/>
      </c>
      <c r="Q47" s="296">
        <f>H47*O47</f>
        <v/>
      </c>
      <c r="R47" s="296">
        <f>SUM(P47:Q47)</f>
        <v/>
      </c>
      <c r="S47" s="296">
        <f>R47*$S$9</f>
        <v/>
      </c>
      <c r="T47" s="296">
        <f>SUM(R47:S47)</f>
        <v/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t="28.2" customFormat="1" customHeight="1" s="29">
      <c r="A48" s="86" t="n">
        <v>50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270029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>
        <f>I48</f>
        <v/>
      </c>
      <c r="K48" s="291">
        <f>J48</f>
        <v/>
      </c>
      <c r="L48" s="291">
        <f>SUM(I48:K48)</f>
        <v/>
      </c>
      <c r="M48" s="291">
        <f>L48*0.16</f>
        <v/>
      </c>
      <c r="N48" s="291">
        <f>SUM(L48:M48)</f>
        <v/>
      </c>
      <c r="O48" s="296" t="n">
        <v>120000</v>
      </c>
      <c r="P48" s="296">
        <f>G48*O48</f>
        <v/>
      </c>
      <c r="Q48" s="296">
        <f>H48*O48</f>
        <v/>
      </c>
      <c r="R48" s="296">
        <f>SUM(P48:Q48)</f>
        <v/>
      </c>
      <c r="S48" s="296">
        <f>R48*$S$9</f>
        <v/>
      </c>
      <c r="T48" s="296">
        <f>SUM(R48:S48)</f>
        <v/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t="28.2" customFormat="1" customHeight="1" s="29">
      <c r="A49" s="86" t="n">
        <v>51</v>
      </c>
      <c r="B49" s="68" t="inlineStr">
        <is>
          <t>CDMX</t>
        </is>
      </c>
      <c r="C49" s="72" t="inlineStr">
        <is>
          <t>Autoqueratorrefractor, marca Nidek, modelo ARK-F</t>
        </is>
      </c>
      <c r="D49" s="73" t="inlineStr">
        <is>
          <t>270031</t>
        </is>
      </c>
      <c r="E49" s="72" t="inlineStr">
        <is>
          <t>H.M.E.O. Constituyentes</t>
        </is>
      </c>
      <c r="F49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>
        <f>I49</f>
        <v/>
      </c>
      <c r="K49" s="291">
        <f>J49</f>
        <v/>
      </c>
      <c r="L49" s="291">
        <f>SUM(I49:K49)</f>
        <v/>
      </c>
      <c r="M49" s="291">
        <f>L49*0.16</f>
        <v/>
      </c>
      <c r="N49" s="291">
        <f>SUM(L49:M49)</f>
        <v/>
      </c>
      <c r="O49" s="296" t="n">
        <v>120000</v>
      </c>
      <c r="P49" s="296">
        <f>G49*O49</f>
        <v/>
      </c>
      <c r="Q49" s="296">
        <f>H49*O49</f>
        <v/>
      </c>
      <c r="R49" s="296">
        <f>SUM(P49:Q49)</f>
        <v/>
      </c>
      <c r="S49" s="296">
        <f>R49*$S$9</f>
        <v/>
      </c>
      <c r="T49" s="296">
        <f>SUM(R49:S49)</f>
        <v/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t="28.2" customFormat="1" customHeight="1" s="29">
      <c r="A50" s="86" t="n">
        <v>52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270032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>
        <f>I50</f>
        <v/>
      </c>
      <c r="K50" s="291">
        <f>J50</f>
        <v/>
      </c>
      <c r="L50" s="291">
        <f>SUM(I50:K50)</f>
        <v/>
      </c>
      <c r="M50" s="291">
        <f>L50*0.16</f>
        <v/>
      </c>
      <c r="N50" s="291">
        <f>SUM(L50:M50)</f>
        <v/>
      </c>
      <c r="O50" s="296" t="n">
        <v>120000</v>
      </c>
      <c r="P50" s="296">
        <f>G50*O50</f>
        <v/>
      </c>
      <c r="Q50" s="296">
        <f>H50*O50</f>
        <v/>
      </c>
      <c r="R50" s="296">
        <f>SUM(P50:Q50)</f>
        <v/>
      </c>
      <c r="S50" s="296">
        <f>R50*$S$9</f>
        <v/>
      </c>
      <c r="T50" s="296">
        <f>SUM(R50:S50)</f>
        <v/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t="28.2" customFormat="1" customHeight="1" s="29">
      <c r="A51" s="86" t="n">
        <v>53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270023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>
        <f>I51</f>
        <v/>
      </c>
      <c r="K51" s="291">
        <f>J51</f>
        <v/>
      </c>
      <c r="L51" s="291">
        <f>SUM(I51:K51)</f>
        <v/>
      </c>
      <c r="M51" s="291">
        <f>L51*0.16</f>
        <v/>
      </c>
      <c r="N51" s="291">
        <f>SUM(L51:M51)</f>
        <v/>
      </c>
      <c r="O51" s="296" t="n">
        <v>120000</v>
      </c>
      <c r="P51" s="296">
        <f>G51*O51</f>
        <v/>
      </c>
      <c r="Q51" s="296">
        <f>H51*O51</f>
        <v/>
      </c>
      <c r="R51" s="296">
        <f>SUM(P51:Q51)</f>
        <v/>
      </c>
      <c r="S51" s="296">
        <f>R51*$S$9</f>
        <v/>
      </c>
      <c r="T51" s="296">
        <f>SUM(R51:S51)</f>
        <v/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t="28.2" customFormat="1" customHeight="1" s="29">
      <c r="A52" s="86" t="n">
        <v>54</v>
      </c>
      <c r="B52" s="68" t="inlineStr">
        <is>
          <t>CDMX</t>
        </is>
      </c>
      <c r="C52" s="72" t="inlineStr">
        <is>
          <t>Autoqueratorrefractor, marca Nidek, modelo ARK-F</t>
        </is>
      </c>
      <c r="D52" s="68" t="inlineStr">
        <is>
          <t>270034</t>
        </is>
      </c>
      <c r="E52" s="69" t="inlineStr">
        <is>
          <t>H.M.E.O. Constituyentes</t>
        </is>
      </c>
      <c r="F52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>
        <f>I52</f>
        <v/>
      </c>
      <c r="K52" s="291">
        <f>J52</f>
        <v/>
      </c>
      <c r="L52" s="291">
        <f>SUM(I52:K52)</f>
        <v/>
      </c>
      <c r="M52" s="291">
        <f>L52*0.16</f>
        <v/>
      </c>
      <c r="N52" s="291">
        <f>SUM(L52:M52)</f>
        <v/>
      </c>
      <c r="O52" s="296" t="n">
        <v>120000</v>
      </c>
      <c r="P52" s="296">
        <f>G52*O52</f>
        <v/>
      </c>
      <c r="Q52" s="296">
        <f>H52*O52</f>
        <v/>
      </c>
      <c r="R52" s="296">
        <f>SUM(P52:Q52)</f>
        <v/>
      </c>
      <c r="S52" s="296">
        <f>R52*$S$9</f>
        <v/>
      </c>
      <c r="T52" s="296">
        <f>SUM(R52:S52)</f>
        <v/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t="28.2" customFormat="1" customHeight="1" s="29">
      <c r="A53" s="86" t="n">
        <v>55</v>
      </c>
      <c r="B53" s="68" t="inlineStr">
        <is>
          <t>CDMX</t>
        </is>
      </c>
      <c r="C53" s="72" t="inlineStr">
        <is>
          <t>Autoqueratorrefractor, marca Nidek, modelo ARK-F</t>
        </is>
      </c>
      <c r="D53" s="73" t="inlineStr">
        <is>
          <t>270035</t>
        </is>
      </c>
      <c r="E53" s="72" t="inlineStr">
        <is>
          <t>H.M.E.O. Constituyentes</t>
        </is>
      </c>
      <c r="F53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>
        <f>I53</f>
        <v/>
      </c>
      <c r="K53" s="291">
        <f>J53</f>
        <v/>
      </c>
      <c r="L53" s="291">
        <f>SUM(I53:K53)</f>
        <v/>
      </c>
      <c r="M53" s="291">
        <f>L53*0.16</f>
        <v/>
      </c>
      <c r="N53" s="291">
        <f>SUM(L53:M53)</f>
        <v/>
      </c>
      <c r="O53" s="296" t="n">
        <v>120000</v>
      </c>
      <c r="P53" s="296">
        <f>G53*O53</f>
        <v/>
      </c>
      <c r="Q53" s="296">
        <f>H53*O53</f>
        <v/>
      </c>
      <c r="R53" s="296">
        <f>SUM(P53:Q53)</f>
        <v/>
      </c>
      <c r="S53" s="296">
        <f>R53*$S$9</f>
        <v/>
      </c>
      <c r="T53" s="296">
        <f>SUM(R53:S53)</f>
        <v/>
      </c>
      <c r="U53" s="78" t="inlineStr">
        <is>
          <t>OFTALMO</t>
        </is>
      </c>
      <c r="V53" s="82" t="inlineStr">
        <is>
          <t>S4</t>
        </is>
      </c>
      <c r="W53" s="83" t="inlineStr">
        <is>
          <t>ADJUDICADO</t>
        </is>
      </c>
      <c r="X53" s="29" t="inlineStr">
        <is>
          <t>PROYECTADO</t>
        </is>
      </c>
    </row>
    <row r="54" ht="28.2" customFormat="1" customHeight="1" s="29">
      <c r="A54" s="86" t="n">
        <v>56</v>
      </c>
      <c r="B54" s="68" t="inlineStr">
        <is>
          <t>CDMX</t>
        </is>
      </c>
      <c r="C54" s="72" t="inlineStr">
        <is>
          <t>Autoqueratorrefractor, marca Nidek, modelo ARK-F</t>
        </is>
      </c>
      <c r="D54" s="68" t="inlineStr">
        <is>
          <t>270036</t>
        </is>
      </c>
      <c r="E54" s="69" t="inlineStr">
        <is>
          <t>H.M.E.O. Constituyentes</t>
        </is>
      </c>
      <c r="F54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>
        <f>I54</f>
        <v/>
      </c>
      <c r="K54" s="291">
        <f>J54</f>
        <v/>
      </c>
      <c r="L54" s="291">
        <f>SUM(I54:K54)</f>
        <v/>
      </c>
      <c r="M54" s="291">
        <f>L54*0.16</f>
        <v/>
      </c>
      <c r="N54" s="291">
        <f>SUM(L54:M54)</f>
        <v/>
      </c>
      <c r="O54" s="296" t="n">
        <v>120000</v>
      </c>
      <c r="P54" s="296">
        <f>G54*O54</f>
        <v/>
      </c>
      <c r="Q54" s="296">
        <f>H54*O54</f>
        <v/>
      </c>
      <c r="R54" s="296">
        <f>SUM(P54:Q54)</f>
        <v/>
      </c>
      <c r="S54" s="296">
        <f>R54*$S$9</f>
        <v/>
      </c>
      <c r="T54" s="296">
        <f>SUM(R54:S54)</f>
        <v/>
      </c>
      <c r="U54" s="78" t="inlineStr">
        <is>
          <t>OFTALMO</t>
        </is>
      </c>
      <c r="V54" s="82" t="inlineStr">
        <is>
          <t>S4</t>
        </is>
      </c>
      <c r="W54" s="83" t="inlineStr">
        <is>
          <t>ADJUDICADO</t>
        </is>
      </c>
      <c r="X54" s="29" t="inlineStr">
        <is>
          <t>PROYECTADO</t>
        </is>
      </c>
    </row>
    <row r="55" ht="28.2" customFormat="1" customHeight="1" s="29">
      <c r="A55" s="86" t="n">
        <v>57</v>
      </c>
      <c r="B55" s="68" t="inlineStr">
        <is>
          <t>CDMX</t>
        </is>
      </c>
      <c r="C55" s="72" t="inlineStr">
        <is>
          <t>Autoqueratorrefractor, marca Nidek, modelo ARK-F</t>
        </is>
      </c>
      <c r="D55" s="73" t="inlineStr">
        <is>
          <t>270037</t>
        </is>
      </c>
      <c r="E55" s="72" t="inlineStr">
        <is>
          <t>H.M.E.O. Constituyentes</t>
        </is>
      </c>
      <c r="F55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>
        <f>I55</f>
        <v/>
      </c>
      <c r="K55" s="291">
        <f>J55</f>
        <v/>
      </c>
      <c r="L55" s="291">
        <f>SUM(I55:K55)</f>
        <v/>
      </c>
      <c r="M55" s="291">
        <f>L55*0.16</f>
        <v/>
      </c>
      <c r="N55" s="291">
        <f>SUM(L55:M55)</f>
        <v/>
      </c>
      <c r="O55" s="296" t="n">
        <v>120000</v>
      </c>
      <c r="P55" s="296">
        <f>G55*O55</f>
        <v/>
      </c>
      <c r="Q55" s="296">
        <f>H55*O55</f>
        <v/>
      </c>
      <c r="R55" s="296">
        <f>SUM(P55:Q55)</f>
        <v/>
      </c>
      <c r="S55" s="296">
        <f>R55*$S$9</f>
        <v/>
      </c>
      <c r="T55" s="296">
        <f>SUM(R55:S55)</f>
        <v/>
      </c>
      <c r="U55" s="78" t="inlineStr">
        <is>
          <t>OFTALMO</t>
        </is>
      </c>
      <c r="V55" s="82" t="inlineStr">
        <is>
          <t>S4</t>
        </is>
      </c>
      <c r="W55" s="83" t="inlineStr">
        <is>
          <t>ADJUDICADO</t>
        </is>
      </c>
      <c r="X55" s="29" t="inlineStr">
        <is>
          <t>PROYECTADO</t>
        </is>
      </c>
    </row>
    <row r="56" ht="28.2" customFormat="1" customHeight="1" s="30">
      <c r="A56" s="86" t="n">
        <v>58</v>
      </c>
      <c r="B56" s="68" t="inlineStr">
        <is>
          <t>CDMX</t>
        </is>
      </c>
      <c r="C56" s="72" t="inlineStr">
        <is>
          <t>Autoqueratorrefractor, marca Nidek, modelo ARK-F</t>
        </is>
      </c>
      <c r="D56" s="68" t="inlineStr">
        <is>
          <t>270038</t>
        </is>
      </c>
      <c r="E56" s="69" t="inlineStr">
        <is>
          <t>H.M.E.O. Constituyentes</t>
        </is>
      </c>
      <c r="F56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15000</v>
      </c>
      <c r="J56" s="291">
        <f>I56</f>
        <v/>
      </c>
      <c r="K56" s="291">
        <f>J56</f>
        <v/>
      </c>
      <c r="L56" s="291">
        <f>SUM(I56:K56)</f>
        <v/>
      </c>
      <c r="M56" s="291">
        <f>L56*0.16</f>
        <v/>
      </c>
      <c r="N56" s="291">
        <f>SUM(L56:M56)</f>
        <v/>
      </c>
      <c r="O56" s="296" t="n">
        <v>120000</v>
      </c>
      <c r="P56" s="296">
        <f>G56*O56</f>
        <v/>
      </c>
      <c r="Q56" s="296">
        <f>H56*O56</f>
        <v/>
      </c>
      <c r="R56" s="296">
        <f>SUM(P56:Q56)</f>
        <v/>
      </c>
      <c r="S56" s="296">
        <f>R56*$S$9</f>
        <v/>
      </c>
      <c r="T56" s="296">
        <f>SUM(R56:S56)</f>
        <v/>
      </c>
      <c r="U56" s="78" t="inlineStr">
        <is>
          <t>OFTALMO</t>
        </is>
      </c>
      <c r="V56" s="84" t="inlineStr">
        <is>
          <t>S4</t>
        </is>
      </c>
      <c r="W56" s="83" t="inlineStr">
        <is>
          <t>ADJUDICADO</t>
        </is>
      </c>
      <c r="X56" s="1" t="inlineStr">
        <is>
          <t>PROYECTADO</t>
        </is>
      </c>
    </row>
    <row r="57" ht="28.2" customHeight="1" s="227">
      <c r="A57" s="86" t="n">
        <v>59</v>
      </c>
      <c r="B57" s="74" t="inlineStr">
        <is>
          <t>CDMX</t>
        </is>
      </c>
      <c r="C57" s="75" t="inlineStr">
        <is>
          <t>Autoqueratorrefractor, marca Nidek, modelo ARK-F</t>
        </is>
      </c>
      <c r="D57" s="74" t="inlineStr">
        <is>
          <t>270033</t>
        </is>
      </c>
      <c r="E57" s="75" t="inlineStr">
        <is>
          <t>H.M.E.O. Constituyentes</t>
        </is>
      </c>
      <c r="F57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15000</v>
      </c>
      <c r="J57" s="291">
        <f>I57</f>
        <v/>
      </c>
      <c r="K57" s="291">
        <f>J57</f>
        <v/>
      </c>
      <c r="L57" s="291">
        <f>SUM(I57:K57)</f>
        <v/>
      </c>
      <c r="M57" s="291">
        <f>L57*0.16</f>
        <v/>
      </c>
      <c r="N57" s="291">
        <f>SUM(L57:M57)</f>
        <v/>
      </c>
      <c r="O57" s="296" t="n">
        <v>120000</v>
      </c>
      <c r="P57" s="296">
        <f>G57*O57</f>
        <v/>
      </c>
      <c r="Q57" s="296">
        <f>H57*O57</f>
        <v/>
      </c>
      <c r="R57" s="296">
        <f>SUM(P57:Q57)</f>
        <v/>
      </c>
      <c r="S57" s="296">
        <f>R57*$S$9</f>
        <v/>
      </c>
      <c r="T57" s="296">
        <f>SUM(R57:S57)</f>
        <v/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t="28.2" customHeight="1" s="227">
      <c r="A58" s="86" t="n">
        <v>60</v>
      </c>
      <c r="B58" s="68" t="inlineStr">
        <is>
          <t>CDMX</t>
        </is>
      </c>
      <c r="C58" s="69" t="inlineStr">
        <is>
          <t>Autoqueratorrefractor, marca Nidek, modelo ARK-F</t>
        </is>
      </c>
      <c r="D58" s="68" t="inlineStr">
        <is>
          <t>270025</t>
        </is>
      </c>
      <c r="E58" s="69" t="inlineStr">
        <is>
          <t>H.M.E.O. Constituyentes</t>
        </is>
      </c>
      <c r="F58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15000</v>
      </c>
      <c r="J58" s="291">
        <f>I58</f>
        <v/>
      </c>
      <c r="K58" s="291">
        <f>J58</f>
        <v/>
      </c>
      <c r="L58" s="291">
        <f>SUM(I58:K58)</f>
        <v/>
      </c>
      <c r="M58" s="291">
        <f>L58*0.16</f>
        <v/>
      </c>
      <c r="N58" s="291">
        <f>SUM(L58:M58)</f>
        <v/>
      </c>
      <c r="O58" s="296" t="n">
        <v>120000</v>
      </c>
      <c r="P58" s="296">
        <f>G58*O58</f>
        <v/>
      </c>
      <c r="Q58" s="296">
        <f>H58*O58</f>
        <v/>
      </c>
      <c r="R58" s="296">
        <f>SUM(P58:Q58)</f>
        <v/>
      </c>
      <c r="S58" s="296">
        <f>R58*$S$9</f>
        <v/>
      </c>
      <c r="T58" s="296">
        <f>SUM(R58:S58)</f>
        <v/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t="28.2" customHeight="1" s="227">
      <c r="A59" s="86" t="n">
        <v>61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170692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>
        <f>I59</f>
        <v/>
      </c>
      <c r="K59" s="291">
        <f>J59</f>
        <v/>
      </c>
      <c r="L59" s="291">
        <f>SUM(I59:K59)</f>
        <v/>
      </c>
      <c r="M59" s="291">
        <f>L59*0.16</f>
        <v/>
      </c>
      <c r="N59" s="291">
        <f>SUM(L59:M59)</f>
        <v/>
      </c>
      <c r="O59" s="296" t="n">
        <v>150000</v>
      </c>
      <c r="P59" s="296">
        <f>G59*O59</f>
        <v/>
      </c>
      <c r="Q59" s="296">
        <f>H59*O59</f>
        <v/>
      </c>
      <c r="R59" s="296">
        <f>SUM(P59:Q59)</f>
        <v/>
      </c>
      <c r="S59" s="296">
        <f>R59*$S$9</f>
        <v/>
      </c>
      <c r="T59" s="296">
        <f>SUM(R59:S59)</f>
        <v/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t="28.2" customHeight="1" s="227">
      <c r="A60" s="86" t="n">
        <v>62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170696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>
        <f>I60</f>
        <v/>
      </c>
      <c r="K60" s="291">
        <f>J60</f>
        <v/>
      </c>
      <c r="L60" s="291">
        <f>SUM(I60:K60)</f>
        <v/>
      </c>
      <c r="M60" s="291">
        <f>L60*0.16</f>
        <v/>
      </c>
      <c r="N60" s="291">
        <f>SUM(L60:M60)</f>
        <v/>
      </c>
      <c r="O60" s="296" t="n">
        <v>150000</v>
      </c>
      <c r="P60" s="296">
        <f>G60*O60</f>
        <v/>
      </c>
      <c r="Q60" s="296">
        <f>H60*O60</f>
        <v/>
      </c>
      <c r="R60" s="296">
        <f>SUM(P60:Q60)</f>
        <v/>
      </c>
      <c r="S60" s="296">
        <f>R60*$S$9</f>
        <v/>
      </c>
      <c r="T60" s="296">
        <f>SUM(R60:S60)</f>
        <v/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t="28.2" customHeight="1" s="227">
      <c r="A61" s="86" t="n">
        <v>63</v>
      </c>
      <c r="B61" s="68" t="inlineStr">
        <is>
          <t>CDMX</t>
        </is>
      </c>
      <c r="C61" s="69" t="inlineStr">
        <is>
          <t>Sistema de diagnóstico oftálmico avanzado, marca Nidek, modelo TONOREF III</t>
        </is>
      </c>
      <c r="D61" s="68" t="inlineStr">
        <is>
          <t>170711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80" t="n">
        <v>2</v>
      </c>
      <c r="I61" s="291" t="n">
        <v>20000</v>
      </c>
      <c r="J61" s="291">
        <f>I61</f>
        <v/>
      </c>
      <c r="K61" s="291">
        <f>J61</f>
        <v/>
      </c>
      <c r="L61" s="291">
        <f>SUM(I61:K61)</f>
        <v/>
      </c>
      <c r="M61" s="291">
        <f>L61*0.16</f>
        <v/>
      </c>
      <c r="N61" s="291">
        <f>SUM(L61:M61)</f>
        <v/>
      </c>
      <c r="O61" s="296" t="n">
        <v>150000</v>
      </c>
      <c r="P61" s="296">
        <f>G61*O61</f>
        <v/>
      </c>
      <c r="Q61" s="296">
        <f>H61*O61</f>
        <v/>
      </c>
      <c r="R61" s="296">
        <f>SUM(P61:Q61)</f>
        <v/>
      </c>
      <c r="S61" s="296">
        <f>R61*$S$9</f>
        <v/>
      </c>
      <c r="T61" s="296">
        <f>SUM(R61:S61)</f>
        <v/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t="28.2" customHeight="1" s="227">
      <c r="A62" s="86" t="n">
        <v>64</v>
      </c>
      <c r="B62" s="68" t="inlineStr">
        <is>
          <t>CDMX</t>
        </is>
      </c>
      <c r="C62" s="69" t="inlineStr">
        <is>
          <t>Sistema de diagnóstico oftálmico avanzado, marca Nidek, modelo TONOREF III</t>
        </is>
      </c>
      <c r="D62" s="68" t="inlineStr">
        <is>
          <t>170712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80" t="n">
        <v>2</v>
      </c>
      <c r="I62" s="291" t="n">
        <v>20000</v>
      </c>
      <c r="J62" s="291">
        <f>I62</f>
        <v/>
      </c>
      <c r="K62" s="291">
        <f>J62</f>
        <v/>
      </c>
      <c r="L62" s="291">
        <f>SUM(I62:K62)</f>
        <v/>
      </c>
      <c r="M62" s="291">
        <f>L62*0.16</f>
        <v/>
      </c>
      <c r="N62" s="291">
        <f>SUM(L62:M62)</f>
        <v/>
      </c>
      <c r="O62" s="296" t="n">
        <v>150000</v>
      </c>
      <c r="P62" s="296">
        <f>G62*O62</f>
        <v/>
      </c>
      <c r="Q62" s="296">
        <f>H62*O62</f>
        <v/>
      </c>
      <c r="R62" s="296">
        <f>SUM(P62:Q62)</f>
        <v/>
      </c>
      <c r="S62" s="296">
        <f>R62*$S$9</f>
        <v/>
      </c>
      <c r="T62" s="296">
        <f>SUM(R62:S62)</f>
        <v/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t="28.2" customHeight="1" s="227">
      <c r="A63" s="86" t="n">
        <v>65</v>
      </c>
      <c r="B63" s="68" t="inlineStr">
        <is>
          <t>CDMX</t>
        </is>
      </c>
      <c r="C63" s="69" t="inlineStr">
        <is>
          <t>Sistema de diagnóstico oftálmico avanzado, marca Nidek, modelo TONOREF III</t>
        </is>
      </c>
      <c r="D63" s="68" t="inlineStr">
        <is>
          <t>170715</t>
        </is>
      </c>
      <c r="E63" s="69" t="inlineStr">
        <is>
          <t>H.M.E.O. Constituyentes</t>
        </is>
      </c>
      <c r="F63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80" t="n">
        <v>2</v>
      </c>
      <c r="I63" s="291" t="n">
        <v>20000</v>
      </c>
      <c r="J63" s="291">
        <f>I63</f>
        <v/>
      </c>
      <c r="K63" s="291">
        <f>J63</f>
        <v/>
      </c>
      <c r="L63" s="291">
        <f>SUM(I63:K63)</f>
        <v/>
      </c>
      <c r="M63" s="291">
        <f>L63*0.16</f>
        <v/>
      </c>
      <c r="N63" s="291">
        <f>SUM(L63:M63)</f>
        <v/>
      </c>
      <c r="O63" s="296" t="n">
        <v>150000</v>
      </c>
      <c r="P63" s="296">
        <f>G63*O63</f>
        <v/>
      </c>
      <c r="Q63" s="296">
        <f>H63*O63</f>
        <v/>
      </c>
      <c r="R63" s="296">
        <f>SUM(P63:Q63)</f>
        <v/>
      </c>
      <c r="S63" s="296">
        <f>R63*$S$9</f>
        <v/>
      </c>
      <c r="T63" s="296">
        <f>SUM(R63:S63)</f>
        <v/>
      </c>
      <c r="U63" s="78" t="inlineStr">
        <is>
          <t>OFTALMO</t>
        </is>
      </c>
      <c r="V63" s="81" t="inlineStr">
        <is>
          <t>S4</t>
        </is>
      </c>
      <c r="W63" s="83" t="inlineStr">
        <is>
          <t>ADJUDICADO</t>
        </is>
      </c>
      <c r="X63" s="5" t="inlineStr">
        <is>
          <t>PROYECTADO</t>
        </is>
      </c>
    </row>
    <row r="64" ht="28.2" customHeight="1" s="227">
      <c r="A64" s="86" t="n">
        <v>68</v>
      </c>
      <c r="B64" s="68" t="inlineStr">
        <is>
          <t>CDMX</t>
        </is>
      </c>
      <c r="C64" s="69" t="inlineStr">
        <is>
          <t>Sistema de diagnóstico oftálmico avanzado, marca Nidek, modelo OPD-Scan III</t>
        </is>
      </c>
      <c r="D64" s="68" t="inlineStr">
        <is>
          <t>470112</t>
        </is>
      </c>
      <c r="E64" s="69" t="inlineStr">
        <is>
          <t>H.M.E.O. Constituyentes</t>
        </is>
      </c>
      <c r="F64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40000</v>
      </c>
      <c r="J64" s="291">
        <f>I64</f>
        <v/>
      </c>
      <c r="K64" s="291">
        <f>J64</f>
        <v/>
      </c>
      <c r="L64" s="291">
        <f>SUM(I64:K64)</f>
        <v/>
      </c>
      <c r="M64" s="291">
        <f>L64*0.16</f>
        <v/>
      </c>
      <c r="N64" s="291">
        <f>SUM(L64:M64)</f>
        <v/>
      </c>
      <c r="O64" s="296" t="n">
        <v>150000</v>
      </c>
      <c r="P64" s="296">
        <f>G64*O64</f>
        <v/>
      </c>
      <c r="Q64" s="296">
        <f>H64*O64</f>
        <v/>
      </c>
      <c r="R64" s="296">
        <f>SUM(P64:Q64)</f>
        <v/>
      </c>
      <c r="S64" s="296">
        <f>R64*$S$9</f>
        <v/>
      </c>
      <c r="T64" s="296">
        <f>SUM(R64:S64)</f>
        <v/>
      </c>
      <c r="U64" s="78" t="inlineStr">
        <is>
          <t>OFTALMO</t>
        </is>
      </c>
      <c r="V64" s="81" t="inlineStr">
        <is>
          <t>S4</t>
        </is>
      </c>
      <c r="W64" s="83" t="inlineStr">
        <is>
          <t>ADJUDICADO</t>
        </is>
      </c>
      <c r="X64" s="5" t="inlineStr">
        <is>
          <t>PROYECTADO</t>
        </is>
      </c>
    </row>
    <row r="65" ht="28.2" customHeight="1" s="227">
      <c r="A65" s="86" t="n">
        <v>69</v>
      </c>
      <c r="B65" s="68" t="inlineStr">
        <is>
          <t>CDMX</t>
        </is>
      </c>
      <c r="C65" s="69" t="inlineStr">
        <is>
          <t>Sistema de diagnóstico oftálmico avanzado, marca Nidek, modelo OPD-Scan III</t>
        </is>
      </c>
      <c r="D65" s="68" t="inlineStr">
        <is>
          <t>470113</t>
        </is>
      </c>
      <c r="E65" s="69" t="inlineStr">
        <is>
          <t>H.M.E.O. Constituyentes</t>
        </is>
      </c>
      <c r="F65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40000</v>
      </c>
      <c r="J65" s="291">
        <f>I65</f>
        <v/>
      </c>
      <c r="K65" s="291">
        <f>J65</f>
        <v/>
      </c>
      <c r="L65" s="291">
        <f>SUM(I65:K65)</f>
        <v/>
      </c>
      <c r="M65" s="291">
        <f>L65*0.16</f>
        <v/>
      </c>
      <c r="N65" s="291">
        <f>SUM(L65:M65)</f>
        <v/>
      </c>
      <c r="O65" s="296" t="n">
        <v>150000</v>
      </c>
      <c r="P65" s="296">
        <f>G65*O65</f>
        <v/>
      </c>
      <c r="Q65" s="296">
        <f>H65*O65</f>
        <v/>
      </c>
      <c r="R65" s="296">
        <f>SUM(P65:Q65)</f>
        <v/>
      </c>
      <c r="S65" s="296">
        <f>R65*$S$9</f>
        <v/>
      </c>
      <c r="T65" s="296">
        <f>SUM(R65:S65)</f>
        <v/>
      </c>
      <c r="U65" s="78" t="inlineStr">
        <is>
          <t>OFTALMO</t>
        </is>
      </c>
      <c r="V65" s="81" t="inlineStr">
        <is>
          <t>S4</t>
        </is>
      </c>
      <c r="W65" s="83" t="inlineStr">
        <is>
          <t>ADJUDICADO</t>
        </is>
      </c>
      <c r="X65" s="5" t="inlineStr">
        <is>
          <t>PROYECTADO</t>
        </is>
      </c>
    </row>
    <row r="66" ht="28.2" customHeight="1" s="227">
      <c r="A66" s="86" t="n">
        <v>70</v>
      </c>
      <c r="B66" s="68" t="inlineStr">
        <is>
          <t>CDMX</t>
        </is>
      </c>
      <c r="C66" s="69" t="inlineStr">
        <is>
          <t>Plataforma láser oftálmica combinada YAG/SLT, marca Quantel Medical, modelo Optimis Fusion</t>
        </is>
      </c>
      <c r="D66" s="68" t="inlineStr">
        <is>
          <t>62-10-135</t>
        </is>
      </c>
      <c r="E66" s="69" t="inlineStr">
        <is>
          <t>H.M.E.O. Constituyentes</t>
        </is>
      </c>
      <c r="F66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72500</v>
      </c>
      <c r="J66" s="291">
        <f>I66</f>
        <v/>
      </c>
      <c r="K66" s="291">
        <f>J66</f>
        <v/>
      </c>
      <c r="L66" s="291">
        <f>SUM(I66:K66)</f>
        <v/>
      </c>
      <c r="M66" s="291">
        <f>L66*0.16</f>
        <v/>
      </c>
      <c r="N66" s="291">
        <f>SUM(L66:M66)</f>
        <v/>
      </c>
      <c r="O66" s="296" t="n">
        <v>290000</v>
      </c>
      <c r="P66" s="296">
        <f>G66*O66</f>
        <v/>
      </c>
      <c r="Q66" s="296">
        <f>H66*O66</f>
        <v/>
      </c>
      <c r="R66" s="296">
        <f>SUM(P66:Q66)</f>
        <v/>
      </c>
      <c r="S66" s="296">
        <f>R66*$S$9</f>
        <v/>
      </c>
      <c r="T66" s="296">
        <f>SUM(R66:S66)</f>
        <v/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5" t="inlineStr">
        <is>
          <t>PROYECTADO</t>
        </is>
      </c>
    </row>
    <row r="67" ht="28.2" customHeight="1" s="227">
      <c r="A67" s="86" t="n">
        <v>71</v>
      </c>
      <c r="B67" s="68" t="inlineStr">
        <is>
          <t>CDMX</t>
        </is>
      </c>
      <c r="C67" s="69" t="inlineStr">
        <is>
          <t>Láser excimer, marca Alcon, modelo Wavelight</t>
        </is>
      </c>
      <c r="D67" s="68" t="inlineStr">
        <is>
          <t>1016-4-3384</t>
        </is>
      </c>
      <c r="E67" s="69" t="inlineStr">
        <is>
          <t>H.M.E.O. Constituyentes</t>
        </is>
      </c>
      <c r="F67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350000</v>
      </c>
      <c r="J67" s="291">
        <f>I67</f>
        <v/>
      </c>
      <c r="K67" s="291">
        <f>J67</f>
        <v/>
      </c>
      <c r="L67" s="291">
        <f>SUM(I67:K67)</f>
        <v/>
      </c>
      <c r="M67" s="291">
        <f>L67*0.16</f>
        <v/>
      </c>
      <c r="N67" s="291">
        <f>SUM(L67:M67)</f>
        <v/>
      </c>
      <c r="O67" s="296" t="n">
        <v>450000</v>
      </c>
      <c r="P67" s="296">
        <f>G67*O67</f>
        <v/>
      </c>
      <c r="Q67" s="296">
        <f>H67*O67</f>
        <v/>
      </c>
      <c r="R67" s="296">
        <f>SUM(P67:Q67)</f>
        <v/>
      </c>
      <c r="S67" s="296">
        <f>R67*$S$9</f>
        <v/>
      </c>
      <c r="T67" s="296">
        <f>SUM(R67:S67)</f>
        <v/>
      </c>
      <c r="U67" s="78" t="inlineStr">
        <is>
          <t>OFTALMO</t>
        </is>
      </c>
      <c r="V67" s="81" t="inlineStr">
        <is>
          <t>ALCON</t>
        </is>
      </c>
      <c r="W67" s="83" t="inlineStr">
        <is>
          <t>ADJUDICADO</t>
        </is>
      </c>
      <c r="X67" s="5" t="inlineStr">
        <is>
          <t>PROYECTADO</t>
        </is>
      </c>
    </row>
    <row r="68" ht="28.2" customFormat="1" customHeight="1" s="267">
      <c r="A68" s="86" t="n">
        <v>72</v>
      </c>
      <c r="B68" s="68" t="inlineStr">
        <is>
          <t>CDMX</t>
        </is>
      </c>
      <c r="C68" s="69" t="inlineStr">
        <is>
          <t>Láser oftálmico, marca Quantel Medical, modelo Easyret</t>
        </is>
      </c>
      <c r="D68" s="68" t="inlineStr">
        <is>
          <t>2209031</t>
        </is>
      </c>
      <c r="E68" s="69" t="inlineStr">
        <is>
          <t>H.M.E.O. Constituyentes</t>
        </is>
      </c>
      <c r="F68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1</v>
      </c>
      <c r="H68" s="79" t="n">
        <v>2</v>
      </c>
      <c r="I68" s="291" t="n">
        <v>80000</v>
      </c>
      <c r="J68" s="291">
        <f>I68</f>
        <v/>
      </c>
      <c r="K68" s="291">
        <f>J68</f>
        <v/>
      </c>
      <c r="L68" s="291">
        <f>SUM(I68:K68)</f>
        <v/>
      </c>
      <c r="M68" s="291">
        <f>L68*0.16</f>
        <v/>
      </c>
      <c r="N68" s="291">
        <f>SUM(L68:M68)</f>
        <v/>
      </c>
      <c r="O68" s="296" t="n">
        <v>250000</v>
      </c>
      <c r="P68" s="296">
        <f>G68*O68</f>
        <v/>
      </c>
      <c r="Q68" s="296">
        <f>H68*O68</f>
        <v/>
      </c>
      <c r="R68" s="296">
        <f>SUM(P68:Q68)</f>
        <v/>
      </c>
      <c r="S68" s="296">
        <f>R68*$S$9</f>
        <v/>
      </c>
      <c r="T68" s="296">
        <f>SUM(R68:S68)</f>
        <v/>
      </c>
      <c r="U68" s="78" t="inlineStr">
        <is>
          <t>OFTALMO</t>
        </is>
      </c>
      <c r="V68" s="81" t="inlineStr">
        <is>
          <t>ARFAMEX</t>
        </is>
      </c>
      <c r="W68" s="83" t="inlineStr">
        <is>
          <t>ADJUDICADO</t>
        </is>
      </c>
      <c r="X68" s="267" t="inlineStr">
        <is>
          <t>PROYECTADO</t>
        </is>
      </c>
    </row>
    <row r="69" ht="28.2" customFormat="1" customHeight="1" s="267">
      <c r="A69" s="86" t="n">
        <v>73</v>
      </c>
      <c r="B69" s="68" t="inlineStr">
        <is>
          <t>CDMX</t>
        </is>
      </c>
      <c r="C69" s="69" t="inlineStr">
        <is>
          <t>Láser oftálmico, marca Quantel Medical, modelo Easyret</t>
        </is>
      </c>
      <c r="D69" s="68" t="inlineStr">
        <is>
          <t>2209032</t>
        </is>
      </c>
      <c r="E69" s="69" t="inlineStr">
        <is>
          <t>H.M.E.O. Constituyentes</t>
        </is>
      </c>
      <c r="F69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80000</v>
      </c>
      <c r="J69" s="291">
        <f>I69</f>
        <v/>
      </c>
      <c r="K69" s="291">
        <f>J69</f>
        <v/>
      </c>
      <c r="L69" s="291">
        <f>SUM(I69:K69)</f>
        <v/>
      </c>
      <c r="M69" s="291">
        <f>L69*0.16</f>
        <v/>
      </c>
      <c r="N69" s="291">
        <f>SUM(L69:M69)</f>
        <v/>
      </c>
      <c r="O69" s="296" t="n">
        <v>250000</v>
      </c>
      <c r="P69" s="296">
        <f>G69*O69</f>
        <v/>
      </c>
      <c r="Q69" s="296">
        <f>H69*O69</f>
        <v/>
      </c>
      <c r="R69" s="296">
        <f>SUM(P69:Q69)</f>
        <v/>
      </c>
      <c r="S69" s="296">
        <f>R69*$S$9</f>
        <v/>
      </c>
      <c r="T69" s="296">
        <f>SUM(R69:S69)</f>
        <v/>
      </c>
      <c r="U69" s="78" t="inlineStr">
        <is>
          <t>OFTALMO</t>
        </is>
      </c>
      <c r="V69" s="81" t="inlineStr">
        <is>
          <t>ARFAMEX</t>
        </is>
      </c>
      <c r="W69" s="83" t="inlineStr">
        <is>
          <t>ADJUDICADO</t>
        </is>
      </c>
      <c r="X69" s="267" t="inlineStr">
        <is>
          <t>PROYECTADO</t>
        </is>
      </c>
    </row>
    <row r="70" ht="28.2" customFormat="1" customHeight="1" s="267">
      <c r="A70" s="86" t="n">
        <v>74</v>
      </c>
      <c r="B70" s="68" t="inlineStr">
        <is>
          <t>CDMX</t>
        </is>
      </c>
      <c r="C70" s="69" t="inlineStr">
        <is>
          <t>Equipo para crosslinking ocular, marca KXL, modelo Avedro</t>
        </is>
      </c>
      <c r="D70" s="68" t="inlineStr">
        <is>
          <t>KXL221005</t>
        </is>
      </c>
      <c r="E70" s="69" t="inlineStr">
        <is>
          <t>H.M.E.O. Constituyentes</t>
        </is>
      </c>
      <c r="F70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65000</v>
      </c>
      <c r="J70" s="291">
        <f>I70</f>
        <v/>
      </c>
      <c r="K70" s="291">
        <f>J70</f>
        <v/>
      </c>
      <c r="L70" s="291">
        <f>SUM(I70:K70)</f>
        <v/>
      </c>
      <c r="M70" s="291">
        <f>L70*0.16</f>
        <v/>
      </c>
      <c r="N70" s="291">
        <f>SUM(L70:M70)</f>
        <v/>
      </c>
      <c r="O70" s="296" t="n">
        <v>250000</v>
      </c>
      <c r="P70" s="296">
        <f>G70*O70</f>
        <v/>
      </c>
      <c r="Q70" s="296">
        <f>H70*O70</f>
        <v/>
      </c>
      <c r="R70" s="296">
        <f>SUM(P70:Q70)</f>
        <v/>
      </c>
      <c r="S70" s="296">
        <f>R70*$S$9</f>
        <v/>
      </c>
      <c r="T70" s="296">
        <f>SUM(R70:S70)</f>
        <v/>
      </c>
      <c r="U70" s="78" t="inlineStr">
        <is>
          <t>OFTALMO</t>
        </is>
      </c>
      <c r="V70" s="81" t="inlineStr">
        <is>
          <t>ARFAMEX</t>
        </is>
      </c>
      <c r="W70" s="83" t="inlineStr">
        <is>
          <t>ADJUDICADO</t>
        </is>
      </c>
      <c r="X70" s="267" t="inlineStr">
        <is>
          <t>PROYECTADO</t>
        </is>
      </c>
    </row>
    <row r="71" ht="28.2" customFormat="1" customHeight="1" s="267">
      <c r="A71" s="86" t="n">
        <v>75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742223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>
        <f>I71</f>
        <v/>
      </c>
      <c r="K71" s="291">
        <f>J71</f>
        <v/>
      </c>
      <c r="L71" s="291">
        <f>SUM(I71:K71)</f>
        <v/>
      </c>
      <c r="M71" s="291">
        <f>L71*0.16</f>
        <v/>
      </c>
      <c r="N71" s="291">
        <f>SUM(L71:M71)</f>
        <v/>
      </c>
      <c r="O71" s="296" t="n">
        <v>220000</v>
      </c>
      <c r="P71" s="296">
        <f>G71*O71</f>
        <v/>
      </c>
      <c r="Q71" s="296">
        <f>H71*O71</f>
        <v/>
      </c>
      <c r="R71" s="296">
        <f>SUM(P71:Q71)</f>
        <v/>
      </c>
      <c r="S71" s="296">
        <f>R71*$S$9</f>
        <v/>
      </c>
      <c r="T71" s="296">
        <f>SUM(R71:S71)</f>
        <v/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267" t="inlineStr">
        <is>
          <t>PROYECTADO</t>
        </is>
      </c>
    </row>
    <row r="72" ht="28.2" customHeight="1" s="227">
      <c r="A72" s="86" t="n">
        <v>76</v>
      </c>
      <c r="B72" s="68" t="inlineStr">
        <is>
          <t>CDMX</t>
        </is>
      </c>
      <c r="C72" s="69" t="inlineStr">
        <is>
          <t>OCT con retinógrafo integrado, marca Nidek, modelo Retina Scan DUO-2 (RS-300)</t>
        </is>
      </c>
      <c r="D72" s="68" t="inlineStr">
        <is>
          <t>741879</t>
        </is>
      </c>
      <c r="E72" s="69" t="inlineStr">
        <is>
          <t>H.M.E.O. Constituyentes</t>
        </is>
      </c>
      <c r="F72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1</v>
      </c>
      <c r="H72" s="79" t="n">
        <v>2</v>
      </c>
      <c r="I72" s="291" t="n">
        <v>90000</v>
      </c>
      <c r="J72" s="291">
        <f>I72</f>
        <v/>
      </c>
      <c r="K72" s="291">
        <f>J72</f>
        <v/>
      </c>
      <c r="L72" s="291">
        <f>SUM(I72:K72)</f>
        <v/>
      </c>
      <c r="M72" s="291">
        <f>L72*0.16</f>
        <v/>
      </c>
      <c r="N72" s="291">
        <f>SUM(L72:M72)</f>
        <v/>
      </c>
      <c r="O72" s="296" t="n">
        <v>220000</v>
      </c>
      <c r="P72" s="296">
        <f>G72*O72</f>
        <v/>
      </c>
      <c r="Q72" s="296">
        <f>H72*O72</f>
        <v/>
      </c>
      <c r="R72" s="296">
        <f>SUM(P72:Q72)</f>
        <v/>
      </c>
      <c r="S72" s="296">
        <f>R72*$S$9</f>
        <v/>
      </c>
      <c r="T72" s="296">
        <f>SUM(R72:S72)</f>
        <v/>
      </c>
      <c r="U72" s="78" t="inlineStr">
        <is>
          <t>OFTALMO</t>
        </is>
      </c>
      <c r="V72" s="81" t="inlineStr">
        <is>
          <t>S4</t>
        </is>
      </c>
      <c r="W72" s="83" t="inlineStr">
        <is>
          <t>ADJUDICADO</t>
        </is>
      </c>
      <c r="X72" s="5" t="inlineStr">
        <is>
          <t>PROYECTADO</t>
        </is>
      </c>
    </row>
    <row r="73" ht="28.2" customFormat="1" customHeight="1" s="267">
      <c r="A73" s="86" t="n">
        <v>77</v>
      </c>
      <c r="B73" s="68" t="inlineStr">
        <is>
          <t>CDMX</t>
        </is>
      </c>
      <c r="C73" s="69" t="inlineStr">
        <is>
          <t>OCT con retinógrafo integrado, marca Nidek, modelo Retina Scan DUO-2 (RS-300)</t>
        </is>
      </c>
      <c r="D73" s="68" t="inlineStr">
        <is>
          <t>742356</t>
        </is>
      </c>
      <c r="E73" s="69" t="inlineStr">
        <is>
          <t>H.M.E.O. Constituyentes</t>
        </is>
      </c>
      <c r="F73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1</v>
      </c>
      <c r="H73" s="79" t="n">
        <v>2</v>
      </c>
      <c r="I73" s="291" t="n">
        <v>90000</v>
      </c>
      <c r="J73" s="291">
        <f>I73</f>
        <v/>
      </c>
      <c r="K73" s="291">
        <f>J73</f>
        <v/>
      </c>
      <c r="L73" s="291">
        <f>SUM(I73:K73)</f>
        <v/>
      </c>
      <c r="M73" s="291">
        <f>L73*0.16</f>
        <v/>
      </c>
      <c r="N73" s="291">
        <f>SUM(L73:M73)</f>
        <v/>
      </c>
      <c r="O73" s="296" t="n">
        <v>220000</v>
      </c>
      <c r="P73" s="296">
        <f>G73*O73</f>
        <v/>
      </c>
      <c r="Q73" s="296">
        <f>H73*O73</f>
        <v/>
      </c>
      <c r="R73" s="296">
        <f>SUM(P73:Q73)</f>
        <v/>
      </c>
      <c r="S73" s="296">
        <f>R73*$S$9</f>
        <v/>
      </c>
      <c r="T73" s="296">
        <f>SUM(R73:S73)</f>
        <v/>
      </c>
      <c r="U73" s="78" t="inlineStr">
        <is>
          <t>OFTALMO</t>
        </is>
      </c>
      <c r="V73" s="81" t="inlineStr">
        <is>
          <t>S4</t>
        </is>
      </c>
      <c r="W73" s="83" t="inlineStr">
        <is>
          <t>ADJUDICADO</t>
        </is>
      </c>
      <c r="X73" s="267" t="inlineStr">
        <is>
          <t>PROYECTADO</t>
        </is>
      </c>
    </row>
    <row r="74" ht="28.2" customHeight="1" s="227">
      <c r="A74" s="86" t="n">
        <v>78</v>
      </c>
      <c r="B74" s="68" t="inlineStr">
        <is>
          <t>CDMX</t>
        </is>
      </c>
      <c r="C74" s="69" t="inlineStr">
        <is>
          <t>OCT con retinógrafo integrado, marca Nidek, modelo Retina Scan DUO-2 (RS-300)</t>
        </is>
      </c>
      <c r="D74" s="68" t="inlineStr">
        <is>
          <t>741940</t>
        </is>
      </c>
      <c r="E74" s="69" t="inlineStr">
        <is>
          <t>H.M.E.O. Constituyentes</t>
        </is>
      </c>
      <c r="F74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90000</v>
      </c>
      <c r="J74" s="291">
        <f>I74</f>
        <v/>
      </c>
      <c r="K74" s="291">
        <f>J74</f>
        <v/>
      </c>
      <c r="L74" s="291">
        <f>SUM(I74:K74)</f>
        <v/>
      </c>
      <c r="M74" s="291">
        <f>L74*0.16</f>
        <v/>
      </c>
      <c r="N74" s="291">
        <f>SUM(L74:M74)</f>
        <v/>
      </c>
      <c r="O74" s="296" t="n">
        <v>220000</v>
      </c>
      <c r="P74" s="296">
        <f>G74*O74</f>
        <v/>
      </c>
      <c r="Q74" s="296">
        <f>H74*O74</f>
        <v/>
      </c>
      <c r="R74" s="296">
        <f>SUM(P74:Q74)</f>
        <v/>
      </c>
      <c r="S74" s="296">
        <f>R74*$S$9</f>
        <v/>
      </c>
      <c r="T74" s="296">
        <f>SUM(R74:S74)</f>
        <v/>
      </c>
      <c r="U74" s="78" t="inlineStr">
        <is>
          <t>OFTALMO</t>
        </is>
      </c>
      <c r="V74" s="81" t="inlineStr">
        <is>
          <t>S4</t>
        </is>
      </c>
      <c r="W74" s="83" t="inlineStr">
        <is>
          <t>ADJUDICADO</t>
        </is>
      </c>
      <c r="X74" s="5" t="inlineStr">
        <is>
          <t>PROYECTADO</t>
        </is>
      </c>
    </row>
    <row r="75" ht="28.2" customHeight="1" s="227">
      <c r="A75" s="86" t="n">
        <v>79</v>
      </c>
      <c r="B75" s="68" t="inlineStr">
        <is>
          <t>CDMX</t>
        </is>
      </c>
      <c r="C75" s="69" t="inlineStr">
        <is>
          <t>Sistema de diagnóstico oftálmico avanzado, marca Heidelberg Engineering, modelo Spectralis</t>
        </is>
      </c>
      <c r="D75" s="68" t="inlineStr">
        <is>
          <t>SPEC-CAM-21931-53610</t>
        </is>
      </c>
      <c r="E75" s="69" t="inlineStr">
        <is>
          <t>H.M.E.O. Constituyentes</t>
        </is>
      </c>
      <c r="F75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2</v>
      </c>
      <c r="H75" s="79" t="n">
        <v>4</v>
      </c>
      <c r="I75" s="291" t="n">
        <v>122850</v>
      </c>
      <c r="J75" s="291">
        <f>I75</f>
        <v/>
      </c>
      <c r="K75" s="291">
        <f>J75</f>
        <v/>
      </c>
      <c r="L75" s="291">
        <f>SUM(I75:K75)</f>
        <v/>
      </c>
      <c r="M75" s="291">
        <f>L75*0.16</f>
        <v/>
      </c>
      <c r="N75" s="291">
        <f>SUM(L75:M75)</f>
        <v/>
      </c>
      <c r="O75" s="296" t="n">
        <v>300000</v>
      </c>
      <c r="P75" s="296">
        <f>G75*O75</f>
        <v/>
      </c>
      <c r="Q75" s="296">
        <f>H75*O75</f>
        <v/>
      </c>
      <c r="R75" s="296">
        <f>SUM(P75:Q75)</f>
        <v/>
      </c>
      <c r="S75" s="296">
        <f>R75*$S$9</f>
        <v/>
      </c>
      <c r="T75" s="296">
        <f>SUM(R75:S75)</f>
        <v/>
      </c>
      <c r="U75" s="78" t="inlineStr">
        <is>
          <t>OFTALMO</t>
        </is>
      </c>
      <c r="V75" s="81" t="inlineStr">
        <is>
          <t>ARFAMEX</t>
        </is>
      </c>
      <c r="W75" s="83" t="inlineStr">
        <is>
          <t>ADJUDICADO</t>
        </is>
      </c>
      <c r="X75" s="5" t="inlineStr">
        <is>
          <t>PROYECTADO</t>
        </is>
      </c>
    </row>
    <row r="76" ht="28.2" customHeight="1" s="227">
      <c r="A76" s="86" t="n">
        <v>80</v>
      </c>
      <c r="B76" s="68" t="inlineStr">
        <is>
          <t>CDMX</t>
        </is>
      </c>
      <c r="C76" s="69" t="inlineStr">
        <is>
          <t>Sistema de diagnóstico oftálmico avanzado, marca Heidelberg Engineering, modelo Spectralis</t>
        </is>
      </c>
      <c r="D76" s="68" t="inlineStr">
        <is>
          <t>SPEC-CAM-21920-53610</t>
        </is>
      </c>
      <c r="E76" s="69" t="inlineStr">
        <is>
          <t>H.M.E.O. Constituyentes</t>
        </is>
      </c>
      <c r="F76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2</v>
      </c>
      <c r="H76" s="79" t="n">
        <v>4</v>
      </c>
      <c r="I76" s="291" t="n">
        <v>122850</v>
      </c>
      <c r="J76" s="291">
        <f>I76</f>
        <v/>
      </c>
      <c r="K76" s="291">
        <f>J76</f>
        <v/>
      </c>
      <c r="L76" s="291">
        <f>SUM(I76:K76)</f>
        <v/>
      </c>
      <c r="M76" s="291">
        <f>L76*0.16</f>
        <v/>
      </c>
      <c r="N76" s="291">
        <f>SUM(L76:M76)</f>
        <v/>
      </c>
      <c r="O76" s="296" t="n">
        <v>300000</v>
      </c>
      <c r="P76" s="296">
        <f>G76*O76</f>
        <v/>
      </c>
      <c r="Q76" s="296">
        <f>H76*O76</f>
        <v/>
      </c>
      <c r="R76" s="296">
        <f>SUM(P76:Q76)</f>
        <v/>
      </c>
      <c r="S76" s="296">
        <f>R76*$S$9</f>
        <v/>
      </c>
      <c r="T76" s="296">
        <f>SUM(R76:S76)</f>
        <v/>
      </c>
      <c r="U76" s="78" t="inlineStr">
        <is>
          <t>OFTALMO</t>
        </is>
      </c>
      <c r="V76" s="81" t="inlineStr">
        <is>
          <t>ARFAMEX</t>
        </is>
      </c>
      <c r="W76" s="83" t="inlineStr">
        <is>
          <t>ADJUDICADO</t>
        </is>
      </c>
      <c r="X76" s="5" t="inlineStr">
        <is>
          <t>PROYECTADO</t>
        </is>
      </c>
    </row>
    <row r="77" ht="28.2" customHeight="1" s="227">
      <c r="A77" s="86" t="n">
        <v>81</v>
      </c>
      <c r="B77" s="68" t="inlineStr">
        <is>
          <t>CDMX</t>
        </is>
      </c>
      <c r="C77" s="69" t="inlineStr">
        <is>
          <t>Sistema de diagnóstico oftálmico avanzado, marca Heidelberg Engineering, modelo Spectralis</t>
        </is>
      </c>
      <c r="D77" s="68" t="inlineStr">
        <is>
          <t>SPEC-CAM-21928-53610</t>
        </is>
      </c>
      <c r="E77" s="69" t="inlineStr">
        <is>
          <t>H.M.E.O. Constituyentes</t>
        </is>
      </c>
      <c r="F77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2</v>
      </c>
      <c r="H77" s="79" t="n">
        <v>4</v>
      </c>
      <c r="I77" s="291" t="n">
        <v>122850</v>
      </c>
      <c r="J77" s="291">
        <f>I77</f>
        <v/>
      </c>
      <c r="K77" s="291">
        <f>J77</f>
        <v/>
      </c>
      <c r="L77" s="291">
        <f>SUM(I77:K77)</f>
        <v/>
      </c>
      <c r="M77" s="291">
        <f>L77*0.16</f>
        <v/>
      </c>
      <c r="N77" s="291">
        <f>SUM(L77:M77)</f>
        <v/>
      </c>
      <c r="O77" s="296" t="n">
        <v>300000</v>
      </c>
      <c r="P77" s="296">
        <f>G77*O77</f>
        <v/>
      </c>
      <c r="Q77" s="296">
        <f>H77*O77</f>
        <v/>
      </c>
      <c r="R77" s="296">
        <f>SUM(P77:Q77)</f>
        <v/>
      </c>
      <c r="S77" s="296">
        <f>R77*$S$9</f>
        <v/>
      </c>
      <c r="T77" s="296">
        <f>SUM(R77:S77)</f>
        <v/>
      </c>
      <c r="U77" s="78" t="inlineStr">
        <is>
          <t>OFTALMO</t>
        </is>
      </c>
      <c r="V77" s="81" t="inlineStr">
        <is>
          <t>ARFAMEX</t>
        </is>
      </c>
      <c r="W77" s="83" t="inlineStr">
        <is>
          <t>ADJUDICADO</t>
        </is>
      </c>
      <c r="X77" s="5" t="inlineStr">
        <is>
          <t>PROYECTADO</t>
        </is>
      </c>
    </row>
    <row r="78" ht="28.2" customHeight="1" s="227">
      <c r="A78" s="86" t="n">
        <v>82</v>
      </c>
      <c r="B78" s="68" t="inlineStr">
        <is>
          <t>CDMX</t>
        </is>
      </c>
      <c r="C78" s="69" t="inlineStr">
        <is>
          <t>Retinógrafo de campo ultra amplio, marca Optos, modelo California</t>
        </is>
      </c>
      <c r="D78" s="68" t="inlineStr">
        <is>
          <t>41652</t>
        </is>
      </c>
      <c r="E78" s="69" t="inlineStr">
        <is>
          <t>H.M.E.O. Constituyentes</t>
        </is>
      </c>
      <c r="F78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>
        <f>I78</f>
        <v/>
      </c>
      <c r="K78" s="291">
        <f>J78</f>
        <v/>
      </c>
      <c r="L78" s="291">
        <f>SUM(I78:K78)</f>
        <v/>
      </c>
      <c r="M78" s="291">
        <f>L78*0.16</f>
        <v/>
      </c>
      <c r="N78" s="291">
        <f>SUM(L78:M78)</f>
        <v/>
      </c>
      <c r="O78" s="296" t="n">
        <v>220000</v>
      </c>
      <c r="P78" s="296">
        <f>G78*O78</f>
        <v/>
      </c>
      <c r="Q78" s="296">
        <f>H78*O78</f>
        <v/>
      </c>
      <c r="R78" s="296">
        <f>SUM(P78:Q78)</f>
        <v/>
      </c>
      <c r="S78" s="296">
        <f>R78*$S$9</f>
        <v/>
      </c>
      <c r="T78" s="296">
        <f>SUM(R78:S78)</f>
        <v/>
      </c>
      <c r="U78" s="78" t="inlineStr">
        <is>
          <t>OFTALMO</t>
        </is>
      </c>
      <c r="V78" s="81" t="inlineStr">
        <is>
          <t>DEWIMED</t>
        </is>
      </c>
      <c r="W78" s="83" t="inlineStr">
        <is>
          <t>ADJUDICADO</t>
        </is>
      </c>
      <c r="X78" s="5" t="inlineStr">
        <is>
          <t>PROYECTADO</t>
        </is>
      </c>
    </row>
    <row r="79" ht="28.2" customHeight="1" s="227">
      <c r="A79" s="86" t="n">
        <v>83</v>
      </c>
      <c r="B79" s="68" t="inlineStr">
        <is>
          <t>CDMX</t>
        </is>
      </c>
      <c r="C79" s="69" t="inlineStr">
        <is>
          <t>Retinógrafo de campo ultra amplio, marca Optos, modelo California</t>
        </is>
      </c>
      <c r="D79" s="68" t="inlineStr">
        <is>
          <t>41656</t>
        </is>
      </c>
      <c r="E79" s="69" t="inlineStr">
        <is>
          <t>H.M.E.O. Constituyentes</t>
        </is>
      </c>
      <c r="F79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100000</v>
      </c>
      <c r="J79" s="291">
        <f>I79</f>
        <v/>
      </c>
      <c r="K79" s="291">
        <f>J79</f>
        <v/>
      </c>
      <c r="L79" s="291">
        <f>SUM(I79:K79)</f>
        <v/>
      </c>
      <c r="M79" s="291">
        <f>L79*0.16</f>
        <v/>
      </c>
      <c r="N79" s="291">
        <f>SUM(L79:M79)</f>
        <v/>
      </c>
      <c r="O79" s="296" t="n">
        <v>220000</v>
      </c>
      <c r="P79" s="296">
        <f>G79*O79</f>
        <v/>
      </c>
      <c r="Q79" s="296">
        <f>H79*O79</f>
        <v/>
      </c>
      <c r="R79" s="296">
        <f>SUM(P79:Q79)</f>
        <v/>
      </c>
      <c r="S79" s="296">
        <f>R79*$S$9</f>
        <v/>
      </c>
      <c r="T79" s="296">
        <f>SUM(R79:S79)</f>
        <v/>
      </c>
      <c r="U79" s="78" t="inlineStr">
        <is>
          <t>OFTALMO</t>
        </is>
      </c>
      <c r="V79" s="81" t="inlineStr">
        <is>
          <t>DEWIMED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86" t="n">
        <v>87</v>
      </c>
      <c r="B80" s="68" t="inlineStr">
        <is>
          <t>EDO DE MEX</t>
        </is>
      </c>
      <c r="C80" s="69" t="inlineStr">
        <is>
          <t>Autoqueratorrefractor, marca Nidek, modelo ARK-F</t>
        </is>
      </c>
      <c r="D80" s="68" t="inlineStr">
        <is>
          <t>270010</t>
        </is>
      </c>
      <c r="E80" s="69" t="inlineStr">
        <is>
          <t>H.M.R. Santa Lucía</t>
        </is>
      </c>
      <c r="F80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</v>
      </c>
      <c r="J80" s="291">
        <f>I80</f>
        <v/>
      </c>
      <c r="K80" s="291">
        <f>J80</f>
        <v/>
      </c>
      <c r="L80" s="291">
        <f>SUM(I80:K80)</f>
        <v/>
      </c>
      <c r="M80" s="291">
        <f>L80*0.16</f>
        <v/>
      </c>
      <c r="N80" s="291">
        <f>SUM(L80:M80)</f>
        <v/>
      </c>
      <c r="O80" s="296" t="n">
        <v>120000</v>
      </c>
      <c r="P80" s="296">
        <f>G80*O80</f>
        <v/>
      </c>
      <c r="Q80" s="296">
        <f>H80*O80</f>
        <v/>
      </c>
      <c r="R80" s="296">
        <f>SUM(P80:Q80)</f>
        <v/>
      </c>
      <c r="S80" s="296">
        <f>R80*$S$9</f>
        <v/>
      </c>
      <c r="T80" s="296">
        <f>SUM(R80:S80)</f>
        <v/>
      </c>
      <c r="U80" s="78" t="inlineStr">
        <is>
          <t>OFTALMO</t>
        </is>
      </c>
      <c r="V80" s="81" t="inlineStr">
        <is>
          <t>S4</t>
        </is>
      </c>
      <c r="W80" s="83" t="inlineStr">
        <is>
          <t>ADJUDICADO</t>
        </is>
      </c>
      <c r="X80" s="5" t="inlineStr">
        <is>
          <t>PROYECTADO</t>
        </is>
      </c>
    </row>
    <row r="81" ht="28.2" customHeight="1" s="227">
      <c r="A81" s="86" t="n">
        <v>88</v>
      </c>
      <c r="B81" s="68" t="inlineStr">
        <is>
          <t>EDO DE MEX</t>
        </is>
      </c>
      <c r="C81" s="69" t="inlineStr">
        <is>
          <t>Tomógrafo-topógrafo corneal, marca CSO, modelo Sirius</t>
        </is>
      </c>
      <c r="D81" s="68" t="inlineStr">
        <is>
          <t>21091186</t>
        </is>
      </c>
      <c r="E81" s="69" t="inlineStr">
        <is>
          <t>H.M.R. Santa Lucía</t>
        </is>
      </c>
      <c r="F81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SUM(I81:K81)</f>
        <v/>
      </c>
      <c r="M81" s="291">
        <f>L81*0.16</f>
        <v/>
      </c>
      <c r="N81" s="291">
        <f>SUM(L81:M81)</f>
        <v/>
      </c>
      <c r="O81" s="296" t="n">
        <v>175000</v>
      </c>
      <c r="P81" s="296">
        <f>G81*O81</f>
        <v/>
      </c>
      <c r="Q81" s="296">
        <f>H81*O81</f>
        <v/>
      </c>
      <c r="R81" s="296">
        <f>SUM(P81:Q81)</f>
        <v/>
      </c>
      <c r="S81" s="296">
        <f>R81*$S$9</f>
        <v/>
      </c>
      <c r="T81" s="296">
        <f>SUM(R81:S81)</f>
        <v/>
      </c>
      <c r="U81" s="78" t="inlineStr">
        <is>
          <t>OFTALMO</t>
        </is>
      </c>
      <c r="V81" s="81" t="inlineStr">
        <is>
          <t>S4</t>
        </is>
      </c>
      <c r="W81" s="83" t="inlineStr">
        <is>
          <t>ADJUDICADO</t>
        </is>
      </c>
      <c r="X81" s="5" t="inlineStr">
        <is>
          <t>PROYECTADO</t>
        </is>
      </c>
    </row>
    <row r="82" ht="28.2" customHeight="1" s="227">
      <c r="A82" s="86" t="n">
        <v>94</v>
      </c>
      <c r="B82" s="68" t="inlineStr">
        <is>
          <t>EDO DE MEX</t>
        </is>
      </c>
      <c r="C82" s="69" t="inlineStr">
        <is>
          <t>Fotocoagulador láser, marca Topcon, modelo Pascal Synthesis</t>
        </is>
      </c>
      <c r="D82" s="68" t="inlineStr">
        <is>
          <t>79140219</t>
        </is>
      </c>
      <c r="E82" s="69" t="inlineStr">
        <is>
          <t>H.M.R. Santa Lucía</t>
        </is>
      </c>
      <c r="F82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200000</v>
      </c>
      <c r="J82" s="291">
        <f>I82</f>
        <v/>
      </c>
      <c r="K82" s="291">
        <f>J82</f>
        <v/>
      </c>
      <c r="L82" s="291">
        <f>SUM(I82:K82)</f>
        <v/>
      </c>
      <c r="M82" s="291">
        <f>L82*0.16</f>
        <v/>
      </c>
      <c r="N82" s="291">
        <f>SUM(L82:M82)</f>
        <v/>
      </c>
      <c r="O82" s="296" t="n">
        <v>420000</v>
      </c>
      <c r="P82" s="296">
        <f>G82*O82</f>
        <v/>
      </c>
      <c r="Q82" s="296">
        <f>H82*O82</f>
        <v/>
      </c>
      <c r="R82" s="296">
        <f>SUM(P82:Q82)</f>
        <v/>
      </c>
      <c r="S82" s="296">
        <f>R82*$S$9</f>
        <v/>
      </c>
      <c r="T82" s="296">
        <f>SUM(R82:S82)</f>
        <v/>
      </c>
      <c r="U82" s="78" t="inlineStr">
        <is>
          <t>OFTALMO</t>
        </is>
      </c>
      <c r="V82" s="81" t="inlineStr">
        <is>
          <t>TOPCON</t>
        </is>
      </c>
      <c r="W82" s="83" t="inlineStr">
        <is>
          <t>ADJUDICADO</t>
        </is>
      </c>
      <c r="X82" s="5" t="inlineStr">
        <is>
          <t>PROYECTADO</t>
        </is>
      </c>
    </row>
    <row r="83" ht="28.2" customHeight="1" s="227">
      <c r="A83" s="92" t="n">
        <v>98</v>
      </c>
      <c r="B83" s="68" t="inlineStr">
        <is>
          <t>BAJA CALIFORNIA</t>
        </is>
      </c>
      <c r="C83" s="69" t="inlineStr">
        <is>
          <t>Tomógrafo-topógrafo corneal, marca Bausch &amp; Lomb, modelo Orbscan II</t>
        </is>
      </c>
      <c r="D83" s="68" t="inlineStr">
        <is>
          <t>71023432</t>
        </is>
      </c>
      <c r="E83" s="69" t="inlineStr">
        <is>
          <t>H.M.R. La Paz</t>
        </is>
      </c>
      <c r="F83" s="95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/>
      <c r="J83" s="291">
        <f>I83</f>
        <v/>
      </c>
      <c r="K83" s="291">
        <f>J83</f>
        <v/>
      </c>
      <c r="L83" s="291" t="n"/>
      <c r="M83" s="291" t="n"/>
      <c r="N83" s="291" t="n"/>
      <c r="O83" s="296" t="n">
        <v>380000</v>
      </c>
      <c r="P83" s="296">
        <f>G83*O83</f>
        <v/>
      </c>
      <c r="Q83" s="296">
        <f>H83*O83</f>
        <v/>
      </c>
      <c r="R83" s="296">
        <f>SUM(P83:Q83)</f>
        <v/>
      </c>
      <c r="S83" s="296">
        <f>R83*$S$9</f>
        <v/>
      </c>
      <c r="T83" s="296">
        <f>SUM(R83:S83)</f>
        <v/>
      </c>
      <c r="U83" s="78" t="inlineStr">
        <is>
          <t>OFTALMO</t>
        </is>
      </c>
      <c r="V83" s="81" t="inlineStr">
        <is>
          <t>BAUSH</t>
        </is>
      </c>
      <c r="W83" s="91" t="inlineStr">
        <is>
          <t>NO ADJUDICADO</t>
        </is>
      </c>
      <c r="X83" s="5" t="inlineStr">
        <is>
          <t>PROYECTADO</t>
        </is>
      </c>
    </row>
    <row r="84" ht="28.2" customHeight="1" s="227">
      <c r="A84" s="92" t="n">
        <v>99</v>
      </c>
      <c r="B84" s="68" t="inlineStr">
        <is>
          <t>DURANGO</t>
        </is>
      </c>
      <c r="C84" s="69" t="inlineStr">
        <is>
          <t>Rayos X fijo, marca Del Medical, modelo EV 800</t>
        </is>
      </c>
      <c r="D84" s="68" t="inlineStr">
        <is>
          <t>02776-1019-W</t>
        </is>
      </c>
      <c r="E84" s="69" t="inlineStr">
        <is>
          <t>H.M.Z. Cinco de Mayo</t>
        </is>
      </c>
      <c r="F84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/>
      <c r="J84" s="291">
        <f>I84</f>
        <v/>
      </c>
      <c r="K84" s="291">
        <f>J84</f>
        <v/>
      </c>
      <c r="L84" s="291" t="n"/>
      <c r="M84" s="291" t="n"/>
      <c r="N84" s="291" t="n"/>
      <c r="O84" s="296" t="n">
        <v>350000</v>
      </c>
      <c r="P84" s="296">
        <f>G84*O84</f>
        <v/>
      </c>
      <c r="Q84" s="296">
        <f>H84*O84</f>
        <v/>
      </c>
      <c r="R84" s="296">
        <f>SUM(P84:Q84)</f>
        <v/>
      </c>
      <c r="S84" s="296">
        <f>R84*$S$9</f>
        <v/>
      </c>
      <c r="T84" s="296">
        <f>SUM(R84:S84)</f>
        <v/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107</v>
      </c>
      <c r="B85" s="68" t="inlineStr">
        <is>
          <t>CDMX</t>
        </is>
      </c>
      <c r="C85" s="69" t="inlineStr">
        <is>
          <t>Rayos X móvil, marca Fujifilm, modelo DR-XD 1000</t>
        </is>
      </c>
      <c r="D85" s="68" t="inlineStr">
        <is>
          <t>77250288</t>
        </is>
      </c>
      <c r="E85" s="69" t="inlineStr">
        <is>
          <t>H.C.M. Lomas de Sotelo</t>
        </is>
      </c>
      <c r="F85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/>
      <c r="J85" s="291">
        <f>I85</f>
        <v/>
      </c>
      <c r="K85" s="291">
        <f>J85</f>
        <v/>
      </c>
      <c r="L85" s="291" t="n"/>
      <c r="M85" s="291" t="n"/>
      <c r="N85" s="291" t="n"/>
      <c r="O85" s="296" t="n">
        <v>220000</v>
      </c>
      <c r="P85" s="296">
        <f>G85*O85</f>
        <v/>
      </c>
      <c r="Q85" s="296">
        <f>H85*O85</f>
        <v/>
      </c>
      <c r="R85" s="296">
        <f>SUM(P85:Q85)</f>
        <v/>
      </c>
      <c r="S85" s="296">
        <f>R85*$S$9</f>
        <v/>
      </c>
      <c r="T85" s="296">
        <f>SUM(R85:S85)</f>
        <v/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111</v>
      </c>
      <c r="B86" s="68" t="inlineStr">
        <is>
          <t>CDMX</t>
        </is>
      </c>
      <c r="C86" s="69" t="inlineStr">
        <is>
          <t>Rayos X móvil, marca Fujifilm, modelo FDR Go</t>
        </is>
      </c>
      <c r="D86" s="68" t="inlineStr">
        <is>
          <t>566-19888-11</t>
        </is>
      </c>
      <c r="E86" s="69" t="inlineStr">
        <is>
          <t>H.M.E.M. Y N. Lomas de Sotelo</t>
        </is>
      </c>
      <c r="F86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/>
      <c r="J86" s="291">
        <f>I86</f>
        <v/>
      </c>
      <c r="K86" s="291">
        <f>J86</f>
        <v/>
      </c>
      <c r="L86" s="291" t="n"/>
      <c r="M86" s="291" t="n"/>
      <c r="N86" s="291" t="n"/>
      <c r="O86" s="296" t="n">
        <v>210000</v>
      </c>
      <c r="P86" s="296">
        <f>G86*O86</f>
        <v/>
      </c>
      <c r="Q86" s="296">
        <f>H86*O86</f>
        <v/>
      </c>
      <c r="R86" s="296">
        <f>SUM(P86:Q86)</f>
        <v/>
      </c>
      <c r="S86" s="296">
        <f>R86*$S$9</f>
        <v/>
      </c>
      <c r="T86" s="296">
        <f>SUM(R86:S86)</f>
        <v/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86" t="n">
        <v>112</v>
      </c>
      <c r="B87" s="68" t="inlineStr">
        <is>
          <t>CDMX</t>
        </is>
      </c>
      <c r="C87" s="69" t="inlineStr">
        <is>
          <t>Sistema digital de imagen de campo amplio, marca Clarity Medical Systems, modelo RetCam 3</t>
        </is>
      </c>
      <c r="D87" s="68" t="inlineStr">
        <is>
          <t>RC7406</t>
        </is>
      </c>
      <c r="E87" s="69" t="inlineStr">
        <is>
          <t>H.M.E.M. Y N. Lomas de Sotelo</t>
        </is>
      </c>
      <c r="F87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150000</v>
      </c>
      <c r="J87" s="291">
        <f>I87</f>
        <v/>
      </c>
      <c r="K87" s="291">
        <f>J87</f>
        <v/>
      </c>
      <c r="L87" s="291">
        <f>SUM(I87:K87)</f>
        <v/>
      </c>
      <c r="M87" s="291">
        <f>L87*0.16</f>
        <v/>
      </c>
      <c r="N87" s="291">
        <f>SUM(L87:M87)</f>
        <v/>
      </c>
      <c r="O87" s="296" t="n">
        <v>320000</v>
      </c>
      <c r="P87" s="296">
        <f>G87*O87</f>
        <v/>
      </c>
      <c r="Q87" s="296">
        <f>H87*O87</f>
        <v/>
      </c>
      <c r="R87" s="296">
        <f>SUM(P87:Q87)</f>
        <v/>
      </c>
      <c r="S87" s="296">
        <f>R87*$S$9</f>
        <v/>
      </c>
      <c r="T87" s="296">
        <f>SUM(R87:S87)</f>
        <v/>
      </c>
      <c r="U87" s="78" t="inlineStr">
        <is>
          <t>OFTALMO</t>
        </is>
      </c>
      <c r="V87" s="85" t="n"/>
      <c r="W87" s="83" t="inlineStr">
        <is>
          <t>ADJUDICADO</t>
        </is>
      </c>
      <c r="X87" s="5" t="inlineStr">
        <is>
          <t>PROYECTADO</t>
        </is>
      </c>
    </row>
    <row r="88" ht="28.2" customHeight="1" s="227">
      <c r="A88" s="92" t="n">
        <v>116</v>
      </c>
      <c r="B88" s="68" t="inlineStr">
        <is>
          <t>JALISCO</t>
        </is>
      </c>
      <c r="C88" s="69" t="inlineStr">
        <is>
          <t>Rayos X móvil, marca Fujifilm, modelo FDR Go</t>
        </is>
      </c>
      <c r="D88" s="68" t="inlineStr">
        <is>
          <t>F168B78007</t>
        </is>
      </c>
      <c r="E88" s="69" t="inlineStr">
        <is>
          <t>H.M.Z. Zapopan</t>
        </is>
      </c>
      <c r="F88" s="95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/>
      <c r="J88" s="291">
        <f>I88</f>
        <v/>
      </c>
      <c r="K88" s="291">
        <f>J88</f>
        <v/>
      </c>
      <c r="L88" s="291" t="n"/>
      <c r="M88" s="291" t="n"/>
      <c r="N88" s="291" t="n"/>
      <c r="O88" s="296" t="n">
        <v>350000</v>
      </c>
      <c r="P88" s="296">
        <f>G88*O88</f>
        <v/>
      </c>
      <c r="Q88" s="296">
        <f>H88*O88</f>
        <v/>
      </c>
      <c r="R88" s="296">
        <f>SUM(P88:Q88)</f>
        <v/>
      </c>
      <c r="S88" s="296">
        <f>R88*$S$9</f>
        <v/>
      </c>
      <c r="T88" s="296">
        <f>SUM(R88:S88)</f>
        <v/>
      </c>
      <c r="U88" s="78" t="inlineStr">
        <is>
          <t>IMAGEN</t>
        </is>
      </c>
      <c r="V88" s="85" t="n"/>
      <c r="W88" s="91" t="inlineStr">
        <is>
          <t>NO ADJUDICADO</t>
        </is>
      </c>
      <c r="X88" s="5" t="inlineStr">
        <is>
          <t>PROYECTADO</t>
        </is>
      </c>
    </row>
    <row r="89" ht="28.2" customHeight="1" s="227">
      <c r="A89" s="92" t="n">
        <v>119</v>
      </c>
      <c r="B89" s="68" t="inlineStr">
        <is>
          <t>COAHUILA</t>
        </is>
      </c>
      <c r="C89" s="69" t="inlineStr">
        <is>
          <t>Rayos X móvil, marca Fujifilm, modelo FDR Go</t>
        </is>
      </c>
      <c r="D89" s="68" t="inlineStr">
        <is>
          <t>41DBBA14CO</t>
        </is>
      </c>
      <c r="E89" s="69" t="inlineStr">
        <is>
          <t>H.M.R. Torreón</t>
        </is>
      </c>
      <c r="F89" s="95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/>
      <c r="J89" s="291">
        <f>I89</f>
        <v/>
      </c>
      <c r="K89" s="291">
        <f>J89</f>
        <v/>
      </c>
      <c r="L89" s="291" t="n"/>
      <c r="M89" s="291" t="n"/>
      <c r="N89" s="291" t="n"/>
      <c r="O89" s="296" t="n">
        <v>350000</v>
      </c>
      <c r="P89" s="296">
        <f>G89*O89</f>
        <v/>
      </c>
      <c r="Q89" s="296">
        <f>H89*O89</f>
        <v/>
      </c>
      <c r="R89" s="296">
        <f>SUM(P89:Q89)</f>
        <v/>
      </c>
      <c r="S89" s="296">
        <f>R89*$S$9</f>
        <v/>
      </c>
      <c r="T89" s="296">
        <f>SUM(R89:S89)</f>
        <v/>
      </c>
      <c r="U89" s="78" t="inlineStr">
        <is>
          <t>IMAGEN</t>
        </is>
      </c>
      <c r="V89" s="85" t="n"/>
      <c r="W89" s="91" t="inlineStr">
        <is>
          <t>NO ADJUDICADO</t>
        </is>
      </c>
      <c r="X89" s="5" t="inlineStr">
        <is>
          <t>PROYECTADO</t>
        </is>
      </c>
    </row>
    <row r="90" ht="28.2" customHeight="1" s="227">
      <c r="A90" s="92" t="n">
        <v>134</v>
      </c>
      <c r="B90" s="68" t="inlineStr">
        <is>
          <t>VERACRUZ</t>
        </is>
      </c>
      <c r="C90" s="69" t="inlineStr">
        <is>
          <t>Rayos X móvil, marca Fujifilm, modelo FDR Go</t>
        </is>
      </c>
      <c r="D90" s="68" t="inlineStr">
        <is>
          <t>41DBBA14A019</t>
        </is>
      </c>
      <c r="E90" s="69" t="inlineStr">
        <is>
          <t>H.M.R. Tuxpan</t>
        </is>
      </c>
      <c r="F90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inlineStr">
        <is>
          <t>NO</t>
        </is>
      </c>
      <c r="J90" s="291">
        <f>I90</f>
        <v/>
      </c>
      <c r="K90" s="291">
        <f>J90</f>
        <v/>
      </c>
      <c r="L90" s="291" t="n"/>
      <c r="M90" s="291" t="n"/>
      <c r="N90" s="291" t="n"/>
      <c r="O90" s="296" t="n">
        <v>140000</v>
      </c>
      <c r="P90" s="296">
        <f>G90*O90</f>
        <v/>
      </c>
      <c r="Q90" s="296">
        <f>H90*O90</f>
        <v/>
      </c>
      <c r="R90" s="296">
        <f>SUM(P90:Q90)</f>
        <v/>
      </c>
      <c r="S90" s="296">
        <f>R90*$S$9</f>
        <v/>
      </c>
      <c r="T90" s="296">
        <f>SUM(R90:S90)</f>
        <v/>
      </c>
      <c r="U90" s="78" t="inlineStr">
        <is>
          <t>IMAGEN</t>
        </is>
      </c>
      <c r="V90" s="85" t="n"/>
      <c r="W90" s="103" t="inlineStr">
        <is>
          <t>ADJUDICADO</t>
        </is>
      </c>
      <c r="X90" s="5" t="inlineStr">
        <is>
          <t>NO PROYECTADO</t>
        </is>
      </c>
    </row>
    <row r="91" ht="28.2" customHeight="1" s="227">
      <c r="A91" s="92" t="n">
        <v>140</v>
      </c>
      <c r="B91" s="68" t="inlineStr">
        <is>
          <t>CHIAPAS</t>
        </is>
      </c>
      <c r="C91" s="69" t="inlineStr">
        <is>
          <t>Rayos X móvil, marca Fujifilm, modelo FDR Go</t>
        </is>
      </c>
      <c r="D91" s="68" t="inlineStr">
        <is>
          <t>41DBBA146046</t>
        </is>
      </c>
      <c r="E91" s="69" t="inlineStr">
        <is>
          <t>H.M.R. Tuxtla Gutiérrez</t>
        </is>
      </c>
      <c r="F91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/>
      <c r="J91" s="291">
        <f>I91</f>
        <v/>
      </c>
      <c r="K91" s="291">
        <f>J91</f>
        <v/>
      </c>
      <c r="L91" s="291" t="n"/>
      <c r="M91" s="291" t="n"/>
      <c r="N91" s="291" t="n"/>
      <c r="O91" s="296" t="n">
        <v>230000</v>
      </c>
      <c r="P91" s="296">
        <f>G91*O91</f>
        <v/>
      </c>
      <c r="Q91" s="296">
        <f>H91*O91</f>
        <v/>
      </c>
      <c r="R91" s="296">
        <f>SUM(P91:Q91)</f>
        <v/>
      </c>
      <c r="S91" s="296">
        <f>R91*$S$9</f>
        <v/>
      </c>
      <c r="T91" s="296">
        <f>SUM(R91:S91)</f>
        <v/>
      </c>
      <c r="U91" s="78" t="inlineStr">
        <is>
          <t>IMAGEN</t>
        </is>
      </c>
      <c r="V91" s="85" t="n"/>
      <c r="W91" s="103" t="inlineStr">
        <is>
          <t>ADJUDICADO</t>
        </is>
      </c>
      <c r="X91" s="5" t="inlineStr">
        <is>
          <t>NO PROYECTADO</t>
        </is>
      </c>
    </row>
    <row r="92" ht="28.2" customHeight="1" s="227">
      <c r="A92" s="92" t="n">
        <v>144</v>
      </c>
      <c r="B92" s="68" t="inlineStr">
        <is>
          <t>YUCATAN</t>
        </is>
      </c>
      <c r="C92" s="69" t="inlineStr">
        <is>
          <t>Rayos X móvil, marca Villa Sistemi Medicali, modelo Visitor T30 M-DR</t>
        </is>
      </c>
      <c r="D92" s="68" t="inlineStr">
        <is>
          <t>17091017</t>
        </is>
      </c>
      <c r="E92" s="69" t="inlineStr">
        <is>
          <t>H.M.R.E. Mérida</t>
        </is>
      </c>
      <c r="F92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/>
      <c r="J92" s="291">
        <f>I92</f>
        <v/>
      </c>
      <c r="K92" s="291">
        <f>J92</f>
        <v/>
      </c>
      <c r="L92" s="291" t="n"/>
      <c r="M92" s="291" t="n"/>
      <c r="N92" s="291" t="n"/>
      <c r="O92" s="296" t="n">
        <v>350000</v>
      </c>
      <c r="P92" s="296">
        <f>G92*O92</f>
        <v/>
      </c>
      <c r="Q92" s="296">
        <f>H92*O92</f>
        <v/>
      </c>
      <c r="R92" s="296">
        <f>SUM(P92:Q92)</f>
        <v/>
      </c>
      <c r="S92" s="296">
        <f>R92*$S$9</f>
        <v/>
      </c>
      <c r="T92" s="296">
        <f>SUM(R92:S92)</f>
        <v/>
      </c>
      <c r="U92" s="78" t="inlineStr">
        <is>
          <t>IMAGEN</t>
        </is>
      </c>
      <c r="V92" s="85" t="n"/>
      <c r="W92" s="103" t="inlineStr">
        <is>
          <t>ADJUDICADO</t>
        </is>
      </c>
      <c r="X92" s="5" t="inlineStr">
        <is>
          <t>NO PROYECTADO</t>
        </is>
      </c>
    </row>
    <row r="93" ht="28.2" customHeight="1" s="227">
      <c r="A93" s="92" t="n">
        <v>145</v>
      </c>
      <c r="B93" s="68" t="inlineStr">
        <is>
          <t>YUCATAN</t>
        </is>
      </c>
      <c r="C93" s="69" t="inlineStr">
        <is>
          <t>Equipo de rayos X móvil, marca Technix, modelo TMS 320</t>
        </is>
      </c>
      <c r="D93" s="68" t="inlineStr">
        <is>
          <t>80-16-103-174</t>
        </is>
      </c>
      <c r="E93" s="69" t="inlineStr">
        <is>
          <t>H.M.R.E. Mérida</t>
        </is>
      </c>
      <c r="F93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/>
      <c r="J93" s="291">
        <f>I93</f>
        <v/>
      </c>
      <c r="K93" s="291">
        <f>J93</f>
        <v/>
      </c>
      <c r="L93" s="291" t="n"/>
      <c r="M93" s="291" t="n"/>
      <c r="N93" s="291" t="n"/>
      <c r="O93" s="296" t="n">
        <v>220000</v>
      </c>
      <c r="P93" s="296">
        <f>G93*O93</f>
        <v/>
      </c>
      <c r="Q93" s="296">
        <f>H93*O93</f>
        <v/>
      </c>
      <c r="R93" s="296">
        <f>SUM(P93:Q93)</f>
        <v/>
      </c>
      <c r="S93" s="296">
        <f>R93*$S$9</f>
        <v/>
      </c>
      <c r="T93" s="296">
        <f>SUM(R93:S93)</f>
        <v/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149</v>
      </c>
      <c r="B94" s="68" t="inlineStr">
        <is>
          <t>SAN LUIS POTOSI</t>
        </is>
      </c>
      <c r="C94" s="69" t="inlineStr">
        <is>
          <t>Equipo de rayos X móvil, marca Technix, modelo TMS 320</t>
        </is>
      </c>
      <c r="D94" s="68" t="inlineStr">
        <is>
          <t>80-16-87-158</t>
        </is>
      </c>
      <c r="E94" s="69" t="inlineStr">
        <is>
          <t>H.M.R. San Luis Potosí</t>
        </is>
      </c>
      <c r="F94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/>
      <c r="J94" s="291">
        <f>I94</f>
        <v/>
      </c>
      <c r="K94" s="291">
        <f>J94</f>
        <v/>
      </c>
      <c r="L94" s="291" t="n"/>
      <c r="M94" s="291" t="n"/>
      <c r="N94" s="291" t="n"/>
      <c r="O94" s="296" t="n">
        <v>250000</v>
      </c>
      <c r="P94" s="296">
        <f>G94*O94</f>
        <v/>
      </c>
      <c r="Q94" s="296">
        <f>H94*O94</f>
        <v/>
      </c>
      <c r="R94" s="296">
        <f>SUM(P94:Q94)</f>
        <v/>
      </c>
      <c r="S94" s="296">
        <f>R94*$S$9</f>
        <v/>
      </c>
      <c r="T94" s="296">
        <f>SUM(R94:S94)</f>
        <v/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152</v>
      </c>
      <c r="B95" s="68" t="inlineStr">
        <is>
          <t>SINALOA</t>
        </is>
      </c>
      <c r="C95" s="69" t="inlineStr">
        <is>
          <t>Impresora para placas radiográficas, marca Codonics, modelo Horizon Ci</t>
        </is>
      </c>
      <c r="D95" s="68" t="inlineStr">
        <is>
          <t>50C00404C</t>
        </is>
      </c>
      <c r="E95" s="69" t="inlineStr">
        <is>
          <t>H.M.R.E. Mazatlán</t>
        </is>
      </c>
      <c r="F95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/>
      <c r="J95" s="291">
        <f>I95</f>
        <v/>
      </c>
      <c r="K95" s="291">
        <f>J95</f>
        <v/>
      </c>
      <c r="L95" s="291" t="n"/>
      <c r="M95" s="291" t="n"/>
      <c r="N95" s="291" t="n"/>
      <c r="O95" s="296" t="n">
        <v>300000</v>
      </c>
      <c r="P95" s="296">
        <f>G95*O95</f>
        <v/>
      </c>
      <c r="Q95" s="296">
        <f>H95*O95</f>
        <v/>
      </c>
      <c r="R95" s="296">
        <f>SUM(P95:Q95)</f>
        <v/>
      </c>
      <c r="S95" s="296">
        <f>R95*$S$9</f>
        <v/>
      </c>
      <c r="T95" s="296">
        <f>SUM(R95:S95)</f>
        <v/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86" t="n">
        <v>154</v>
      </c>
      <c r="B96" s="68" t="inlineStr">
        <is>
          <t>SINALOA</t>
        </is>
      </c>
      <c r="C96" s="69" t="inlineStr">
        <is>
          <t>Microscopio para cirugía, marca Haag-Streit Surgical, modelo Moller Wedel</t>
        </is>
      </c>
      <c r="D96" s="68" t="inlineStr">
        <is>
          <t>30155514</t>
        </is>
      </c>
      <c r="E96" s="69" t="inlineStr">
        <is>
          <t>H.M.R.E. Mazatlán</t>
        </is>
      </c>
      <c r="F96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80000</v>
      </c>
      <c r="J96" s="291">
        <f>I96</f>
        <v/>
      </c>
      <c r="K96" s="291">
        <f>J96</f>
        <v/>
      </c>
      <c r="L96" s="291">
        <f>SUM(I96:K96)</f>
        <v/>
      </c>
      <c r="M96" s="291">
        <f>L96*0.16</f>
        <v/>
      </c>
      <c r="N96" s="291">
        <f>SUM(L96:M96)</f>
        <v/>
      </c>
      <c r="O96" s="296" t="n">
        <v>160000</v>
      </c>
      <c r="P96" s="296">
        <f>G96*O96</f>
        <v/>
      </c>
      <c r="Q96" s="296">
        <f>H96*O96</f>
        <v/>
      </c>
      <c r="R96" s="296">
        <f>SUM(P96:Q96)</f>
        <v/>
      </c>
      <c r="S96" s="296">
        <f>R96*$S$9</f>
        <v/>
      </c>
      <c r="T96" s="296">
        <f>SUM(R96:S96)</f>
        <v/>
      </c>
      <c r="U96" s="78" t="inlineStr">
        <is>
          <t>OFTALMO</t>
        </is>
      </c>
      <c r="V96" s="81" t="inlineStr">
        <is>
          <t>DEWIMED</t>
        </is>
      </c>
      <c r="W96" s="83" t="inlineStr">
        <is>
          <t>ADJUDICADO</t>
        </is>
      </c>
      <c r="X96" s="5" t="inlineStr">
        <is>
          <t>PROYECTADO</t>
        </is>
      </c>
    </row>
    <row r="97" ht="28.2" customHeight="1" s="227">
      <c r="A97" s="86" t="n">
        <v>156</v>
      </c>
      <c r="B97" s="68" t="inlineStr">
        <is>
          <t>CDMX</t>
        </is>
      </c>
      <c r="C97" s="69" t="inlineStr">
        <is>
          <t>Equipo de rayos X móvil, marca Technix, modelo TMS 320</t>
        </is>
      </c>
      <c r="D97" s="68" t="inlineStr">
        <is>
          <t>80-16-79-150</t>
        </is>
      </c>
      <c r="E97" s="69" t="inlineStr">
        <is>
          <t>H.C.M. Lomas de Sotelo</t>
        </is>
      </c>
      <c r="F97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100000</v>
      </c>
      <c r="J97" s="291">
        <f>I97</f>
        <v/>
      </c>
      <c r="K97" s="291">
        <f>J97</f>
        <v/>
      </c>
      <c r="L97" s="291">
        <f>SUM(I97:K97)</f>
        <v/>
      </c>
      <c r="M97" s="291">
        <f>L97*0.16</f>
        <v/>
      </c>
      <c r="N97" s="291">
        <f>SUM(L97:M97)</f>
        <v/>
      </c>
      <c r="O97" s="296" t="n">
        <v>220000</v>
      </c>
      <c r="P97" s="296">
        <f>G97*O97</f>
        <v/>
      </c>
      <c r="Q97" s="296">
        <f>H97*O97</f>
        <v/>
      </c>
      <c r="R97" s="296">
        <f>SUM(P97:Q97)</f>
        <v/>
      </c>
      <c r="S97" s="296">
        <f>R97*$S$9</f>
        <v/>
      </c>
      <c r="T97" s="296">
        <f>SUM(R97:S97)</f>
        <v/>
      </c>
      <c r="U97" s="78" t="inlineStr">
        <is>
          <t>IMAGEN</t>
        </is>
      </c>
      <c r="V97" s="85" t="n"/>
      <c r="W97" s="83" t="inlineStr">
        <is>
          <t>ADJUDICADO</t>
        </is>
      </c>
      <c r="X97" s="5" t="inlineStr">
        <is>
          <t>PROYECTADO</t>
        </is>
      </c>
    </row>
    <row r="98" ht="28.2" customHeight="1" s="227">
      <c r="A98" s="86" t="n">
        <v>159</v>
      </c>
      <c r="B98" s="68" t="inlineStr">
        <is>
          <t>NUEVO LEON</t>
        </is>
      </c>
      <c r="C98" s="69" t="inlineStr">
        <is>
          <t>Microscopio para cirugía, marca Haag-Streit Surgical, modelo HS Hi-R 700</t>
        </is>
      </c>
      <c r="D98" s="68" t="inlineStr">
        <is>
          <t>1303</t>
        </is>
      </c>
      <c r="E98" s="69" t="inlineStr">
        <is>
          <t>H.M.R.E. Monterrey</t>
        </is>
      </c>
      <c r="F98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80000</v>
      </c>
      <c r="J98" s="291">
        <f>I98</f>
        <v/>
      </c>
      <c r="K98" s="291">
        <f>J98</f>
        <v/>
      </c>
      <c r="L98" s="291">
        <f>SUM(I98:K98)</f>
        <v/>
      </c>
      <c r="M98" s="291">
        <f>L98*0.16</f>
        <v/>
      </c>
      <c r="N98" s="291">
        <f>SUM(L98:M98)</f>
        <v/>
      </c>
      <c r="O98" s="296" t="n">
        <v>160000</v>
      </c>
      <c r="P98" s="296">
        <f>G98*O98</f>
        <v/>
      </c>
      <c r="Q98" s="296">
        <f>H98*O98</f>
        <v/>
      </c>
      <c r="R98" s="296">
        <f>SUM(P98:Q98)</f>
        <v/>
      </c>
      <c r="S98" s="296">
        <f>R98*$S$9</f>
        <v/>
      </c>
      <c r="T98" s="296">
        <f>SUM(R98:S98)</f>
        <v/>
      </c>
      <c r="U98" s="78" t="inlineStr">
        <is>
          <t>OFTALMO</t>
        </is>
      </c>
      <c r="V98" s="81" t="inlineStr">
        <is>
          <t>DEWIMED</t>
        </is>
      </c>
      <c r="W98" s="83" t="inlineStr">
        <is>
          <t>ADJUDICADO</t>
        </is>
      </c>
      <c r="X98" s="5" t="inlineStr">
        <is>
          <t>PROYECTADO</t>
        </is>
      </c>
    </row>
    <row r="99" ht="28.2" customHeight="1" s="227">
      <c r="A99" s="92" t="n">
        <v>162</v>
      </c>
      <c r="B99" s="68" t="inlineStr">
        <is>
          <t>TAMAULIPAS</t>
        </is>
      </c>
      <c r="C99" s="69" t="inlineStr">
        <is>
          <t>Equipo de rayos X móvil, marca Technix, modelo TMS 320</t>
        </is>
      </c>
      <c r="D99" s="68" t="inlineStr">
        <is>
          <t>80-16-89-160</t>
        </is>
      </c>
      <c r="E99" s="69" t="inlineStr">
        <is>
          <t>H.M.R. Tampico</t>
        </is>
      </c>
      <c r="F99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/>
      <c r="J99" s="291">
        <f>I99</f>
        <v/>
      </c>
      <c r="K99" s="291">
        <f>J99</f>
        <v/>
      </c>
      <c r="L99" s="291" t="n"/>
      <c r="M99" s="291" t="n"/>
      <c r="N99" s="291" t="n"/>
      <c r="O99" s="296" t="n">
        <v>300000</v>
      </c>
      <c r="P99" s="296">
        <f>G99*O99</f>
        <v/>
      </c>
      <c r="Q99" s="296">
        <f>H99*O99</f>
        <v/>
      </c>
      <c r="R99" s="296">
        <f>SUM(P99:Q99)</f>
        <v/>
      </c>
      <c r="S99" s="296">
        <f>R99*$S$9</f>
        <v/>
      </c>
      <c r="T99" s="296">
        <f>SUM(R99:S99)</f>
        <v/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163</v>
      </c>
      <c r="B100" s="68" t="inlineStr">
        <is>
          <t>CDMX</t>
        </is>
      </c>
      <c r="C100" s="69" t="inlineStr">
        <is>
          <t>Equipo de rayos X móvil, marca Technix, modelo TMS 320</t>
        </is>
      </c>
      <c r="D100" s="68" t="inlineStr">
        <is>
          <t>80-16-90-161</t>
        </is>
      </c>
      <c r="E100" s="69" t="inlineStr">
        <is>
          <t>H.M.Z. El Vergel, Iztapalapa</t>
        </is>
      </c>
      <c r="F100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/>
      <c r="J100" s="291">
        <f>I100</f>
        <v/>
      </c>
      <c r="K100" s="291">
        <f>J100</f>
        <v/>
      </c>
      <c r="L100" s="291" t="n"/>
      <c r="M100" s="291" t="n"/>
      <c r="N100" s="291" t="n"/>
      <c r="O100" s="296" t="n">
        <v>220000</v>
      </c>
      <c r="P100" s="296">
        <f>G100*O100</f>
        <v/>
      </c>
      <c r="Q100" s="296">
        <f>H100*O100</f>
        <v/>
      </c>
      <c r="R100" s="296">
        <f>SUM(P100:Q100)</f>
        <v/>
      </c>
      <c r="S100" s="296">
        <f>R100*$S$9</f>
        <v/>
      </c>
      <c r="T100" s="296">
        <f>SUM(R100:S100)</f>
        <v/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164</v>
      </c>
      <c r="B101" s="68" t="inlineStr">
        <is>
          <t>JALISCO</t>
        </is>
      </c>
      <c r="C101" s="69" t="inlineStr">
        <is>
          <t>Equipo de rayos X móvil, marca Technix, modelo TMS 320</t>
        </is>
      </c>
      <c r="D101" s="68" t="inlineStr">
        <is>
          <t>80-16-95-166</t>
        </is>
      </c>
      <c r="E101" s="69" t="inlineStr">
        <is>
          <t>H.M.Z. Zapopan</t>
        </is>
      </c>
      <c r="F101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/>
      <c r="J101" s="291">
        <f>I101</f>
        <v/>
      </c>
      <c r="K101" s="291">
        <f>J101</f>
        <v/>
      </c>
      <c r="L101" s="291" t="n"/>
      <c r="M101" s="291" t="n"/>
      <c r="N101" s="291" t="n"/>
      <c r="O101" s="296" t="n">
        <v>220000</v>
      </c>
      <c r="P101" s="296">
        <f>G101*O101</f>
        <v/>
      </c>
      <c r="Q101" s="296">
        <f>H101*O101</f>
        <v/>
      </c>
      <c r="R101" s="296">
        <f>SUM(P101:Q101)</f>
        <v/>
      </c>
      <c r="S101" s="296">
        <f>R101*$S$9</f>
        <v/>
      </c>
      <c r="T101" s="296">
        <f>SUM(R101:S101)</f>
        <v/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165</v>
      </c>
      <c r="B102" s="68" t="inlineStr">
        <is>
          <t>EDO DE MEX</t>
        </is>
      </c>
      <c r="C102" s="69" t="inlineStr">
        <is>
          <t>Equipo de rayos X móvil, marca Technix, modelo TMS 320</t>
        </is>
      </c>
      <c r="D102" s="68" t="inlineStr">
        <is>
          <t>80-16-105-176</t>
        </is>
      </c>
      <c r="E102" s="69" t="inlineStr">
        <is>
          <t>H.M.Z. Temamatla</t>
        </is>
      </c>
      <c r="F102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/>
      <c r="J102" s="291">
        <f>I102</f>
        <v/>
      </c>
      <c r="K102" s="291">
        <f>J102</f>
        <v/>
      </c>
      <c r="L102" s="291" t="n"/>
      <c r="M102" s="291" t="n"/>
      <c r="N102" s="291" t="n"/>
      <c r="O102" s="296" t="n">
        <v>220000</v>
      </c>
      <c r="P102" s="296">
        <f>G102*O102</f>
        <v/>
      </c>
      <c r="Q102" s="296">
        <f>H102*O102</f>
        <v/>
      </c>
      <c r="R102" s="296">
        <f>SUM(P102:Q102)</f>
        <v/>
      </c>
      <c r="S102" s="296">
        <f>R102*$S$9</f>
        <v/>
      </c>
      <c r="T102" s="296">
        <f>SUM(R102:S102)</f>
        <v/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166</v>
      </c>
      <c r="B103" s="68" t="inlineStr">
        <is>
          <t>OAXACA</t>
        </is>
      </c>
      <c r="C103" s="69" t="inlineStr">
        <is>
          <t>Equipo de rayos X móvil, marca Technix, modelo TMS 320</t>
        </is>
      </c>
      <c r="D103" s="68" t="inlineStr">
        <is>
          <t>80-16-104-175</t>
        </is>
      </c>
      <c r="E103" s="69" t="inlineStr">
        <is>
          <t>H.M.Z. Ixcotel</t>
        </is>
      </c>
      <c r="F103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/>
      <c r="J103" s="291">
        <f>I103</f>
        <v/>
      </c>
      <c r="K103" s="291">
        <f>J103</f>
        <v/>
      </c>
      <c r="L103" s="291" t="n"/>
      <c r="M103" s="291" t="n"/>
      <c r="N103" s="291" t="n"/>
      <c r="O103" s="296" t="n">
        <v>300000</v>
      </c>
      <c r="P103" s="296">
        <f>G103*O103</f>
        <v/>
      </c>
      <c r="Q103" s="296">
        <f>H103*O103</f>
        <v/>
      </c>
      <c r="R103" s="296">
        <f>SUM(P103:Q103)</f>
        <v/>
      </c>
      <c r="S103" s="296">
        <f>R103*$S$9</f>
        <v/>
      </c>
      <c r="T103" s="296">
        <f>SUM(R103:S103)</f>
        <v/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167</v>
      </c>
      <c r="B104" s="68" t="inlineStr">
        <is>
          <t>SONORA</t>
        </is>
      </c>
      <c r="C104" s="69" t="inlineStr">
        <is>
          <t>Equipo de rayos X móvil, marca Technix, modelo TMS 320</t>
        </is>
      </c>
      <c r="D104" s="68" t="inlineStr">
        <is>
          <t>80-16-80-151</t>
        </is>
      </c>
      <c r="E104" s="69" t="inlineStr">
        <is>
          <t>H.M.R. Hermosillo</t>
        </is>
      </c>
      <c r="F104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/>
      <c r="J104" s="291">
        <f>I104</f>
        <v/>
      </c>
      <c r="K104" s="291">
        <f>J104</f>
        <v/>
      </c>
      <c r="L104" s="291" t="n"/>
      <c r="M104" s="291" t="n"/>
      <c r="N104" s="291" t="n"/>
      <c r="O104" s="296" t="n">
        <v>300000</v>
      </c>
      <c r="P104" s="296">
        <f>G104*O104</f>
        <v/>
      </c>
      <c r="Q104" s="296">
        <f>H104*O104</f>
        <v/>
      </c>
      <c r="R104" s="296">
        <f>SUM(P104:Q104)</f>
        <v/>
      </c>
      <c r="S104" s="296">
        <f>R104*$S$9</f>
        <v/>
      </c>
      <c r="T104" s="296">
        <f>SUM(R104:S104)</f>
        <v/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168</v>
      </c>
      <c r="B105" s="68" t="inlineStr">
        <is>
          <t>CHIAPAS</t>
        </is>
      </c>
      <c r="C105" s="69" t="inlineStr">
        <is>
          <t>Equipo de rayos X móvil, marca Technix, modelo TMS 320</t>
        </is>
      </c>
      <c r="D105" s="68" t="inlineStr">
        <is>
          <t>80-16-102-173</t>
        </is>
      </c>
      <c r="E105" s="69" t="inlineStr">
        <is>
          <t>H.M.R. Tuxtla Gutiérrez</t>
        </is>
      </c>
      <c r="F105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/>
      <c r="J105" s="291">
        <f>I105</f>
        <v/>
      </c>
      <c r="K105" s="291">
        <f>J105</f>
        <v/>
      </c>
      <c r="L105" s="291" t="n"/>
      <c r="M105" s="291" t="n"/>
      <c r="N105" s="291" t="n"/>
      <c r="O105" s="296" t="n">
        <v>250000</v>
      </c>
      <c r="P105" s="296">
        <f>G105*O105</f>
        <v/>
      </c>
      <c r="Q105" s="296">
        <f>H105*O105</f>
        <v/>
      </c>
      <c r="R105" s="296">
        <f>SUM(P105:Q105)</f>
        <v/>
      </c>
      <c r="S105" s="296">
        <f>R105*$S$9</f>
        <v/>
      </c>
      <c r="T105" s="296">
        <f>SUM(R105:S105)</f>
        <v/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t="28.2" customHeight="1" s="227">
      <c r="A106" s="92" t="n">
        <v>169</v>
      </c>
      <c r="B106" s="68" t="inlineStr">
        <is>
          <t>CHIAPAS</t>
        </is>
      </c>
      <c r="C106" s="69" t="inlineStr">
        <is>
          <t>Láser excimer, marca Bausch &amp; Lomb, modelo Zyoptix XP</t>
        </is>
      </c>
      <c r="D106" s="68" t="inlineStr">
        <is>
          <t>PS01209</t>
        </is>
      </c>
      <c r="E106" s="69" t="inlineStr">
        <is>
          <t>H.M.R. Tuxtla Gutiérrez</t>
        </is>
      </c>
      <c r="F106" s="95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1</v>
      </c>
      <c r="H106" s="79" t="n">
        <v>2</v>
      </c>
      <c r="I106" s="291" t="n"/>
      <c r="J106" s="291">
        <f>I106</f>
        <v/>
      </c>
      <c r="K106" s="291">
        <f>J106</f>
        <v/>
      </c>
      <c r="L106" s="291" t="n"/>
      <c r="M106" s="291" t="n"/>
      <c r="N106" s="291" t="n"/>
      <c r="O106" s="296" t="n">
        <v>240000</v>
      </c>
      <c r="P106" s="296">
        <f>G106*O106</f>
        <v/>
      </c>
      <c r="Q106" s="296">
        <f>H106*O106</f>
        <v/>
      </c>
      <c r="R106" s="296">
        <f>SUM(P106:Q106)</f>
        <v/>
      </c>
      <c r="S106" s="296">
        <f>R106*$S$9</f>
        <v/>
      </c>
      <c r="T106" s="296">
        <f>SUM(R106:S106)</f>
        <v/>
      </c>
      <c r="U106" s="78" t="inlineStr">
        <is>
          <t>OFTALMO</t>
        </is>
      </c>
      <c r="V106" s="81" t="inlineStr">
        <is>
          <t>BAUSH</t>
        </is>
      </c>
      <c r="W106" s="91" t="inlineStr">
        <is>
          <t>NO ADJUDICADO</t>
        </is>
      </c>
      <c r="X106" s="5" t="inlineStr">
        <is>
          <t>PROYECTADO</t>
        </is>
      </c>
    </row>
    <row r="107" ht="28.2" customHeight="1" s="227">
      <c r="A107" s="92" t="n">
        <v>171</v>
      </c>
      <c r="B107" s="68" t="inlineStr">
        <is>
          <t>MORELOS</t>
        </is>
      </c>
      <c r="C107" s="69" t="inlineStr">
        <is>
          <t>Equipo de rayos X móvil, marca Technix, modelo TMS 320</t>
        </is>
      </c>
      <c r="D107" s="68" t="inlineStr">
        <is>
          <t>80-16-88-159</t>
        </is>
      </c>
      <c r="E107" s="69" t="inlineStr">
        <is>
          <t>H.M.Z. Cuernavaca</t>
        </is>
      </c>
      <c r="F107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/>
      <c r="J107" s="291">
        <f>I107</f>
        <v/>
      </c>
      <c r="K107" s="291">
        <f>J107</f>
        <v/>
      </c>
      <c r="L107" s="291" t="n"/>
      <c r="M107" s="291" t="n"/>
      <c r="N107" s="291" t="n"/>
      <c r="O107" s="296" t="n">
        <v>230000</v>
      </c>
      <c r="P107" s="296">
        <f>G107*O107</f>
        <v/>
      </c>
      <c r="Q107" s="296">
        <f>H107*O107</f>
        <v/>
      </c>
      <c r="R107" s="296">
        <f>SUM(P107:Q107)</f>
        <v/>
      </c>
      <c r="S107" s="296">
        <f>R107*$S$9</f>
        <v/>
      </c>
      <c r="T107" s="296">
        <f>SUM(R107:S107)</f>
        <v/>
      </c>
      <c r="U107" s="78" t="inlineStr">
        <is>
          <t>IMAGEN</t>
        </is>
      </c>
      <c r="V107" s="85" t="n"/>
      <c r="W107" s="103" t="inlineStr">
        <is>
          <t>ADJUDICADO</t>
        </is>
      </c>
      <c r="X107" s="5" t="inlineStr">
        <is>
          <t>NO PROYECTADO</t>
        </is>
      </c>
    </row>
    <row r="108" ht="28.2" customHeight="1" s="227">
      <c r="A108" s="92" t="n">
        <v>172</v>
      </c>
      <c r="B108" s="68" t="inlineStr">
        <is>
          <t>BAJA CALIFORNIA</t>
        </is>
      </c>
      <c r="C108" s="69" t="inlineStr">
        <is>
          <t>Equipo de rayos X móvil, marca Technix, modelo TMS 320</t>
        </is>
      </c>
      <c r="D108" s="68" t="inlineStr">
        <is>
          <t>80-16-83-154</t>
        </is>
      </c>
      <c r="E108" s="69" t="inlineStr">
        <is>
          <t>H.M.Z. Mexicali</t>
        </is>
      </c>
      <c r="F108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/>
      <c r="J108" s="291">
        <f>I108</f>
        <v/>
      </c>
      <c r="K108" s="291">
        <f>J108</f>
        <v/>
      </c>
      <c r="L108" s="291" t="n"/>
      <c r="M108" s="291" t="n"/>
      <c r="N108" s="291" t="n"/>
      <c r="O108" s="296" t="n">
        <v>300000</v>
      </c>
      <c r="P108" s="296">
        <f>G108*O108</f>
        <v/>
      </c>
      <c r="Q108" s="296">
        <f>H108*O108</f>
        <v/>
      </c>
      <c r="R108" s="296">
        <f>SUM(P108:Q108)</f>
        <v/>
      </c>
      <c r="S108" s="296">
        <f>R108*$S$9</f>
        <v/>
      </c>
      <c r="T108" s="296">
        <f>SUM(R108:S108)</f>
        <v/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175</v>
      </c>
      <c r="B109" s="68" t="inlineStr">
        <is>
          <t>BAJA CALIFORNIA</t>
        </is>
      </c>
      <c r="C109" s="69" t="inlineStr">
        <is>
          <t>Equipo de rayos X móvil, marca Technix, modelo TMS 320</t>
        </is>
      </c>
      <c r="D109" s="68" t="inlineStr">
        <is>
          <t>80-16-81-152</t>
        </is>
      </c>
      <c r="E109" s="69" t="inlineStr">
        <is>
          <t>H.M.R. El Ciprés</t>
        </is>
      </c>
      <c r="F109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/>
      <c r="J109" s="291">
        <f>I109</f>
        <v/>
      </c>
      <c r="K109" s="291">
        <f>J109</f>
        <v/>
      </c>
      <c r="L109" s="291" t="n"/>
      <c r="M109" s="291" t="n"/>
      <c r="N109" s="291" t="n"/>
      <c r="O109" s="296" t="n">
        <v>300000</v>
      </c>
      <c r="P109" s="296">
        <f>G109*O109</f>
        <v/>
      </c>
      <c r="Q109" s="296">
        <f>H109*O109</f>
        <v/>
      </c>
      <c r="R109" s="296">
        <f>SUM(P109:Q109)</f>
        <v/>
      </c>
      <c r="S109" s="296">
        <f>R109*$S$9</f>
        <v/>
      </c>
      <c r="T109" s="296">
        <f>SUM(R109:S109)</f>
        <v/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t="28.2" customHeight="1" s="227">
      <c r="A110" s="92" t="n">
        <v>179</v>
      </c>
      <c r="B110" s="68" t="inlineStr">
        <is>
          <t>JALISCO</t>
        </is>
      </c>
      <c r="C110" s="69" t="inlineStr">
        <is>
          <t>Equipo de rayos X móvil, marca Technix, modelo TMS 320</t>
        </is>
      </c>
      <c r="D110" s="68" t="inlineStr">
        <is>
          <t>80-16-91-162</t>
        </is>
      </c>
      <c r="E110" s="69" t="inlineStr">
        <is>
          <t>H.M.R.E. Guadalajara</t>
        </is>
      </c>
      <c r="F110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>
        <f>I110</f>
        <v/>
      </c>
      <c r="K110" s="291">
        <f>J110</f>
        <v/>
      </c>
      <c r="L110" s="291" t="n"/>
      <c r="M110" s="291" t="n"/>
      <c r="N110" s="291" t="n"/>
      <c r="O110" s="296" t="n">
        <v>230000</v>
      </c>
      <c r="P110" s="296">
        <f>G110*O110</f>
        <v/>
      </c>
      <c r="Q110" s="296">
        <f>H110*O110</f>
        <v/>
      </c>
      <c r="R110" s="296">
        <f>SUM(P110:Q110)</f>
        <v/>
      </c>
      <c r="S110" s="296">
        <f>R110*$S$9</f>
        <v/>
      </c>
      <c r="T110" s="296">
        <f>SUM(R110:S110)</f>
        <v/>
      </c>
      <c r="U110" s="78" t="inlineStr">
        <is>
          <t>IMAGEN</t>
        </is>
      </c>
      <c r="V110" s="85" t="n"/>
      <c r="W110" s="103" t="inlineStr">
        <is>
          <t>ADJUDICADO</t>
        </is>
      </c>
      <c r="X110" s="5" t="inlineStr">
        <is>
          <t>NO PROYECTADO</t>
        </is>
      </c>
    </row>
    <row r="111" ht="28.2" customHeight="1" s="227">
      <c r="A111" s="92" t="n">
        <v>183</v>
      </c>
      <c r="B111" s="68" t="inlineStr">
        <is>
          <t>SINALOA</t>
        </is>
      </c>
      <c r="C111" s="69" t="inlineStr">
        <is>
          <t>Impresora para placas radiográficas, marca Fujifilm, modelo Drypix Smart</t>
        </is>
      </c>
      <c r="D111" s="68" t="inlineStr">
        <is>
          <t>56728475</t>
        </is>
      </c>
      <c r="E111" s="69" t="inlineStr">
        <is>
          <t>H.M.R.E. Mazatlán</t>
        </is>
      </c>
      <c r="F111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/>
      <c r="J111" s="291">
        <f>I111</f>
        <v/>
      </c>
      <c r="K111" s="291">
        <f>J111</f>
        <v/>
      </c>
      <c r="L111" s="291" t="n"/>
      <c r="M111" s="291" t="n"/>
      <c r="N111" s="291" t="n"/>
      <c r="O111" s="296" t="n">
        <v>300000</v>
      </c>
      <c r="P111" s="296">
        <f>G111*O111</f>
        <v/>
      </c>
      <c r="Q111" s="296">
        <f>H111*O111</f>
        <v/>
      </c>
      <c r="R111" s="296">
        <f>SUM(P111:Q111)</f>
        <v/>
      </c>
      <c r="S111" s="296">
        <f>R111*$S$9</f>
        <v/>
      </c>
      <c r="T111" s="296">
        <f>SUM(R111:S111)</f>
        <v/>
      </c>
      <c r="U111" s="78" t="inlineStr">
        <is>
          <t>IMAGEN</t>
        </is>
      </c>
      <c r="V111" s="85" t="n"/>
      <c r="W111" s="103" t="inlineStr">
        <is>
          <t>ADJUDICADO</t>
        </is>
      </c>
      <c r="X111" s="5" t="inlineStr">
        <is>
          <t>NO PROYECTADO</t>
        </is>
      </c>
    </row>
    <row r="112" ht="28.2" customHeight="1" s="227">
      <c r="A112" s="92" t="n">
        <v>184</v>
      </c>
      <c r="B112" s="68" t="inlineStr">
        <is>
          <t>SINALOA</t>
        </is>
      </c>
      <c r="C112" s="69" t="inlineStr">
        <is>
          <t>Impresora para placas radiográficas, marca Fujifilm, modelo Drypix Smart</t>
        </is>
      </c>
      <c r="D112" s="68" t="inlineStr">
        <is>
          <t>66131122</t>
        </is>
      </c>
      <c r="E112" s="69" t="inlineStr">
        <is>
          <t>H.M.R.E. Mazatlán</t>
        </is>
      </c>
      <c r="F112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/>
      <c r="J112" s="291">
        <f>I112</f>
        <v/>
      </c>
      <c r="K112" s="291">
        <f>J112</f>
        <v/>
      </c>
      <c r="L112" s="291" t="n"/>
      <c r="M112" s="291" t="n"/>
      <c r="N112" s="291" t="n"/>
      <c r="O112" s="296" t="n">
        <v>300000</v>
      </c>
      <c r="P112" s="296">
        <f>G112*O112</f>
        <v/>
      </c>
      <c r="Q112" s="296">
        <f>H112*O112</f>
        <v/>
      </c>
      <c r="R112" s="296">
        <f>SUM(P112:Q112)</f>
        <v/>
      </c>
      <c r="S112" s="296">
        <f>R112*$S$9</f>
        <v/>
      </c>
      <c r="T112" s="296">
        <f>SUM(R112:S112)</f>
        <v/>
      </c>
      <c r="U112" s="78" t="inlineStr">
        <is>
          <t>IMAGEN</t>
        </is>
      </c>
      <c r="V112" s="85" t="n"/>
      <c r="W112" s="103" t="inlineStr">
        <is>
          <t>ADJUDICADO</t>
        </is>
      </c>
      <c r="X112" s="5" t="inlineStr">
        <is>
          <t>NO PROYECTADO</t>
        </is>
      </c>
    </row>
    <row r="113" ht="28.2" customHeight="1" s="227">
      <c r="A113" s="86" t="n">
        <v>185</v>
      </c>
      <c r="B113" s="68" t="inlineStr">
        <is>
          <t>CDMX</t>
        </is>
      </c>
      <c r="C113" s="69" t="inlineStr">
        <is>
          <t>Sistema de diagnóstico oftálmico avanzado, marca Heidelberg Engineering, modelo Spectralis</t>
        </is>
      </c>
      <c r="D113" s="68" t="inlineStr">
        <is>
          <t>SPECT-KT-05789</t>
        </is>
      </c>
      <c r="E113" s="69" t="inlineStr">
        <is>
          <t>H.C.M. Lomas de Sotelo</t>
        </is>
      </c>
      <c r="F113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2</v>
      </c>
      <c r="H113" s="79" t="n">
        <v>4</v>
      </c>
      <c r="I113" s="291" t="n">
        <v>122850</v>
      </c>
      <c r="J113" s="291">
        <f>I113</f>
        <v/>
      </c>
      <c r="K113" s="291">
        <f>J113</f>
        <v/>
      </c>
      <c r="L113" s="291">
        <f>SUM(I113:K113)</f>
        <v/>
      </c>
      <c r="M113" s="291">
        <f>L113*0.16</f>
        <v/>
      </c>
      <c r="N113" s="291">
        <f>SUM(L113:M113)</f>
        <v/>
      </c>
      <c r="O113" s="296" t="n">
        <v>300000</v>
      </c>
      <c r="P113" s="296">
        <f>G113*O113</f>
        <v/>
      </c>
      <c r="Q113" s="296">
        <f>H113*O113</f>
        <v/>
      </c>
      <c r="R113" s="296">
        <f>SUM(P113:Q113)</f>
        <v/>
      </c>
      <c r="S113" s="296">
        <f>R113*$S$9</f>
        <v/>
      </c>
      <c r="T113" s="296">
        <f>SUM(R113:S113)</f>
        <v/>
      </c>
      <c r="U113" s="78" t="inlineStr">
        <is>
          <t>OFTALMO</t>
        </is>
      </c>
      <c r="V113" s="81" t="inlineStr">
        <is>
          <t>ARFAMEX</t>
        </is>
      </c>
      <c r="W113" s="83" t="inlineStr">
        <is>
          <t>ADJUDICADO</t>
        </is>
      </c>
      <c r="X113" s="5" t="inlineStr">
        <is>
          <t>PROYECTADO</t>
        </is>
      </c>
    </row>
    <row r="114" ht="28.2" customHeight="1" s="227">
      <c r="A114" s="86" t="n">
        <v>196</v>
      </c>
      <c r="B114" s="68" t="inlineStr">
        <is>
          <t>NUEVO LEON</t>
        </is>
      </c>
      <c r="C114" s="69" t="inlineStr">
        <is>
          <t>Sistema de digitalización de imágenes, marca SUNI, modelo SUNI</t>
        </is>
      </c>
      <c r="D114" s="68" t="inlineStr">
        <is>
          <t>DI2014106149</t>
        </is>
      </c>
      <c r="E114" s="69" t="inlineStr">
        <is>
          <t>H.M.R.E. Monterrey</t>
        </is>
      </c>
      <c r="F114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150000</v>
      </c>
      <c r="J114" s="291">
        <f>I114</f>
        <v/>
      </c>
      <c r="K114" s="291">
        <f>J114</f>
        <v/>
      </c>
      <c r="L114" s="291">
        <f>SUM(I114:K114)</f>
        <v/>
      </c>
      <c r="M114" s="291">
        <f>L114*0.16</f>
        <v/>
      </c>
      <c r="N114" s="291">
        <f>SUM(L114:M114)</f>
        <v/>
      </c>
      <c r="O114" s="296" t="n">
        <v>350000</v>
      </c>
      <c r="P114" s="296">
        <f>G114*O114</f>
        <v/>
      </c>
      <c r="Q114" s="296">
        <f>H114*O114</f>
        <v/>
      </c>
      <c r="R114" s="296">
        <f>SUM(P114:Q114)</f>
        <v/>
      </c>
      <c r="S114" s="296">
        <f>R114*$S$9</f>
        <v/>
      </c>
      <c r="T114" s="296">
        <f>SUM(R114:S114)</f>
        <v/>
      </c>
      <c r="U114" s="78" t="inlineStr">
        <is>
          <t>IMAGEN</t>
        </is>
      </c>
      <c r="V114" s="85" t="n"/>
      <c r="W114" s="83" t="inlineStr">
        <is>
          <t>ADJUDICADO</t>
        </is>
      </c>
      <c r="X114" s="5" t="inlineStr">
        <is>
          <t>PROYECTADO</t>
        </is>
      </c>
    </row>
    <row r="115" ht="28.2" customHeight="1" s="227">
      <c r="A115" s="92" t="n">
        <v>198</v>
      </c>
      <c r="B115" s="68" t="inlineStr">
        <is>
          <t>VERACRUZ</t>
        </is>
      </c>
      <c r="C115" s="69" t="inlineStr">
        <is>
          <t>Arco en C, marca Ziehm Imaging, modelo Vision R</t>
        </is>
      </c>
      <c r="D115" s="68" t="inlineStr">
        <is>
          <t>10704</t>
        </is>
      </c>
      <c r="E115" s="69" t="inlineStr">
        <is>
          <t>H.M.Z. La Boticaría</t>
        </is>
      </c>
      <c r="F115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/>
      <c r="J115" s="291">
        <f>I115</f>
        <v/>
      </c>
      <c r="K115" s="291">
        <f>J115</f>
        <v/>
      </c>
      <c r="L115" s="291" t="n"/>
      <c r="M115" s="291" t="n"/>
      <c r="N115" s="291" t="n"/>
      <c r="O115" s="296" t="n">
        <v>220000</v>
      </c>
      <c r="P115" s="296">
        <f>G115*O115</f>
        <v/>
      </c>
      <c r="Q115" s="296">
        <f>H115*O115</f>
        <v/>
      </c>
      <c r="R115" s="296">
        <f>SUM(P115:Q115)</f>
        <v/>
      </c>
      <c r="S115" s="296">
        <f>R115*$S$9</f>
        <v/>
      </c>
      <c r="T115" s="296">
        <f>SUM(R115:S115)</f>
        <v/>
      </c>
      <c r="U115" s="78" t="inlineStr">
        <is>
          <t>IMAGEN</t>
        </is>
      </c>
      <c r="V115" s="85" t="n"/>
      <c r="W115" s="103" t="inlineStr">
        <is>
          <t>ADJUDICADO</t>
        </is>
      </c>
      <c r="X115" s="5" t="inlineStr">
        <is>
          <t>NO PROYECTADO</t>
        </is>
      </c>
    </row>
    <row r="116" ht="28.2" customHeight="1" s="227">
      <c r="A116" s="92" t="n">
        <v>200</v>
      </c>
      <c r="B116" s="68" t="inlineStr">
        <is>
          <t>CHIHUAHUA</t>
        </is>
      </c>
      <c r="C116" s="69" t="inlineStr">
        <is>
          <t>Arco en C, marca Ziehm Imaging, modelo Vision R</t>
        </is>
      </c>
      <c r="D116" s="68" t="inlineStr">
        <is>
          <t>10703</t>
        </is>
      </c>
      <c r="E116" s="69" t="inlineStr">
        <is>
          <t>H.M.R. Chihuahua</t>
        </is>
      </c>
      <c r="F116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/>
      <c r="J116" s="291">
        <f>I116</f>
        <v/>
      </c>
      <c r="K116" s="291">
        <f>J116</f>
        <v/>
      </c>
      <c r="L116" s="291" t="n"/>
      <c r="M116" s="291" t="n"/>
      <c r="N116" s="291" t="n"/>
      <c r="O116" s="296" t="n">
        <v>300000</v>
      </c>
      <c r="P116" s="296">
        <f>G116*O116</f>
        <v/>
      </c>
      <c r="Q116" s="296">
        <f>H116*O116</f>
        <v/>
      </c>
      <c r="R116" s="296">
        <f>SUM(P116:Q116)</f>
        <v/>
      </c>
      <c r="S116" s="296">
        <f>R116*$S$9</f>
        <v/>
      </c>
      <c r="T116" s="296">
        <f>SUM(R116:S116)</f>
        <v/>
      </c>
      <c r="U116" s="78" t="inlineStr">
        <is>
          <t>IMAGEN</t>
        </is>
      </c>
      <c r="V116" s="85" t="n"/>
      <c r="W116" s="103" t="inlineStr">
        <is>
          <t>ADJUDICADO</t>
        </is>
      </c>
      <c r="X116" s="5" t="inlineStr">
        <is>
          <t>NO PROYECTADO</t>
        </is>
      </c>
    </row>
    <row r="117" ht="28.2" customHeight="1" s="227">
      <c r="A117" s="92" t="n">
        <v>203</v>
      </c>
      <c r="B117" s="68" t="inlineStr">
        <is>
          <t>CHIAPAS</t>
        </is>
      </c>
      <c r="C117" s="69" t="inlineStr">
        <is>
          <t>Topógrafo corneal , marca Bausch &amp; Lomb, modelo ORBSCAN lll</t>
        </is>
      </c>
      <c r="D117" s="68" t="inlineStr">
        <is>
          <t>50004019-0093</t>
        </is>
      </c>
      <c r="E117" s="69" t="inlineStr">
        <is>
          <t>H.M.R. Tuxtla Gutiérrez</t>
        </is>
      </c>
      <c r="F117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/>
      <c r="J117" s="291">
        <f>I117</f>
        <v/>
      </c>
      <c r="K117" s="291">
        <f>J117</f>
        <v/>
      </c>
      <c r="L117" s="291" t="n"/>
      <c r="M117" s="291" t="n"/>
      <c r="N117" s="291" t="n"/>
      <c r="O117" s="296" t="n">
        <v>350000</v>
      </c>
      <c r="P117" s="296">
        <f>G117*O117</f>
        <v/>
      </c>
      <c r="Q117" s="296">
        <f>H117*O117</f>
        <v/>
      </c>
      <c r="R117" s="296">
        <f>SUM(P117:Q117)</f>
        <v/>
      </c>
      <c r="S117" s="296">
        <f>R117*$S$9</f>
        <v/>
      </c>
      <c r="T117" s="296">
        <f>SUM(R117:S117)</f>
        <v/>
      </c>
      <c r="U117" s="78" t="inlineStr">
        <is>
          <t>OFTALMO</t>
        </is>
      </c>
      <c r="V117" s="81" t="inlineStr">
        <is>
          <t>BAUSH</t>
        </is>
      </c>
      <c r="W117" s="103" t="inlineStr">
        <is>
          <t>ADJUDICADO</t>
        </is>
      </c>
      <c r="X117" s="5" t="inlineStr">
        <is>
          <t>NO PROYECTADO</t>
        </is>
      </c>
      <c r="Y117" s="5" t="inlineStr">
        <is>
          <t>SOBREPRECIO ADJUDICADO</t>
        </is>
      </c>
    </row>
    <row r="118" ht="28.2" customHeight="1" s="227">
      <c r="A118" s="92" t="n">
        <v>204</v>
      </c>
      <c r="B118" s="68" t="inlineStr">
        <is>
          <t>CHIAPAS</t>
        </is>
      </c>
      <c r="C118" s="69" t="inlineStr">
        <is>
          <t>Láser oftálmico, marca LightMed Corporation, modelo LIGHTLas</t>
        </is>
      </c>
      <c r="D118" s="68" t="inlineStr">
        <is>
          <t>SC22-0487</t>
        </is>
      </c>
      <c r="E118" s="69" t="inlineStr">
        <is>
          <t>H.M.R. Tuxtla Gutiérrez</t>
        </is>
      </c>
      <c r="F118" s="95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/>
      <c r="J118" s="291">
        <f>I118</f>
        <v/>
      </c>
      <c r="K118" s="291">
        <f>J118</f>
        <v/>
      </c>
      <c r="L118" s="291" t="n"/>
      <c r="M118" s="291" t="n"/>
      <c r="N118" s="291" t="n"/>
      <c r="O118" s="296" t="n">
        <v>600000</v>
      </c>
      <c r="P118" s="296">
        <f>G118*O118</f>
        <v/>
      </c>
      <c r="Q118" s="296">
        <f>H118*O118</f>
        <v/>
      </c>
      <c r="R118" s="296">
        <f>SUM(P118:Q118)</f>
        <v/>
      </c>
      <c r="S118" s="296">
        <f>R118*$S$9</f>
        <v/>
      </c>
      <c r="T118" s="296">
        <f>SUM(R118:S118)</f>
        <v/>
      </c>
      <c r="U118" s="78" t="inlineStr">
        <is>
          <t>OFTALMO</t>
        </is>
      </c>
      <c r="V118" s="81" t="inlineStr">
        <is>
          <t xml:space="preserve">ALDAI </t>
        </is>
      </c>
      <c r="W118" s="91" t="inlineStr">
        <is>
          <t>NO ADJUDICADO</t>
        </is>
      </c>
      <c r="X118" s="5" t="inlineStr">
        <is>
          <t>PROYECTADO</t>
        </is>
      </c>
    </row>
    <row r="119" ht="28.2" customHeight="1" s="227">
      <c r="A119" s="86" t="n">
        <v>208</v>
      </c>
      <c r="B119" s="68" t="inlineStr">
        <is>
          <t>YUCATAN</t>
        </is>
      </c>
      <c r="C119" s="69" t="inlineStr">
        <is>
          <t>Microscopio para cirugía, marca Leica, modelo M844F40</t>
        </is>
      </c>
      <c r="D119" s="68" t="inlineStr">
        <is>
          <t>160516003</t>
        </is>
      </c>
      <c r="E119" s="69" t="inlineStr">
        <is>
          <t>H.M.R.E. Mérida</t>
        </is>
      </c>
      <c r="F119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230000</v>
      </c>
      <c r="J119" s="291">
        <f>I119</f>
        <v/>
      </c>
      <c r="K119" s="291">
        <f>J119</f>
        <v/>
      </c>
      <c r="L119" s="291">
        <f>SUM(I119:K119)</f>
        <v/>
      </c>
      <c r="M119" s="291">
        <f>L119*0.16</f>
        <v/>
      </c>
      <c r="N119" s="291">
        <f>SUM(L119:M119)</f>
        <v/>
      </c>
      <c r="O119" s="296" t="n">
        <v>195000</v>
      </c>
      <c r="P119" s="296">
        <f>G119*O119</f>
        <v/>
      </c>
      <c r="Q119" s="296">
        <f>H119*O119</f>
        <v/>
      </c>
      <c r="R119" s="296">
        <f>SUM(P119:Q119)</f>
        <v/>
      </c>
      <c r="S119" s="296">
        <f>R119*$S$9</f>
        <v/>
      </c>
      <c r="T119" s="296">
        <f>SUM(R119:S119)</f>
        <v/>
      </c>
      <c r="U119" s="78" t="inlineStr">
        <is>
          <t>OFTALMO</t>
        </is>
      </c>
      <c r="V119" s="81" t="inlineStr">
        <is>
          <t>COINDISA</t>
        </is>
      </c>
      <c r="W119" s="83" t="inlineStr">
        <is>
          <t>ADJUDICADO</t>
        </is>
      </c>
      <c r="X119" s="5" t="inlineStr">
        <is>
          <t>PROYECTADO</t>
        </is>
      </c>
    </row>
    <row r="120" ht="28.2" customHeight="1" s="227">
      <c r="A120" s="92" t="n">
        <v>212</v>
      </c>
      <c r="B120" s="68" t="inlineStr">
        <is>
          <t>CDMX</t>
        </is>
      </c>
      <c r="C120" s="69" t="inlineStr">
        <is>
          <t>Ultrasonido modo A-B, marca Quantel Medical, modelo Aviso</t>
        </is>
      </c>
      <c r="D120" s="68" t="inlineStr">
        <is>
          <t>3640</t>
        </is>
      </c>
      <c r="E120" s="69" t="inlineStr">
        <is>
          <t>H.M.E.O. Constituyentes</t>
        </is>
      </c>
      <c r="F120" s="95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55000</v>
      </c>
      <c r="J120" s="291">
        <f>I120</f>
        <v/>
      </c>
      <c r="K120" s="291">
        <f>J120</f>
        <v/>
      </c>
      <c r="L120" s="291" t="n"/>
      <c r="M120" s="291" t="n"/>
      <c r="N120" s="291" t="n"/>
      <c r="O120" s="296" t="n">
        <v>220000</v>
      </c>
      <c r="P120" s="296">
        <f>G120*O120</f>
        <v/>
      </c>
      <c r="Q120" s="296">
        <f>H120*O120</f>
        <v/>
      </c>
      <c r="R120" s="296">
        <f>SUM(P120:Q120)</f>
        <v/>
      </c>
      <c r="S120" s="296">
        <f>R120*$S$9</f>
        <v/>
      </c>
      <c r="T120" s="296">
        <f>SUM(R120:S120)</f>
        <v/>
      </c>
      <c r="U120" s="78" t="inlineStr">
        <is>
          <t>OFTALMO</t>
        </is>
      </c>
      <c r="V120" s="81" t="inlineStr">
        <is>
          <t>ARFAMEX</t>
        </is>
      </c>
      <c r="W120" s="91" t="inlineStr">
        <is>
          <t>NO ADJUDICADO</t>
        </is>
      </c>
      <c r="X120" s="5" t="inlineStr">
        <is>
          <t>PROYECTADO</t>
        </is>
      </c>
    </row>
    <row r="121" ht="28.2" customHeight="1" s="227">
      <c r="A121" s="92" t="n">
        <v>213</v>
      </c>
      <c r="B121" s="68" t="inlineStr">
        <is>
          <t>CDMX</t>
        </is>
      </c>
      <c r="C121" s="69" t="inlineStr">
        <is>
          <t>Ultrasonido modo A-B y UBM, marca Quantel Medical, modelo Compact Touch</t>
        </is>
      </c>
      <c r="D121" s="68" t="inlineStr">
        <is>
          <t>2746</t>
        </is>
      </c>
      <c r="E121" s="69" t="inlineStr">
        <is>
          <t>H.M.E.O. Constituyentes</t>
        </is>
      </c>
      <c r="F121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47500</v>
      </c>
      <c r="J121" s="291">
        <f>I121</f>
        <v/>
      </c>
      <c r="K121" s="291">
        <f>J121</f>
        <v/>
      </c>
      <c r="L121" s="291">
        <f>SUM(I121:K121)</f>
        <v/>
      </c>
      <c r="M121" s="291">
        <f>L121*0.16</f>
        <v/>
      </c>
      <c r="N121" s="291">
        <f>SUM(L121:M121)</f>
        <v/>
      </c>
      <c r="O121" s="296" t="n">
        <v>150000</v>
      </c>
      <c r="P121" s="296">
        <f>G121*O121</f>
        <v/>
      </c>
      <c r="Q121" s="296">
        <f>H121*O121</f>
        <v/>
      </c>
      <c r="R121" s="296">
        <f>SUM(P121:Q121)</f>
        <v/>
      </c>
      <c r="S121" s="296">
        <f>R121*$S$9</f>
        <v/>
      </c>
      <c r="T121" s="296">
        <f>SUM(R121:S121)</f>
        <v/>
      </c>
      <c r="U121" s="78" t="inlineStr">
        <is>
          <t>OFTALMO</t>
        </is>
      </c>
      <c r="V121" s="81" t="inlineStr">
        <is>
          <t>ARFAMEX</t>
        </is>
      </c>
      <c r="W121" s="103" t="inlineStr">
        <is>
          <t>ADJUDICADO</t>
        </is>
      </c>
      <c r="X121" s="5" t="inlineStr">
        <is>
          <t>NO PROYECTADO</t>
        </is>
      </c>
    </row>
    <row r="122" ht="28.2" customHeight="1" s="227">
      <c r="A122" s="86" t="n">
        <v>214</v>
      </c>
      <c r="B122" s="68" t="inlineStr">
        <is>
          <t>CDMX</t>
        </is>
      </c>
      <c r="C122" s="69" t="inlineStr">
        <is>
          <t>Cámara de Scheimpflug, marca Oculus, modelo Pentacam HR</t>
        </is>
      </c>
      <c r="D122" s="68" t="inlineStr">
        <is>
          <t>64835160</t>
        </is>
      </c>
      <c r="E122" s="69" t="inlineStr">
        <is>
          <t>H.M.E.O. Constituyentes</t>
        </is>
      </c>
      <c r="F122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50000</v>
      </c>
      <c r="J122" s="291">
        <f>I122</f>
        <v/>
      </c>
      <c r="K122" s="291">
        <f>J122</f>
        <v/>
      </c>
      <c r="L122" s="291">
        <f>SUM(I122:K122)</f>
        <v/>
      </c>
      <c r="M122" s="291">
        <f>L122*0.16</f>
        <v/>
      </c>
      <c r="N122" s="291">
        <f>SUM(L122:M122)</f>
        <v/>
      </c>
      <c r="O122" s="296" t="n">
        <v>150000</v>
      </c>
      <c r="P122" s="296">
        <f>G122*O122</f>
        <v/>
      </c>
      <c r="Q122" s="296">
        <f>H122*O122</f>
        <v/>
      </c>
      <c r="R122" s="296">
        <f>SUM(P122:Q122)</f>
        <v/>
      </c>
      <c r="S122" s="296">
        <f>R122*$S$9</f>
        <v/>
      </c>
      <c r="T122" s="296">
        <f>SUM(R122:S122)</f>
        <v/>
      </c>
      <c r="U122" s="78" t="inlineStr">
        <is>
          <t>OFTALMO</t>
        </is>
      </c>
      <c r="V122" s="81" t="inlineStr">
        <is>
          <t>CYAN</t>
        </is>
      </c>
      <c r="W122" s="83" t="inlineStr">
        <is>
          <t>ADJUDICADO</t>
        </is>
      </c>
      <c r="X122" s="5" t="inlineStr">
        <is>
          <t>PROYECTADO</t>
        </is>
      </c>
    </row>
    <row r="123" ht="28.2" customHeight="1" s="227">
      <c r="A123" s="86" t="n">
        <v>215</v>
      </c>
      <c r="B123" s="68" t="inlineStr">
        <is>
          <t>CDMX</t>
        </is>
      </c>
      <c r="C123" s="69" t="inlineStr">
        <is>
          <t>Unidad de banco de ojos, marca Varios, modelo Varios</t>
        </is>
      </c>
      <c r="D123" s="68" t="inlineStr">
        <is>
          <t>Varios</t>
        </is>
      </c>
      <c r="E123" s="69" t="inlineStr">
        <is>
          <t>H.M.E.O. Constituyentes</t>
        </is>
      </c>
      <c r="F123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70000</v>
      </c>
      <c r="J123" s="291">
        <f>I123</f>
        <v/>
      </c>
      <c r="K123" s="291">
        <f>J123</f>
        <v/>
      </c>
      <c r="L123" s="291">
        <f>SUM(I123:K123)</f>
        <v/>
      </c>
      <c r="M123" s="291">
        <f>L123*0.16</f>
        <v/>
      </c>
      <c r="N123" s="291">
        <f>SUM(L123:M123)</f>
        <v/>
      </c>
      <c r="O123" s="296" t="n">
        <v>130000</v>
      </c>
      <c r="P123" s="296">
        <f>G123*O123</f>
        <v/>
      </c>
      <c r="Q123" s="296">
        <f>H123*O123</f>
        <v/>
      </c>
      <c r="R123" s="296">
        <f>SUM(P123:Q123)</f>
        <v/>
      </c>
      <c r="S123" s="296">
        <f>R123*$S$9</f>
        <v/>
      </c>
      <c r="T123" s="296">
        <f>SUM(R123:S123)</f>
        <v/>
      </c>
      <c r="U123" s="78" t="inlineStr">
        <is>
          <t>OFTALMO</t>
        </is>
      </c>
      <c r="V123" s="81" t="inlineStr">
        <is>
          <t>MD</t>
        </is>
      </c>
      <c r="W123" s="83" t="inlineStr">
        <is>
          <t>ADJUDICADO</t>
        </is>
      </c>
      <c r="X123" s="5" t="inlineStr">
        <is>
          <t>PROYECTADO</t>
        </is>
      </c>
    </row>
    <row r="124" ht="28.2" customHeight="1" s="227">
      <c r="A124" s="86" t="n">
        <v>218</v>
      </c>
      <c r="B124" s="68" t="inlineStr">
        <is>
          <t>CDMX</t>
        </is>
      </c>
      <c r="C124" s="69" t="inlineStr">
        <is>
          <t>Impresora para placas radiográficas, marca Codonics, modelo Horizon Ci</t>
        </is>
      </c>
      <c r="D124" s="68" t="inlineStr">
        <is>
          <t>50C00394C</t>
        </is>
      </c>
      <c r="E124" s="69" t="inlineStr">
        <is>
          <t>H.M.E.M. Y N. Lomas de Sotelo</t>
        </is>
      </c>
      <c r="F124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SUM(I124:K124)</f>
        <v/>
      </c>
      <c r="M124" s="291">
        <f>L124*0.16</f>
        <v/>
      </c>
      <c r="N124" s="291">
        <f>SUM(L124:M124)</f>
        <v/>
      </c>
      <c r="O124" s="296" t="n">
        <v>220000</v>
      </c>
      <c r="P124" s="296">
        <f>G124*O124</f>
        <v/>
      </c>
      <c r="Q124" s="296">
        <f>H124*O124</f>
        <v/>
      </c>
      <c r="R124" s="296">
        <f>SUM(P124:Q124)</f>
        <v/>
      </c>
      <c r="S124" s="296">
        <f>R124*$S$9</f>
        <v/>
      </c>
      <c r="T124" s="296">
        <f>SUM(R124:S124)</f>
        <v/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28.2" customHeight="1" s="227">
      <c r="A125" s="86" t="n">
        <v>221</v>
      </c>
      <c r="B125" s="68" t="inlineStr">
        <is>
          <t>VERACRUZ</t>
        </is>
      </c>
      <c r="C125" s="69" t="inlineStr">
        <is>
          <t>Sistema de digitalización de imágenes, marca Fujifilm, modelo Digitalizador: FCR Capsula XLII (CR-IR 359) Impresora: Drypix Plus</t>
        </is>
      </c>
      <c r="D125" s="68" t="inlineStr">
        <is>
          <t>Digitalizador: 46770610 Impresora: 36753809</t>
        </is>
      </c>
      <c r="E125" s="69" t="inlineStr">
        <is>
          <t>H.M.Z. La Boticaría</t>
        </is>
      </c>
      <c r="F125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SUM(I125:K125)</f>
        <v/>
      </c>
      <c r="M125" s="291">
        <f>L125*0.16</f>
        <v/>
      </c>
      <c r="N125" s="291">
        <f>SUM(L125:M125)</f>
        <v/>
      </c>
      <c r="O125" s="296" t="n">
        <v>220000</v>
      </c>
      <c r="P125" s="296">
        <f>G125*O125</f>
        <v/>
      </c>
      <c r="Q125" s="296">
        <f>H125*O125</f>
        <v/>
      </c>
      <c r="R125" s="296">
        <f>SUM(P125:Q125)</f>
        <v/>
      </c>
      <c r="S125" s="296">
        <f>R125*$S$9</f>
        <v/>
      </c>
      <c r="T125" s="296">
        <f>SUM(R125:S125)</f>
        <v/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28.2" customHeight="1" s="227">
      <c r="A126" s="86" t="n">
        <v>222</v>
      </c>
      <c r="B126" s="68" t="inlineStr">
        <is>
          <t>VERACRUZ</t>
        </is>
      </c>
      <c r="C126" s="69" t="inlineStr">
        <is>
          <t>Ultrasonido oftálmico, marca OPTIKON, modelo HiScan</t>
        </is>
      </c>
      <c r="D126" s="68" t="inlineStr">
        <is>
          <t>387BC</t>
        </is>
      </c>
      <c r="E126" s="69" t="inlineStr">
        <is>
          <t>H.M.Z. La Boticaría</t>
        </is>
      </c>
      <c r="F126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150000</v>
      </c>
      <c r="J126" s="291">
        <f>I126</f>
        <v/>
      </c>
      <c r="K126" s="291">
        <f>J126</f>
        <v/>
      </c>
      <c r="L126" s="291">
        <f>SUM(I126:K126)</f>
        <v/>
      </c>
      <c r="M126" s="291">
        <f>L126*0.16</f>
        <v/>
      </c>
      <c r="N126" s="291">
        <f>SUM(L126:M126)</f>
        <v/>
      </c>
      <c r="O126" s="296" t="n">
        <v>365000</v>
      </c>
      <c r="P126" s="296">
        <f>G126*O126</f>
        <v/>
      </c>
      <c r="Q126" s="296">
        <f>H126*O126</f>
        <v/>
      </c>
      <c r="R126" s="296">
        <f>SUM(P126:Q126)</f>
        <v/>
      </c>
      <c r="S126" s="296">
        <f>R126*$S$9</f>
        <v/>
      </c>
      <c r="T126" s="296">
        <f>SUM(R126:S126)</f>
        <v/>
      </c>
      <c r="U126" s="78" t="inlineStr">
        <is>
          <t>OFTALMO</t>
        </is>
      </c>
      <c r="V126" s="81" t="inlineStr">
        <is>
          <t>OPTIKON</t>
        </is>
      </c>
      <c r="W126" s="83" t="inlineStr">
        <is>
          <t>ADJUDICADO</t>
        </is>
      </c>
      <c r="X126" s="5" t="inlineStr">
        <is>
          <t>PROYECTADO</t>
        </is>
      </c>
    </row>
    <row r="127" ht="28.2" customHeight="1" s="227">
      <c r="A127" s="92" t="n">
        <v>223</v>
      </c>
      <c r="B127" s="68" t="inlineStr">
        <is>
          <t>GUERRERO</t>
        </is>
      </c>
      <c r="C127" s="69" t="inlineStr">
        <is>
          <t>Rayos X móvil, marca Shimadzu, modelo MobileArt Evolution</t>
        </is>
      </c>
      <c r="D127" s="68" t="inlineStr">
        <is>
          <t>41000333B017</t>
        </is>
      </c>
      <c r="E127" s="69" t="inlineStr">
        <is>
          <t>H.M.R. Chilpancingo</t>
        </is>
      </c>
      <c r="F127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/>
      <c r="J127" s="291">
        <f>I127</f>
        <v/>
      </c>
      <c r="K127" s="291">
        <f>J127</f>
        <v/>
      </c>
      <c r="L127" s="291" t="n"/>
      <c r="M127" s="291" t="n"/>
      <c r="N127" s="291" t="n"/>
      <c r="O127" s="296" t="n">
        <v>220000</v>
      </c>
      <c r="P127" s="296">
        <f>G127*O127</f>
        <v/>
      </c>
      <c r="Q127" s="296">
        <f>H127*O127</f>
        <v/>
      </c>
      <c r="R127" s="296">
        <f>SUM(P127:Q127)</f>
        <v/>
      </c>
      <c r="S127" s="296">
        <f>R127*$S$9</f>
        <v/>
      </c>
      <c r="T127" s="296">
        <f>SUM(R127:S127)</f>
        <v/>
      </c>
      <c r="U127" s="78" t="inlineStr">
        <is>
          <t>IMAGEN</t>
        </is>
      </c>
      <c r="V127" s="85" t="n"/>
      <c r="W127" s="103" t="inlineStr">
        <is>
          <t>ADJUDICADO</t>
        </is>
      </c>
      <c r="X127" s="5" t="inlineStr">
        <is>
          <t>NO PROYECTADO</t>
        </is>
      </c>
    </row>
    <row r="128" ht="28.2" customHeight="1" s="227">
      <c r="A128" s="92" t="n">
        <v>225</v>
      </c>
      <c r="B128" s="68" t="inlineStr">
        <is>
          <t>ZACATECAS</t>
        </is>
      </c>
      <c r="C128" s="69" t="inlineStr">
        <is>
          <t>Equipo de rayos X móvil, marca Technix, modelo TMS 320</t>
        </is>
      </c>
      <c r="D128" s="68" t="inlineStr">
        <is>
          <t>80-16-86-157</t>
        </is>
      </c>
      <c r="E128" s="69" t="inlineStr">
        <is>
          <t>H.M.Z. Guadalupe</t>
        </is>
      </c>
      <c r="F128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/>
      <c r="J128" s="291">
        <f>I128</f>
        <v/>
      </c>
      <c r="K128" s="291">
        <f>J128</f>
        <v/>
      </c>
      <c r="L128" s="291" t="n"/>
      <c r="M128" s="291" t="n"/>
      <c r="N128" s="291" t="n"/>
      <c r="O128" s="296" t="n">
        <v>300000</v>
      </c>
      <c r="P128" s="296">
        <f>G128*O128</f>
        <v/>
      </c>
      <c r="Q128" s="296">
        <f>H128*O128</f>
        <v/>
      </c>
      <c r="R128" s="296">
        <f>SUM(P128:Q128)</f>
        <v/>
      </c>
      <c r="S128" s="296">
        <f>R128*$S$9</f>
        <v/>
      </c>
      <c r="T128" s="296">
        <f>SUM(R128:S128)</f>
        <v/>
      </c>
      <c r="U128" s="78" t="inlineStr">
        <is>
          <t>IMAGEN</t>
        </is>
      </c>
      <c r="V128" s="85" t="n"/>
      <c r="W128" s="103" t="inlineStr">
        <is>
          <t>ADJUDICADO</t>
        </is>
      </c>
      <c r="X128" s="5" t="inlineStr">
        <is>
          <t>NO PROYECTADO</t>
        </is>
      </c>
    </row>
    <row r="129" ht="28.2" customHeight="1" s="227">
      <c r="A129" s="92" t="n">
        <v>226</v>
      </c>
      <c r="B129" s="68" t="inlineStr">
        <is>
          <t>CHIHUAHUA</t>
        </is>
      </c>
      <c r="C129" s="69" t="inlineStr">
        <is>
          <t>Sistema de digitalización de imágenes, marca Fujifilm, modelo Digitalizador: FCR Capsula XLII (CR-IR 359) Impresora: Drypix 4000</t>
        </is>
      </c>
      <c r="D129" s="68" t="inlineStr">
        <is>
          <t>Digitalizador: 37240106 Impresora: 36653761</t>
        </is>
      </c>
      <c r="E129" s="69" t="inlineStr">
        <is>
          <t>H.M.R. Chihuahua</t>
        </is>
      </c>
      <c r="F129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/>
      <c r="J129" s="291">
        <f>I129</f>
        <v/>
      </c>
      <c r="K129" s="291">
        <f>J129</f>
        <v/>
      </c>
      <c r="L129" s="291" t="n"/>
      <c r="M129" s="291" t="n"/>
      <c r="N129" s="291" t="n"/>
      <c r="O129" s="296" t="n">
        <v>300000</v>
      </c>
      <c r="P129" s="296">
        <f>G129*O129</f>
        <v/>
      </c>
      <c r="Q129" s="296">
        <f>H129*O129</f>
        <v/>
      </c>
      <c r="R129" s="296">
        <f>SUM(P129:Q129)</f>
        <v/>
      </c>
      <c r="S129" s="296">
        <f>R129*$S$9</f>
        <v/>
      </c>
      <c r="T129" s="296">
        <f>SUM(R129:S129)</f>
        <v/>
      </c>
      <c r="U129" s="78" t="inlineStr">
        <is>
          <t>IMAGEN</t>
        </is>
      </c>
      <c r="V129" s="85" t="n"/>
      <c r="W129" s="103" t="inlineStr">
        <is>
          <t>ADJUDICADO</t>
        </is>
      </c>
      <c r="X129" s="5" t="inlineStr">
        <is>
          <t>NO PROYECTADO</t>
        </is>
      </c>
    </row>
    <row r="130" ht="28.2" customHeight="1" s="227">
      <c r="A130" s="86" t="n">
        <v>227</v>
      </c>
      <c r="B130" s="68" t="inlineStr">
        <is>
          <t>EDO DE MEX</t>
        </is>
      </c>
      <c r="C130" s="69" t="inlineStr">
        <is>
          <t>Sistema de digitalización de imágenes, marca Fujifilm, modelo Digitalizador: FCR Capsula XLII (CR-IR 359) Impresora: Drypix 4000</t>
        </is>
      </c>
      <c r="D130" s="68" t="inlineStr">
        <is>
          <t>Digitalizador: 46370281 Impresora: 36753805</t>
        </is>
      </c>
      <c r="E130" s="69" t="inlineStr">
        <is>
          <t>H.M.Z. Temamatla</t>
        </is>
      </c>
      <c r="F130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100000</v>
      </c>
      <c r="J130" s="291">
        <f>I130</f>
        <v/>
      </c>
      <c r="K130" s="291">
        <f>J130</f>
        <v/>
      </c>
      <c r="L130" s="291">
        <f>SUM(I130:K130)</f>
        <v/>
      </c>
      <c r="M130" s="291">
        <f>L130*0.16</f>
        <v/>
      </c>
      <c r="N130" s="291">
        <f>SUM(L130:M130)</f>
        <v/>
      </c>
      <c r="O130" s="296" t="n">
        <v>220000</v>
      </c>
      <c r="P130" s="296">
        <f>G130*O130</f>
        <v/>
      </c>
      <c r="Q130" s="296">
        <f>H130*O130</f>
        <v/>
      </c>
      <c r="R130" s="296">
        <f>SUM(P130:Q130)</f>
        <v/>
      </c>
      <c r="S130" s="296">
        <f>R130*$S$9</f>
        <v/>
      </c>
      <c r="T130" s="296">
        <f>SUM(R130:S130)</f>
        <v/>
      </c>
      <c r="U130" s="78" t="inlineStr">
        <is>
          <t>IMAGEN</t>
        </is>
      </c>
      <c r="V130" s="85" t="n"/>
      <c r="W130" s="83" t="inlineStr">
        <is>
          <t>ADJUDICADO</t>
        </is>
      </c>
      <c r="X130" s="5" t="inlineStr">
        <is>
          <t>PROYECTADO</t>
        </is>
      </c>
    </row>
    <row r="131" ht="28.2" customHeight="1" s="227">
      <c r="A131" s="86" t="n">
        <v>228</v>
      </c>
      <c r="B131" s="68" t="inlineStr">
        <is>
          <t>EDO DE MEX</t>
        </is>
      </c>
      <c r="C131" s="69" t="inlineStr">
        <is>
          <t>Impresora para placas radiográficas, marca Konica Minolta, modelo DryPro 873</t>
        </is>
      </c>
      <c r="D131" s="68" t="inlineStr">
        <is>
          <t>0992-50128</t>
        </is>
      </c>
      <c r="E131" s="69" t="inlineStr">
        <is>
          <t>H.M.Z. Temamatla</t>
        </is>
      </c>
      <c r="F131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100000</v>
      </c>
      <c r="J131" s="291">
        <f>I131</f>
        <v/>
      </c>
      <c r="K131" s="291">
        <f>J131</f>
        <v/>
      </c>
      <c r="L131" s="291">
        <f>SUM(I131:K131)</f>
        <v/>
      </c>
      <c r="M131" s="291">
        <f>L131*0.16</f>
        <v/>
      </c>
      <c r="N131" s="291">
        <f>SUM(L131:M131)</f>
        <v/>
      </c>
      <c r="O131" s="296" t="n">
        <v>220000</v>
      </c>
      <c r="P131" s="296">
        <f>G131*O131</f>
        <v/>
      </c>
      <c r="Q131" s="296">
        <f>H131*O131</f>
        <v/>
      </c>
      <c r="R131" s="296">
        <f>SUM(P131:Q131)</f>
        <v/>
      </c>
      <c r="S131" s="296">
        <f>R131*$S$9</f>
        <v/>
      </c>
      <c r="T131" s="296">
        <f>SUM(R131:S131)</f>
        <v/>
      </c>
      <c r="U131" s="78" t="inlineStr">
        <is>
          <t>IMAGEN</t>
        </is>
      </c>
      <c r="V131" s="85" t="n"/>
      <c r="W131" s="83" t="inlineStr">
        <is>
          <t>ADJUDICADO</t>
        </is>
      </c>
      <c r="X131" s="5" t="inlineStr">
        <is>
          <t>PROYECTADO</t>
        </is>
      </c>
    </row>
    <row r="132" ht="28.2" customHeight="1" s="227">
      <c r="A132" s="92" t="n">
        <v>230</v>
      </c>
      <c r="B132" s="68" t="inlineStr">
        <is>
          <t>GUANAJUATO</t>
        </is>
      </c>
      <c r="C132" s="69" t="inlineStr">
        <is>
          <t>Equipo de rayos X móvil, marca Technix, modelo TMS 320</t>
        </is>
      </c>
      <c r="D132" s="68" t="inlineStr">
        <is>
          <t>80-16-85-156</t>
        </is>
      </c>
      <c r="E132" s="69" t="inlineStr">
        <is>
          <t>H.M.R., Irapuato</t>
        </is>
      </c>
      <c r="F132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/>
      <c r="J132" s="291">
        <f>I132</f>
        <v/>
      </c>
      <c r="K132" s="291">
        <f>J132</f>
        <v/>
      </c>
      <c r="L132" s="291" t="n"/>
      <c r="M132" s="291" t="n"/>
      <c r="N132" s="291" t="n"/>
      <c r="O132" s="296" t="n">
        <v>220000</v>
      </c>
      <c r="P132" s="296">
        <f>G132*O132</f>
        <v/>
      </c>
      <c r="Q132" s="296">
        <f>H132*O132</f>
        <v/>
      </c>
      <c r="R132" s="296">
        <f>SUM(P132:Q132)</f>
        <v/>
      </c>
      <c r="S132" s="296">
        <f>R132*$S$9</f>
        <v/>
      </c>
      <c r="T132" s="296">
        <f>SUM(R132:S132)</f>
        <v/>
      </c>
      <c r="U132" s="78" t="inlineStr">
        <is>
          <t>IMAGEN</t>
        </is>
      </c>
      <c r="V132" s="85" t="n"/>
      <c r="W132" s="103" t="inlineStr">
        <is>
          <t>ADJUDICADO</t>
        </is>
      </c>
      <c r="X132" s="5" t="inlineStr">
        <is>
          <t>NO PROYECTADO</t>
        </is>
      </c>
    </row>
    <row r="133" ht="28.2" customHeight="1" s="227">
      <c r="A133" s="86" t="n">
        <v>231</v>
      </c>
      <c r="B133" s="68" t="inlineStr">
        <is>
          <t>MORELOS</t>
        </is>
      </c>
      <c r="C133" s="69" t="inlineStr">
        <is>
          <t>Sistema de digitalización de imágenes, marca Fujifilm, modelo Digitalizador: FCR Capsula XLII (CR-IR 359) Impresora: Drypix 4000</t>
        </is>
      </c>
      <c r="D133" s="68" t="inlineStr">
        <is>
          <t>Digitalizador: 46770614 Impresora: 36653758</t>
        </is>
      </c>
      <c r="E133" s="69" t="inlineStr">
        <is>
          <t>H.M.Z. Cuernavaca</t>
        </is>
      </c>
      <c r="F133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SUM(I133:K133)</f>
        <v/>
      </c>
      <c r="M133" s="291">
        <f>L133*0.16</f>
        <v/>
      </c>
      <c r="N133" s="291">
        <f>SUM(L133:M133)</f>
        <v/>
      </c>
      <c r="O133" s="296" t="n">
        <v>220000</v>
      </c>
      <c r="P133" s="296">
        <f>G133*O133</f>
        <v/>
      </c>
      <c r="Q133" s="296">
        <f>H133*O133</f>
        <v/>
      </c>
      <c r="R133" s="296">
        <f>SUM(P133:Q133)</f>
        <v/>
      </c>
      <c r="S133" s="296">
        <f>R133*$S$9</f>
        <v/>
      </c>
      <c r="T133" s="296">
        <f>SUM(R133:S133)</f>
        <v/>
      </c>
      <c r="U133" s="78" t="inlineStr">
        <is>
          <t>IMAGEN</t>
        </is>
      </c>
      <c r="V133" s="85" t="n"/>
      <c r="W133" s="83" t="inlineStr">
        <is>
          <t>ADJUDICADO</t>
        </is>
      </c>
      <c r="X133" s="5" t="inlineStr">
        <is>
          <t>PROYECTADO</t>
        </is>
      </c>
    </row>
    <row r="134" ht="28.2" customHeight="1" s="227">
      <c r="A134" s="86" t="n">
        <v>232</v>
      </c>
      <c r="B134" s="68" t="inlineStr">
        <is>
          <t>GUERRERO</t>
        </is>
      </c>
      <c r="C134" s="69" t="inlineStr">
        <is>
          <t>Digitalizador de placas radiográficas, marca Fujifilm, modelo CR-IR359</t>
        </is>
      </c>
      <c r="D134" s="68" t="inlineStr">
        <is>
          <t>46270262</t>
        </is>
      </c>
      <c r="E134" s="69" t="inlineStr">
        <is>
          <t>H.M.R. Acapulco</t>
        </is>
      </c>
      <c r="F134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SUM(I134:K134)</f>
        <v/>
      </c>
      <c r="M134" s="291">
        <f>L134*0.16</f>
        <v/>
      </c>
      <c r="N134" s="291">
        <f>SUM(L134:M134)</f>
        <v/>
      </c>
      <c r="O134" s="296" t="n">
        <v>220000</v>
      </c>
      <c r="P134" s="296">
        <f>G134*O134</f>
        <v/>
      </c>
      <c r="Q134" s="296">
        <f>H134*O134</f>
        <v/>
      </c>
      <c r="R134" s="296">
        <f>SUM(P134:Q134)</f>
        <v/>
      </c>
      <c r="S134" s="296">
        <f>R134*$S$9</f>
        <v/>
      </c>
      <c r="T134" s="296">
        <f>SUM(R134:S134)</f>
        <v/>
      </c>
      <c r="U134" s="78" t="inlineStr">
        <is>
          <t>IMAGEN</t>
        </is>
      </c>
      <c r="V134" s="85" t="n"/>
      <c r="W134" s="83" t="inlineStr">
        <is>
          <t>ADJUDICADO</t>
        </is>
      </c>
      <c r="X134" s="5" t="inlineStr">
        <is>
          <t>PROYECTADO</t>
        </is>
      </c>
    </row>
    <row r="135" ht="28.2" customHeight="1" s="227">
      <c r="A135" s="92" t="n">
        <v>265</v>
      </c>
      <c r="B135" s="68" t="inlineStr">
        <is>
          <t>EDO DE MEX</t>
        </is>
      </c>
      <c r="C135" s="69" t="inlineStr">
        <is>
          <t>Rayos X móvil, marca Listem, modelo MOBIX-1000</t>
        </is>
      </c>
      <c r="D135" s="68" t="inlineStr">
        <is>
          <t>10 0155</t>
        </is>
      </c>
      <c r="E135" s="69" t="inlineStr">
        <is>
          <t>H.M.Z. Santa María Rayón</t>
        </is>
      </c>
      <c r="F135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/>
      <c r="J135" s="291">
        <f>I135</f>
        <v/>
      </c>
      <c r="K135" s="291">
        <f>J135</f>
        <v/>
      </c>
      <c r="L135" s="291" t="n"/>
      <c r="M135" s="291" t="n"/>
      <c r="N135" s="291" t="n"/>
      <c r="O135" s="296" t="n">
        <v>220000</v>
      </c>
      <c r="P135" s="296">
        <f>G135*O135</f>
        <v/>
      </c>
      <c r="Q135" s="296">
        <f>H135*O135</f>
        <v/>
      </c>
      <c r="R135" s="296">
        <f>SUM(P135:Q135)</f>
        <v/>
      </c>
      <c r="S135" s="296">
        <f>R135*$S$9</f>
        <v/>
      </c>
      <c r="T135" s="296">
        <f>SUM(R135:S135)</f>
        <v/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28.2" customHeight="1" s="227">
      <c r="A136" s="86" t="n">
        <v>268</v>
      </c>
      <c r="B136" s="68" t="inlineStr">
        <is>
          <t>OAXACA</t>
        </is>
      </c>
      <c r="C136" s="69" t="inlineStr">
        <is>
          <t>Fotocoagulador láser , marca Meridian AG, modelo SLA-UNI</t>
        </is>
      </c>
      <c r="D136" s="68" t="inlineStr">
        <is>
          <t>0069</t>
        </is>
      </c>
      <c r="E136" s="69" t="inlineStr">
        <is>
          <t>H.M.Z. Ixcotel</t>
        </is>
      </c>
      <c r="F136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200000</v>
      </c>
      <c r="J136" s="291">
        <f>I136</f>
        <v/>
      </c>
      <c r="K136" s="291">
        <f>J136</f>
        <v/>
      </c>
      <c r="L136" s="291">
        <f>SUM(I136:K136)</f>
        <v/>
      </c>
      <c r="M136" s="291">
        <f>L136*0.16</f>
        <v/>
      </c>
      <c r="N136" s="291">
        <f>SUM(L136:M136)</f>
        <v/>
      </c>
      <c r="O136" s="296" t="n">
        <v>425000</v>
      </c>
      <c r="P136" s="296">
        <f>G136*O136</f>
        <v/>
      </c>
      <c r="Q136" s="296">
        <f>H136*O136</f>
        <v/>
      </c>
      <c r="R136" s="296">
        <f>SUM(P136:Q136)</f>
        <v/>
      </c>
      <c r="S136" s="296">
        <f>R136*$S$9</f>
        <v/>
      </c>
      <c r="T136" s="296">
        <f>SUM(R136:S136)</f>
        <v/>
      </c>
      <c r="U136" s="78" t="inlineStr">
        <is>
          <t>OFTALMO</t>
        </is>
      </c>
      <c r="V136" s="81" t="inlineStr">
        <is>
          <t>DEWIMED</t>
        </is>
      </c>
      <c r="W136" s="83" t="inlineStr">
        <is>
          <t>ADJUDICADO</t>
        </is>
      </c>
      <c r="X136" s="5" t="inlineStr">
        <is>
          <t>PROYECTADO</t>
        </is>
      </c>
    </row>
    <row r="137" ht="28.2" customHeight="1" s="227">
      <c r="A137" s="86" t="n">
        <v>273</v>
      </c>
      <c r="B137" s="68" t="inlineStr">
        <is>
          <t>OAXACA</t>
        </is>
      </c>
      <c r="C137" s="69" t="inlineStr">
        <is>
          <t>Láser oftálmico, marca Alcon, modelo 3000LE</t>
        </is>
      </c>
      <c r="D137" s="68" t="inlineStr">
        <is>
          <t>5342LX</t>
        </is>
      </c>
      <c r="E137" s="69" t="inlineStr">
        <is>
          <t>H.M.Z. Ixcotel</t>
        </is>
      </c>
      <c r="F137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200000</v>
      </c>
      <c r="J137" s="291">
        <f>I137</f>
        <v/>
      </c>
      <c r="K137" s="291">
        <f>J137</f>
        <v/>
      </c>
      <c r="L137" s="291">
        <f>SUM(I137:K137)</f>
        <v/>
      </c>
      <c r="M137" s="291">
        <f>L137*0.16</f>
        <v/>
      </c>
      <c r="N137" s="291">
        <f>SUM(L137:M137)</f>
        <v/>
      </c>
      <c r="O137" s="296" t="n">
        <v>400000</v>
      </c>
      <c r="P137" s="296">
        <f>G137*O137</f>
        <v/>
      </c>
      <c r="Q137" s="296">
        <f>H137*O137</f>
        <v/>
      </c>
      <c r="R137" s="296">
        <f>SUM(P137:Q137)</f>
        <v/>
      </c>
      <c r="S137" s="296">
        <f>R137*$S$9</f>
        <v/>
      </c>
      <c r="T137" s="296">
        <f>SUM(R137:S137)</f>
        <v/>
      </c>
      <c r="U137" s="78" t="inlineStr">
        <is>
          <t>OFTALMO</t>
        </is>
      </c>
      <c r="V137" s="81" t="inlineStr">
        <is>
          <t>ALCON</t>
        </is>
      </c>
      <c r="W137" s="83" t="inlineStr">
        <is>
          <t>ADJUDICADO</t>
        </is>
      </c>
      <c r="X137" s="5" t="inlineStr">
        <is>
          <t>PROYECTADO</t>
        </is>
      </c>
    </row>
    <row r="138" ht="28.2" customHeight="1" s="227">
      <c r="A138" s="86" t="n">
        <v>283</v>
      </c>
      <c r="B138" s="68" t="inlineStr">
        <is>
          <t>CDMX</t>
        </is>
      </c>
      <c r="C138" s="69" t="inlineStr">
        <is>
          <t>Láser excimer, marca Bausch &amp; Lomb, modelo Zyoptix XP</t>
        </is>
      </c>
      <c r="D138" s="68" t="inlineStr">
        <is>
          <t>2805</t>
        </is>
      </c>
      <c r="E138" s="69" t="inlineStr">
        <is>
          <t>H.M.E.O. Constituyentes</t>
        </is>
      </c>
      <c r="F138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80000</v>
      </c>
      <c r="J138" s="291">
        <f>I138</f>
        <v/>
      </c>
      <c r="K138" s="291">
        <f>J138</f>
        <v/>
      </c>
      <c r="L138" s="291">
        <f>SUM(I138:K138)</f>
        <v/>
      </c>
      <c r="M138" s="291">
        <f>L138*0.16</f>
        <v/>
      </c>
      <c r="N138" s="291">
        <f>SUM(L138:M138)</f>
        <v/>
      </c>
      <c r="O138" s="296" t="n">
        <v>170000</v>
      </c>
      <c r="P138" s="296">
        <f>G138*O138</f>
        <v/>
      </c>
      <c r="Q138" s="296">
        <f>H138*O138</f>
        <v/>
      </c>
      <c r="R138" s="296">
        <f>SUM(P138:Q138)</f>
        <v/>
      </c>
      <c r="S138" s="296">
        <f>R138*$S$9</f>
        <v/>
      </c>
      <c r="T138" s="296">
        <f>SUM(R138:S138)</f>
        <v/>
      </c>
      <c r="U138" s="78" t="inlineStr">
        <is>
          <t>OFTALMO</t>
        </is>
      </c>
      <c r="V138" s="81" t="inlineStr">
        <is>
          <t>BAUSH</t>
        </is>
      </c>
      <c r="W138" s="83" t="inlineStr">
        <is>
          <t>ADJUDICADO</t>
        </is>
      </c>
      <c r="X138" s="5" t="inlineStr">
        <is>
          <t>PROYECTADO</t>
        </is>
      </c>
    </row>
    <row r="139" ht="28.2" customHeight="1" s="227">
      <c r="A139" s="92" t="n">
        <v>286</v>
      </c>
      <c r="B139" s="68" t="inlineStr">
        <is>
          <t>JALISCO</t>
        </is>
      </c>
      <c r="C139" s="69" t="inlineStr">
        <is>
          <t>Láser de fotocoagulación oftálmico, marca Carl Zeiss, modelo Visulas 532s</t>
        </is>
      </c>
      <c r="D139" s="68" t="inlineStr">
        <is>
          <t>936471</t>
        </is>
      </c>
      <c r="E139" s="69" t="inlineStr">
        <is>
          <t>H.M.R.E. Guadalajara</t>
        </is>
      </c>
      <c r="F139" s="95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100000</v>
      </c>
      <c r="J139" s="291">
        <f>I139</f>
        <v/>
      </c>
      <c r="K139" s="291">
        <f>J139</f>
        <v/>
      </c>
      <c r="L139" s="291" t="n"/>
      <c r="M139" s="291" t="n"/>
      <c r="N139" s="291" t="n"/>
      <c r="O139" s="296" t="n">
        <v>275000</v>
      </c>
      <c r="P139" s="296">
        <f>G139*O139</f>
        <v/>
      </c>
      <c r="Q139" s="296">
        <f>H139*O139</f>
        <v/>
      </c>
      <c r="R139" s="296">
        <f>SUM(P139:Q139)</f>
        <v/>
      </c>
      <c r="S139" s="296">
        <f>R139*$S$9</f>
        <v/>
      </c>
      <c r="T139" s="296">
        <f>SUM(R139:S139)</f>
        <v/>
      </c>
      <c r="U139" s="78" t="inlineStr">
        <is>
          <t>OFTALMO</t>
        </is>
      </c>
      <c r="V139" s="81" t="inlineStr">
        <is>
          <t>ZEISS</t>
        </is>
      </c>
      <c r="W139" s="91" t="inlineStr">
        <is>
          <t>NO ADJUDICADO</t>
        </is>
      </c>
      <c r="X139" s="5" t="inlineStr">
        <is>
          <t>PROYECTADO</t>
        </is>
      </c>
    </row>
    <row r="140" ht="28.2" customHeight="1" s="227">
      <c r="A140" s="92" t="n">
        <v>287</v>
      </c>
      <c r="B140" s="68" t="inlineStr">
        <is>
          <t>JALISCO</t>
        </is>
      </c>
      <c r="C140" s="69" t="inlineStr">
        <is>
          <t>Topógrafo corneal, marca Bausch &amp; Lomb, modelo Orbscan II-Z</t>
        </is>
      </c>
      <c r="D140" s="68" t="inlineStr">
        <is>
          <t>06061672 Z</t>
        </is>
      </c>
      <c r="E140" s="69" t="inlineStr">
        <is>
          <t>H.M.R.E. Guadalajara</t>
        </is>
      </c>
      <c r="F140" s="95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/>
      <c r="J140" s="291">
        <f>I140</f>
        <v/>
      </c>
      <c r="K140" s="291">
        <f>J140</f>
        <v/>
      </c>
      <c r="L140" s="291" t="n"/>
      <c r="M140" s="291" t="n"/>
      <c r="N140" s="291" t="n"/>
      <c r="O140" s="296" t="n">
        <v>350000</v>
      </c>
      <c r="P140" s="296">
        <f>G140*O140</f>
        <v/>
      </c>
      <c r="Q140" s="296">
        <f>H140*O140</f>
        <v/>
      </c>
      <c r="R140" s="296">
        <f>SUM(P140:Q140)</f>
        <v/>
      </c>
      <c r="S140" s="296">
        <f>R140*$S$9</f>
        <v/>
      </c>
      <c r="T140" s="296">
        <f>SUM(R140:S140)</f>
        <v/>
      </c>
      <c r="U140" s="78" t="inlineStr">
        <is>
          <t>OFTALMO</t>
        </is>
      </c>
      <c r="V140" s="81" t="inlineStr">
        <is>
          <t>BAUSH</t>
        </is>
      </c>
      <c r="W140" s="91" t="inlineStr">
        <is>
          <t>NO ADJUDICADO</t>
        </is>
      </c>
      <c r="X140" s="5" t="inlineStr">
        <is>
          <t>PROYECTADO</t>
        </is>
      </c>
    </row>
    <row r="141" ht="28.2" customHeight="1" s="227">
      <c r="A141" s="86" t="n">
        <v>291</v>
      </c>
      <c r="B141" s="68" t="inlineStr">
        <is>
          <t>CDMX</t>
        </is>
      </c>
      <c r="C141" s="69" t="inlineStr">
        <is>
          <t>Láser excimer, marca Bausch &amp; Lomb, modelo Zyoptix XP</t>
        </is>
      </c>
      <c r="D141" s="68" t="inlineStr">
        <is>
          <t>XL500322</t>
        </is>
      </c>
      <c r="E141" s="69" t="inlineStr">
        <is>
          <t>H.M.E.O. Constituyentes</t>
        </is>
      </c>
      <c r="F141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80000</v>
      </c>
      <c r="J141" s="291">
        <f>I141</f>
        <v/>
      </c>
      <c r="K141" s="291">
        <f>J141</f>
        <v/>
      </c>
      <c r="L141" s="291">
        <f>SUM(I141:K141)</f>
        <v/>
      </c>
      <c r="M141" s="291">
        <f>L141*0.16</f>
        <v/>
      </c>
      <c r="N141" s="291">
        <f>SUM(L141:M141)</f>
        <v/>
      </c>
      <c r="O141" s="296" t="n">
        <v>140000</v>
      </c>
      <c r="P141" s="296">
        <f>G141*O141</f>
        <v/>
      </c>
      <c r="Q141" s="296">
        <f>H141*O141</f>
        <v/>
      </c>
      <c r="R141" s="296">
        <f>SUM(P141:Q141)</f>
        <v/>
      </c>
      <c r="S141" s="296">
        <f>R141*$S$9</f>
        <v/>
      </c>
      <c r="T141" s="296">
        <f>SUM(R141:S141)</f>
        <v/>
      </c>
      <c r="U141" s="78" t="inlineStr">
        <is>
          <t>OFTALMO</t>
        </is>
      </c>
      <c r="V141" s="81" t="inlineStr">
        <is>
          <t>BAUSH</t>
        </is>
      </c>
      <c r="W141" s="83" t="inlineStr">
        <is>
          <t>ADJUDICADO</t>
        </is>
      </c>
      <c r="X141" s="5" t="inlineStr">
        <is>
          <t>PROYECTADO</t>
        </is>
      </c>
    </row>
    <row r="142" ht="28.2" customHeight="1" s="227">
      <c r="A142" s="86" t="n">
        <v>292</v>
      </c>
      <c r="B142" s="68" t="inlineStr">
        <is>
          <t>CDMX</t>
        </is>
      </c>
      <c r="C142" s="69" t="inlineStr">
        <is>
          <t>Microscopio especular, marca Konan, modelo CellChek XL NSP9900</t>
        </is>
      </c>
      <c r="D142" s="68" t="inlineStr">
        <is>
          <t>NPA-3-1816</t>
        </is>
      </c>
      <c r="E142" s="69" t="inlineStr">
        <is>
          <t>H.M.E.O. Constituyentes</t>
        </is>
      </c>
      <c r="F142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50000</v>
      </c>
      <c r="J142" s="291">
        <f>I142</f>
        <v/>
      </c>
      <c r="K142" s="291">
        <f>J142</f>
        <v/>
      </c>
      <c r="L142" s="291">
        <f>SUM(I142:K142)</f>
        <v/>
      </c>
      <c r="M142" s="291">
        <f>L142*0.16</f>
        <v/>
      </c>
      <c r="N142" s="291">
        <f>SUM(L142:M142)</f>
        <v/>
      </c>
      <c r="O142" s="296" t="n">
        <v>120000</v>
      </c>
      <c r="P142" s="296">
        <f>G142*O142</f>
        <v/>
      </c>
      <c r="Q142" s="296">
        <f>H142*O142</f>
        <v/>
      </c>
      <c r="R142" s="296">
        <f>SUM(P142:Q142)</f>
        <v/>
      </c>
      <c r="S142" s="296">
        <f>R142*$S$9</f>
        <v/>
      </c>
      <c r="T142" s="296">
        <f>SUM(R142:S142)</f>
        <v/>
      </c>
      <c r="U142" s="78" t="inlineStr">
        <is>
          <t>OFTALMO</t>
        </is>
      </c>
      <c r="V142" s="81" t="inlineStr">
        <is>
          <t>TECHNOMIX</t>
        </is>
      </c>
      <c r="W142" s="83" t="inlineStr">
        <is>
          <t>ADJUDICADO</t>
        </is>
      </c>
      <c r="X142" s="5" t="inlineStr">
        <is>
          <t>PROYECTADO</t>
        </is>
      </c>
    </row>
    <row r="143" ht="28.2" customHeight="1" s="227">
      <c r="A143" s="92" t="n">
        <v>294</v>
      </c>
      <c r="B143" s="68" t="inlineStr">
        <is>
          <t>CHIAPAS</t>
        </is>
      </c>
      <c r="C143" s="69" t="inlineStr">
        <is>
          <t>Láser excimer, marca WaveLight, modelo Allegretto</t>
        </is>
      </c>
      <c r="D143" s="68" t="inlineStr">
        <is>
          <t>1010-2-382</t>
        </is>
      </c>
      <c r="E143" s="69" t="inlineStr">
        <is>
          <t>H.M.R. Tuxtla Gutiérrez</t>
        </is>
      </c>
      <c r="F143" s="95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inlineStr">
        <is>
          <t>NO</t>
        </is>
      </c>
      <c r="J143" s="291">
        <f>I143</f>
        <v/>
      </c>
      <c r="K143" s="291">
        <f>J143</f>
        <v/>
      </c>
      <c r="L143" s="291" t="n"/>
      <c r="M143" s="291" t="n"/>
      <c r="N143" s="291" t="n"/>
      <c r="O143" s="296" t="n">
        <v>990000</v>
      </c>
      <c r="P143" s="296">
        <f>G143*O143</f>
        <v/>
      </c>
      <c r="Q143" s="296">
        <f>H143*O143</f>
        <v/>
      </c>
      <c r="R143" s="296">
        <f>SUM(P143:Q143)</f>
        <v/>
      </c>
      <c r="S143" s="296">
        <f>R143*$S$9</f>
        <v/>
      </c>
      <c r="T143" s="296">
        <f>SUM(R143:S143)</f>
        <v/>
      </c>
      <c r="U143" s="78" t="inlineStr">
        <is>
          <t>OFTALMO</t>
        </is>
      </c>
      <c r="V143" s="81" t="inlineStr">
        <is>
          <t>ALCON</t>
        </is>
      </c>
      <c r="W143" s="91" t="inlineStr">
        <is>
          <t>NO ADJUDICADO</t>
        </is>
      </c>
      <c r="X143" s="5" t="inlineStr">
        <is>
          <t>PROYECTADO</t>
        </is>
      </c>
    </row>
    <row r="144" ht="28.2" customHeight="1" s="227">
      <c r="A144" s="86" t="n">
        <v>298</v>
      </c>
      <c r="B144" s="68" t="inlineStr">
        <is>
          <t>QUINTANA ROO</t>
        </is>
      </c>
      <c r="C144" s="69" t="inlineStr">
        <is>
          <t>Sistema de digitalización de imágenes, marca Fujifilm, modelo Digitalizador: FCR Capsula XLII (CR-IR 359)</t>
        </is>
      </c>
      <c r="D144" s="68" t="inlineStr">
        <is>
          <t>46770608</t>
        </is>
      </c>
      <c r="E144" s="69" t="inlineStr">
        <is>
          <t>H.M.Z. Chetumal</t>
        </is>
      </c>
      <c r="F144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SUM(I144:K144)</f>
        <v/>
      </c>
      <c r="M144" s="291">
        <f>L144*0.16</f>
        <v/>
      </c>
      <c r="N144" s="291">
        <f>SUM(L144:M144)</f>
        <v/>
      </c>
      <c r="O144" s="296" t="n">
        <v>220000</v>
      </c>
      <c r="P144" s="296">
        <f>G144*O144</f>
        <v/>
      </c>
      <c r="Q144" s="296">
        <f>H144*O144</f>
        <v/>
      </c>
      <c r="R144" s="296">
        <f>SUM(P144:Q144)</f>
        <v/>
      </c>
      <c r="S144" s="296">
        <f>R144*$S$9</f>
        <v/>
      </c>
      <c r="T144" s="296">
        <f>SUM(R144:S144)</f>
        <v/>
      </c>
      <c r="U144" s="78" t="inlineStr">
        <is>
          <t>IMAGEN</t>
        </is>
      </c>
      <c r="V144" s="85" t="n"/>
      <c r="W144" s="83" t="inlineStr">
        <is>
          <t>ADJUDICADO</t>
        </is>
      </c>
      <c r="X144" s="5" t="inlineStr">
        <is>
          <t>PROYECTADO</t>
        </is>
      </c>
    </row>
    <row r="145" ht="28.2" customHeight="1" s="227">
      <c r="A145" s="92" t="n">
        <v>301</v>
      </c>
      <c r="B145" s="68" t="inlineStr">
        <is>
          <t>CDMX</t>
        </is>
      </c>
      <c r="C145" s="69" t="inlineStr">
        <is>
          <t>Rayos X fijo, marca Osko, modelo XR5</t>
        </is>
      </c>
      <c r="D145" s="68" t="inlineStr">
        <is>
          <t>XRC1094990MX</t>
        </is>
      </c>
      <c r="E145" s="69" t="inlineStr">
        <is>
          <t>Subcentro de Evaluación Médica, Campo Militar 1-A</t>
        </is>
      </c>
      <c r="F145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/>
      <c r="J145" s="291">
        <f>I145</f>
        <v/>
      </c>
      <c r="K145" s="291">
        <f>J145</f>
        <v/>
      </c>
      <c r="L145" s="291" t="n"/>
      <c r="M145" s="291" t="n"/>
      <c r="N145" s="291" t="n"/>
      <c r="O145" s="296" t="n">
        <v>220000</v>
      </c>
      <c r="P145" s="296">
        <f>G145*O145</f>
        <v/>
      </c>
      <c r="Q145" s="296">
        <f>H145*O145</f>
        <v/>
      </c>
      <c r="R145" s="296">
        <f>SUM(P145:Q145)</f>
        <v/>
      </c>
      <c r="S145" s="296">
        <f>R145*$S$9</f>
        <v/>
      </c>
      <c r="T145" s="296">
        <f>SUM(R145:S145)</f>
        <v/>
      </c>
      <c r="U145" s="78" t="inlineStr">
        <is>
          <t>IMAGEN</t>
        </is>
      </c>
      <c r="V145" s="85" t="n"/>
      <c r="W145" s="103" t="inlineStr">
        <is>
          <t>ADJUDICADO</t>
        </is>
      </c>
      <c r="X145" s="5" t="inlineStr">
        <is>
          <t>NO PROYECTADO</t>
        </is>
      </c>
    </row>
    <row r="146" ht="28.2" customHeight="1" s="227">
      <c r="A146" s="92" t="n">
        <v>302</v>
      </c>
      <c r="B146" s="68" t="inlineStr">
        <is>
          <t>CDMX</t>
        </is>
      </c>
      <c r="C146" s="69" t="inlineStr">
        <is>
          <t>Rayos X fijo, marca Osko, modelo XR5</t>
        </is>
      </c>
      <c r="D146" s="68" t="inlineStr">
        <is>
          <t>XRC1095095MX</t>
        </is>
      </c>
      <c r="E146" s="69" t="inlineStr">
        <is>
          <t>Subcentro de Evaluación Médica, Campo Militar 1-A</t>
        </is>
      </c>
      <c r="F146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/>
      <c r="J146" s="291">
        <f>I146</f>
        <v/>
      </c>
      <c r="K146" s="291">
        <f>J146</f>
        <v/>
      </c>
      <c r="L146" s="291" t="n"/>
      <c r="M146" s="291" t="n"/>
      <c r="N146" s="291" t="n"/>
      <c r="O146" s="296" t="n">
        <v>220000</v>
      </c>
      <c r="P146" s="296">
        <f>G146*O146</f>
        <v/>
      </c>
      <c r="Q146" s="296">
        <f>H146*O146</f>
        <v/>
      </c>
      <c r="R146" s="296">
        <f>SUM(P146:Q146)</f>
        <v/>
      </c>
      <c r="S146" s="296">
        <f>R146*$S$9</f>
        <v/>
      </c>
      <c r="T146" s="296">
        <f>SUM(R146:S146)</f>
        <v/>
      </c>
      <c r="U146" s="78" t="inlineStr">
        <is>
          <t>IMAGEN</t>
        </is>
      </c>
      <c r="V146" s="85" t="n"/>
      <c r="W146" s="103" t="inlineStr">
        <is>
          <t>ADJUDICADO</t>
        </is>
      </c>
      <c r="X146" s="5" t="inlineStr">
        <is>
          <t>NO PROYECTADO</t>
        </is>
      </c>
    </row>
    <row r="147" ht="28.2" customHeight="1" s="227">
      <c r="A147" s="92" t="n">
        <v>303</v>
      </c>
      <c r="B147" s="68" t="inlineStr">
        <is>
          <t>CDMX</t>
        </is>
      </c>
      <c r="C147" s="69" t="inlineStr">
        <is>
          <t>Rayos X fijo, marca Osko, modelo XR5</t>
        </is>
      </c>
      <c r="D147" s="68" t="inlineStr">
        <is>
          <t>XRC1094988MX</t>
        </is>
      </c>
      <c r="E147" s="69" t="inlineStr">
        <is>
          <t>Subcentro de Evaluación Médica, Campo Militar 1-A</t>
        </is>
      </c>
      <c r="F147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/>
      <c r="J147" s="291">
        <f>I147</f>
        <v/>
      </c>
      <c r="K147" s="291">
        <f>J147</f>
        <v/>
      </c>
      <c r="L147" s="291" t="n"/>
      <c r="M147" s="291" t="n"/>
      <c r="N147" s="291" t="n"/>
      <c r="O147" s="296" t="n">
        <v>220000</v>
      </c>
      <c r="P147" s="296">
        <f>G147*O147</f>
        <v/>
      </c>
      <c r="Q147" s="296">
        <f>H147*O147</f>
        <v/>
      </c>
      <c r="R147" s="296">
        <f>SUM(P147:Q147)</f>
        <v/>
      </c>
      <c r="S147" s="296">
        <f>R147*$S$9</f>
        <v/>
      </c>
      <c r="T147" s="296">
        <f>SUM(R147:S147)</f>
        <v/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28.2" customHeight="1" s="227">
      <c r="A148" s="86" t="n">
        <v>304</v>
      </c>
      <c r="B148" s="68" t="inlineStr">
        <is>
          <t>CDMX</t>
        </is>
      </c>
      <c r="C148" s="69" t="inlineStr">
        <is>
          <t>Impresora para placas radiográficas, marca Fujifilm, modelo Drypix 8000</t>
        </is>
      </c>
      <c r="D148" s="68" t="inlineStr">
        <is>
          <t>17130510</t>
        </is>
      </c>
      <c r="E148" s="69" t="inlineStr">
        <is>
          <t>Subcentro de Evaluación Médica, Campo Militar 1-A</t>
        </is>
      </c>
      <c r="F148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100000</v>
      </c>
      <c r="J148" s="291">
        <f>I148</f>
        <v/>
      </c>
      <c r="K148" s="291">
        <f>J148</f>
        <v/>
      </c>
      <c r="L148" s="291">
        <f>SUM(I148:K148)</f>
        <v/>
      </c>
      <c r="M148" s="291">
        <f>L148*0.16</f>
        <v/>
      </c>
      <c r="N148" s="291">
        <f>SUM(L148:M148)</f>
        <v/>
      </c>
      <c r="O148" s="296" t="n">
        <v>220000</v>
      </c>
      <c r="P148" s="296">
        <f>G148*O148</f>
        <v/>
      </c>
      <c r="Q148" s="296">
        <f>H148*O148</f>
        <v/>
      </c>
      <c r="R148" s="296">
        <f>SUM(P148:Q148)</f>
        <v/>
      </c>
      <c r="S148" s="296">
        <f>R148*$S$9</f>
        <v/>
      </c>
      <c r="T148" s="296">
        <f>SUM(R148:S148)</f>
        <v/>
      </c>
      <c r="U148" s="78" t="inlineStr">
        <is>
          <t>IMAGEN</t>
        </is>
      </c>
      <c r="V148" s="85" t="n"/>
      <c r="W148" s="83" t="inlineStr">
        <is>
          <t>ADJUDICADO</t>
        </is>
      </c>
      <c r="X148" s="5" t="inlineStr">
        <is>
          <t>PROYECTADO</t>
        </is>
      </c>
    </row>
    <row r="149" ht="28.2" customHeight="1" s="227">
      <c r="A149" s="86" t="n">
        <v>305</v>
      </c>
      <c r="B149" s="68" t="inlineStr">
        <is>
          <t>CDMX</t>
        </is>
      </c>
      <c r="C149" s="69" t="inlineStr">
        <is>
          <t>Impresora para placas radiográficas, marca Fujifilm, modelo Drypix 8000</t>
        </is>
      </c>
      <c r="D149" s="68" t="inlineStr">
        <is>
          <t>17130513</t>
        </is>
      </c>
      <c r="E149" s="69" t="inlineStr">
        <is>
          <t>Subcentro de Evaluación Médica, Campo Militar 1-A</t>
        </is>
      </c>
      <c r="F149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100000</v>
      </c>
      <c r="J149" s="291">
        <f>I149</f>
        <v/>
      </c>
      <c r="K149" s="291">
        <f>J149</f>
        <v/>
      </c>
      <c r="L149" s="291">
        <f>SUM(I149:K149)</f>
        <v/>
      </c>
      <c r="M149" s="291">
        <f>L149*0.16</f>
        <v/>
      </c>
      <c r="N149" s="291">
        <f>SUM(L149:M149)</f>
        <v/>
      </c>
      <c r="O149" s="296" t="n">
        <v>220000</v>
      </c>
      <c r="P149" s="296">
        <f>G149*O149</f>
        <v/>
      </c>
      <c r="Q149" s="296">
        <f>H149*O149</f>
        <v/>
      </c>
      <c r="R149" s="296">
        <f>SUM(P149:Q149)</f>
        <v/>
      </c>
      <c r="S149" s="296">
        <f>R149*$S$9</f>
        <v/>
      </c>
      <c r="T149" s="296">
        <f>SUM(R149:S149)</f>
        <v/>
      </c>
      <c r="U149" s="78" t="inlineStr">
        <is>
          <t>IMAGEN</t>
        </is>
      </c>
      <c r="V149" s="85" t="n"/>
      <c r="W149" s="83" t="inlineStr">
        <is>
          <t>ADJUDICADO</t>
        </is>
      </c>
      <c r="X149" s="5" t="inlineStr">
        <is>
          <t>PROYECTADO</t>
        </is>
      </c>
    </row>
    <row r="150" ht="28.2" customHeight="1" s="227">
      <c r="A150" s="86" t="n">
        <v>306</v>
      </c>
      <c r="B150" s="68" t="inlineStr">
        <is>
          <t>CDMX</t>
        </is>
      </c>
      <c r="C150" s="69" t="inlineStr">
        <is>
          <t>Impresora para placas radiográficas, marca Fujifilm, modelo Drypix 8000</t>
        </is>
      </c>
      <c r="D150" s="68" t="inlineStr">
        <is>
          <t>17130554</t>
        </is>
      </c>
      <c r="E150" s="69" t="inlineStr">
        <is>
          <t>Subcentro de Evaluación Médica, Campo Militar 1-A</t>
        </is>
      </c>
      <c r="F150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100000</v>
      </c>
      <c r="J150" s="291">
        <f>I150</f>
        <v/>
      </c>
      <c r="K150" s="291">
        <f>J150</f>
        <v/>
      </c>
      <c r="L150" s="291">
        <f>SUM(I150:K150)</f>
        <v/>
      </c>
      <c r="M150" s="291">
        <f>L150*0.16</f>
        <v/>
      </c>
      <c r="N150" s="291">
        <f>SUM(L150:M150)</f>
        <v/>
      </c>
      <c r="O150" s="296" t="n">
        <v>220000</v>
      </c>
      <c r="P150" s="296">
        <f>G150*O150</f>
        <v/>
      </c>
      <c r="Q150" s="296">
        <f>H150*O150</f>
        <v/>
      </c>
      <c r="R150" s="296">
        <f>SUM(P150:Q150)</f>
        <v/>
      </c>
      <c r="S150" s="296">
        <f>R150*$S$9</f>
        <v/>
      </c>
      <c r="T150" s="296">
        <f>SUM(R150:S150)</f>
        <v/>
      </c>
      <c r="U150" s="78" t="inlineStr">
        <is>
          <t>IMAGEN</t>
        </is>
      </c>
      <c r="V150" s="85" t="n"/>
      <c r="W150" s="83" t="inlineStr">
        <is>
          <t>ADJUDICADO</t>
        </is>
      </c>
      <c r="X150" s="5" t="inlineStr">
        <is>
          <t>PROYECTADO</t>
        </is>
      </c>
    </row>
    <row r="151" ht="28.2" customHeight="1" s="227">
      <c r="A151" s="86" t="n">
        <v>307</v>
      </c>
      <c r="B151" s="68" t="inlineStr">
        <is>
          <t>CDMX</t>
        </is>
      </c>
      <c r="C151" s="69" t="inlineStr">
        <is>
          <t>Cámara de Scheimpflug, marca Oculus, modelo Pentacam HR</t>
        </is>
      </c>
      <c r="D151" s="68" t="inlineStr">
        <is>
          <t>70900 2455 1210</t>
        </is>
      </c>
      <c r="E151" s="69" t="inlineStr">
        <is>
          <t>Subcentro de Evaluación Médica, Campo Militar 1-A</t>
        </is>
      </c>
      <c r="F151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79" t="n">
        <v>2</v>
      </c>
      <c r="I151" s="291" t="n">
        <v>50000</v>
      </c>
      <c r="J151" s="291">
        <f>I151</f>
        <v/>
      </c>
      <c r="K151" s="291">
        <f>J151</f>
        <v/>
      </c>
      <c r="L151" s="291">
        <f>SUM(I151:K151)</f>
        <v/>
      </c>
      <c r="M151" s="291">
        <f>L151*0.16</f>
        <v/>
      </c>
      <c r="N151" s="291">
        <f>SUM(L151:M151)</f>
        <v/>
      </c>
      <c r="O151" s="296" t="n">
        <v>150000</v>
      </c>
      <c r="P151" s="296">
        <f>G151*O151</f>
        <v/>
      </c>
      <c r="Q151" s="296">
        <f>H151*O151</f>
        <v/>
      </c>
      <c r="R151" s="296">
        <f>SUM(P151:Q151)</f>
        <v/>
      </c>
      <c r="S151" s="296">
        <f>R151*$S$9</f>
        <v/>
      </c>
      <c r="T151" s="296">
        <f>SUM(R151:S151)</f>
        <v/>
      </c>
      <c r="U151" s="78" t="inlineStr">
        <is>
          <t>OFTALMO</t>
        </is>
      </c>
      <c r="V151" s="81" t="inlineStr">
        <is>
          <t>CYAN</t>
        </is>
      </c>
      <c r="W151" s="83" t="inlineStr">
        <is>
          <t>ADJUDICADO</t>
        </is>
      </c>
      <c r="X151" s="5" t="inlineStr">
        <is>
          <t>PROYECTADO</t>
        </is>
      </c>
    </row>
    <row r="152" ht="28.2" customHeight="1" s="227">
      <c r="A152" s="92" t="n">
        <v>309</v>
      </c>
      <c r="B152" s="68" t="inlineStr">
        <is>
          <t>BAJA CALIFORNIA</t>
        </is>
      </c>
      <c r="C152" s="69" t="inlineStr">
        <is>
          <t>Equipo de rayos X móvil, marca Technix, modelo TMS 320</t>
        </is>
      </c>
      <c r="D152" s="68" t="inlineStr">
        <is>
          <t>80-16-82-153</t>
        </is>
      </c>
      <c r="E152" s="69" t="inlineStr">
        <is>
          <t>H.M.R. La Paz</t>
        </is>
      </c>
      <c r="F152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79" t="n">
        <v>2</v>
      </c>
      <c r="I152" s="291" t="n"/>
      <c r="J152" s="291">
        <f>I152</f>
        <v/>
      </c>
      <c r="K152" s="291">
        <f>J152</f>
        <v/>
      </c>
      <c r="L152" s="291" t="n"/>
      <c r="M152" s="291" t="n"/>
      <c r="N152" s="291" t="n"/>
      <c r="O152" s="296" t="n">
        <v>300000</v>
      </c>
      <c r="P152" s="296">
        <f>G152*O152</f>
        <v/>
      </c>
      <c r="Q152" s="296">
        <f>H152*O152</f>
        <v/>
      </c>
      <c r="R152" s="296">
        <f>SUM(P152:Q152)</f>
        <v/>
      </c>
      <c r="S152" s="296">
        <f>R152*$S$9</f>
        <v/>
      </c>
      <c r="T152" s="296">
        <f>SUM(R152:S152)</f>
        <v/>
      </c>
      <c r="U152" s="78" t="inlineStr">
        <is>
          <t>IMAGEN</t>
        </is>
      </c>
      <c r="V152" s="85" t="n"/>
      <c r="W152" s="103" t="inlineStr">
        <is>
          <t>ADJUDICADO</t>
        </is>
      </c>
      <c r="X152" s="5" t="inlineStr">
        <is>
          <t>NO PROYECTADO</t>
        </is>
      </c>
      <c r="Y152" s="5" t="inlineStr">
        <is>
          <t>SOBREPRECIO ADJUDICADO</t>
        </is>
      </c>
    </row>
    <row r="153" ht="28.2" customHeight="1" s="227">
      <c r="A153" s="86" t="n">
        <v>310</v>
      </c>
      <c r="B153" s="68" t="inlineStr">
        <is>
          <t>BAJA CALIFORNIA</t>
        </is>
      </c>
      <c r="C153" s="69" t="inlineStr">
        <is>
          <t>Fotocoagulador láser , marca Quantel Medical, modelo Supra Scan</t>
        </is>
      </c>
      <c r="D153" s="68" t="inlineStr">
        <is>
          <t>454</t>
        </is>
      </c>
      <c r="E153" s="69" t="inlineStr">
        <is>
          <t>H.M.R. La Paz</t>
        </is>
      </c>
      <c r="F153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79" t="n">
        <v>2</v>
      </c>
      <c r="I153" s="291" t="n">
        <v>55000</v>
      </c>
      <c r="J153" s="291">
        <f>I153</f>
        <v/>
      </c>
      <c r="K153" s="291">
        <f>J153</f>
        <v/>
      </c>
      <c r="L153" s="291">
        <f>SUM(I153:K153)</f>
        <v/>
      </c>
      <c r="M153" s="291">
        <f>L153*0.16</f>
        <v/>
      </c>
      <c r="N153" s="291">
        <f>SUM(L153:M153)</f>
        <v/>
      </c>
      <c r="O153" s="296" t="n">
        <v>180000</v>
      </c>
      <c r="P153" s="296">
        <f>G153*O153</f>
        <v/>
      </c>
      <c r="Q153" s="296">
        <f>H153*O153</f>
        <v/>
      </c>
      <c r="R153" s="296">
        <f>SUM(P153:Q153)</f>
        <v/>
      </c>
      <c r="S153" s="296">
        <f>R153*$S$9</f>
        <v/>
      </c>
      <c r="T153" s="296">
        <f>SUM(R153:S153)</f>
        <v/>
      </c>
      <c r="U153" s="78" t="inlineStr">
        <is>
          <t>OFTALMO</t>
        </is>
      </c>
      <c r="V153" s="81" t="inlineStr">
        <is>
          <t>ARFAMEX</t>
        </is>
      </c>
      <c r="W153" s="83" t="inlineStr">
        <is>
          <t>ADJUDICADO</t>
        </is>
      </c>
      <c r="X153" s="5" t="inlineStr">
        <is>
          <t>PROYECTADO</t>
        </is>
      </c>
    </row>
    <row r="154" ht="28.2" customHeight="1" s="227">
      <c r="A154" s="92" t="n">
        <v>313</v>
      </c>
      <c r="B154" s="68" t="inlineStr">
        <is>
          <t>SINALOA</t>
        </is>
      </c>
      <c r="C154" s="69" t="inlineStr">
        <is>
          <t>Rayos X móvil, marca Villa Sistemi Medicali, modelo Visitor T30 M-DR</t>
        </is>
      </c>
      <c r="D154" s="68" t="inlineStr">
        <is>
          <t>14-11-1038</t>
        </is>
      </c>
      <c r="E154" s="69" t="inlineStr">
        <is>
          <t>H.M.R.E. Mazatlán</t>
        </is>
      </c>
      <c r="F154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79" t="n">
        <v>2</v>
      </c>
      <c r="I154" s="291" t="n"/>
      <c r="J154" s="291">
        <f>I154</f>
        <v/>
      </c>
      <c r="K154" s="291">
        <f>J154</f>
        <v/>
      </c>
      <c r="L154" s="291" t="n"/>
      <c r="M154" s="291" t="n"/>
      <c r="N154" s="291" t="n"/>
      <c r="O154" s="296" t="n">
        <v>300000</v>
      </c>
      <c r="P154" s="296">
        <f>G154*O154</f>
        <v/>
      </c>
      <c r="Q154" s="296">
        <f>H154*O154</f>
        <v/>
      </c>
      <c r="R154" s="296">
        <f>SUM(P154:Q154)</f>
        <v/>
      </c>
      <c r="S154" s="296">
        <f>R154*$S$9</f>
        <v/>
      </c>
      <c r="T154" s="296">
        <f>SUM(R154:S154)</f>
        <v/>
      </c>
      <c r="U154" s="78" t="inlineStr">
        <is>
          <t>IMAGEN</t>
        </is>
      </c>
      <c r="V154" s="85" t="n"/>
      <c r="W154" s="103" t="inlineStr">
        <is>
          <t>ADJUDICADO</t>
        </is>
      </c>
      <c r="X154" s="5" t="inlineStr">
        <is>
          <t>NO PROYECTADO</t>
        </is>
      </c>
      <c r="Y154" s="5" t="inlineStr">
        <is>
          <t>SOBREPRECIO ADJUDICADO</t>
        </is>
      </c>
    </row>
    <row r="155" ht="28.2" customHeight="1" s="227">
      <c r="A155" s="92" t="n">
        <v>314</v>
      </c>
      <c r="B155" s="68" t="inlineStr">
        <is>
          <t>PUEBLA</t>
        </is>
      </c>
      <c r="C155" s="69" t="inlineStr">
        <is>
          <t>Equipo de rayos X móvil, marca Technix, modelo TMS 320</t>
        </is>
      </c>
      <c r="D155" s="68" t="inlineStr">
        <is>
          <t>80-16-101-172</t>
        </is>
      </c>
      <c r="E155" s="69" t="inlineStr">
        <is>
          <t>H.M.R. Puebla</t>
        </is>
      </c>
      <c r="F155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79" t="n">
        <v>2</v>
      </c>
      <c r="I155" s="291" t="n"/>
      <c r="J155" s="291">
        <f>I155</f>
        <v/>
      </c>
      <c r="K155" s="291">
        <f>J155</f>
        <v/>
      </c>
      <c r="L155" s="291" t="n"/>
      <c r="M155" s="291" t="n"/>
      <c r="N155" s="291" t="n"/>
      <c r="O155" s="296" t="n">
        <v>220000</v>
      </c>
      <c r="P155" s="296">
        <f>G155*O155</f>
        <v/>
      </c>
      <c r="Q155" s="296">
        <f>H155*O155</f>
        <v/>
      </c>
      <c r="R155" s="296">
        <f>SUM(P155:Q155)</f>
        <v/>
      </c>
      <c r="S155" s="296">
        <f>R155*$S$9</f>
        <v/>
      </c>
      <c r="T155" s="296">
        <f>SUM(R155:S155)</f>
        <v/>
      </c>
      <c r="U155" s="78" t="inlineStr">
        <is>
          <t>IMAGEN</t>
        </is>
      </c>
      <c r="V155" s="85" t="n"/>
      <c r="W155" s="103" t="inlineStr">
        <is>
          <t>ADJUDICADO</t>
        </is>
      </c>
      <c r="X155" s="5" t="inlineStr">
        <is>
          <t>NO PROYECTADO</t>
        </is>
      </c>
    </row>
    <row r="156" ht="28.2" customHeight="1" s="227">
      <c r="A156" s="92" t="n">
        <v>316</v>
      </c>
      <c r="B156" s="68" t="inlineStr">
        <is>
          <t>PUEBLA</t>
        </is>
      </c>
      <c r="C156" s="69" t="inlineStr">
        <is>
          <t>Equipo de rayos X móvil, marca Mindray, modelo MobiEye 700</t>
        </is>
      </c>
      <c r="D156" s="68" t="inlineStr">
        <is>
          <t>C8-05002378T</t>
        </is>
      </c>
      <c r="E156" s="69" t="inlineStr">
        <is>
          <t>H.M.R. Puebla</t>
        </is>
      </c>
      <c r="F156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79" t="n">
        <v>2</v>
      </c>
      <c r="I156" s="291" t="n"/>
      <c r="J156" s="291">
        <f>I156</f>
        <v/>
      </c>
      <c r="K156" s="291">
        <f>J156</f>
        <v/>
      </c>
      <c r="L156" s="291" t="n"/>
      <c r="M156" s="291" t="n"/>
      <c r="N156" s="291" t="n"/>
      <c r="O156" s="296" t="n">
        <v>220000</v>
      </c>
      <c r="P156" s="296">
        <f>G156*O156</f>
        <v/>
      </c>
      <c r="Q156" s="296">
        <f>H156*O156</f>
        <v/>
      </c>
      <c r="R156" s="296">
        <f>SUM(P156:Q156)</f>
        <v/>
      </c>
      <c r="S156" s="296">
        <f>R156*$S$9</f>
        <v/>
      </c>
      <c r="T156" s="296">
        <f>SUM(R156:S156)</f>
        <v/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t="28.2" customHeight="1" s="227">
      <c r="A157" s="86" t="n">
        <v>319</v>
      </c>
      <c r="B157" s="68" t="inlineStr">
        <is>
          <t>CDMX</t>
        </is>
      </c>
      <c r="C157" s="69" t="inlineStr">
        <is>
          <t>Arco en C, marca Ziehm Imaging, modelo Vision R</t>
        </is>
      </c>
      <c r="D157" s="68" t="inlineStr">
        <is>
          <t>10705</t>
        </is>
      </c>
      <c r="E157" s="69" t="inlineStr">
        <is>
          <t>H.M.Z. Campo Militar No. 1-A</t>
        </is>
      </c>
      <c r="F157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57" s="79" t="n">
        <v>1</v>
      </c>
      <c r="H157" s="79" t="n">
        <v>2</v>
      </c>
      <c r="I157" s="291" t="n">
        <v>100000</v>
      </c>
      <c r="J157" s="291">
        <f>I157</f>
        <v/>
      </c>
      <c r="K157" s="291">
        <f>J157</f>
        <v/>
      </c>
      <c r="L157" s="291">
        <f>SUM(I157:K157)</f>
        <v/>
      </c>
      <c r="M157" s="291">
        <f>L157*0.16</f>
        <v/>
      </c>
      <c r="N157" s="291">
        <f>SUM(L157:M157)</f>
        <v/>
      </c>
      <c r="O157" s="296" t="n">
        <v>220000</v>
      </c>
      <c r="P157" s="296">
        <f>G157*O157</f>
        <v/>
      </c>
      <c r="Q157" s="296">
        <f>H157*O157</f>
        <v/>
      </c>
      <c r="R157" s="296">
        <f>SUM(P157:Q157)</f>
        <v/>
      </c>
      <c r="S157" s="296">
        <f>R157*$S$9</f>
        <v/>
      </c>
      <c r="T157" s="296">
        <f>SUM(R157:S157)</f>
        <v/>
      </c>
      <c r="U157" s="78" t="inlineStr">
        <is>
          <t>IMAGEN</t>
        </is>
      </c>
      <c r="V157" s="85" t="n"/>
      <c r="W157" s="83" t="inlineStr">
        <is>
          <t>ADJUDICADO</t>
        </is>
      </c>
      <c r="X157" s="5" t="inlineStr">
        <is>
          <t>PROYECTADO</t>
        </is>
      </c>
    </row>
    <row r="158" ht="28.2" customHeight="1" s="227">
      <c r="A158" s="86" t="n">
        <v>321</v>
      </c>
      <c r="B158" s="68" t="inlineStr">
        <is>
          <t>JALISCO</t>
        </is>
      </c>
      <c r="C158" s="69" t="inlineStr">
        <is>
          <t>Microscopio quirúrgico oftalmológico, marca Leica, modelo M822 F40</t>
        </is>
      </c>
      <c r="D158" s="68" t="inlineStr">
        <is>
          <t>160219002</t>
        </is>
      </c>
      <c r="E158" s="69" t="inlineStr">
        <is>
          <t>H.M.Z. Zapopan</t>
        </is>
      </c>
      <c r="F158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58" s="79" t="n">
        <v>1</v>
      </c>
      <c r="H158" s="79" t="n">
        <v>2</v>
      </c>
      <c r="I158" s="291" t="n">
        <v>250000</v>
      </c>
      <c r="J158" s="291">
        <f>I158</f>
        <v/>
      </c>
      <c r="K158" s="291">
        <f>J158</f>
        <v/>
      </c>
      <c r="L158" s="291">
        <f>SUM(I158:K158)</f>
        <v/>
      </c>
      <c r="M158" s="291">
        <f>L158*0.16</f>
        <v/>
      </c>
      <c r="N158" s="291">
        <f>SUM(L158:M158)</f>
        <v/>
      </c>
      <c r="O158" s="296" t="n">
        <v>160000</v>
      </c>
      <c r="P158" s="296">
        <f>G158*O158</f>
        <v/>
      </c>
      <c r="Q158" s="296">
        <f>H158*O158</f>
        <v/>
      </c>
      <c r="R158" s="296">
        <f>SUM(P158:Q158)</f>
        <v/>
      </c>
      <c r="S158" s="296">
        <f>R158*$S$9</f>
        <v/>
      </c>
      <c r="T158" s="296">
        <f>SUM(R158:S158)</f>
        <v/>
      </c>
      <c r="U158" s="78" t="inlineStr">
        <is>
          <t>OFTALMO</t>
        </is>
      </c>
      <c r="V158" s="81" t="inlineStr">
        <is>
          <t>COINDISA</t>
        </is>
      </c>
      <c r="W158" s="83" t="inlineStr">
        <is>
          <t>ADJUDICADO</t>
        </is>
      </c>
      <c r="X158" s="5" t="inlineStr">
        <is>
          <t>PROYECTADO</t>
        </is>
      </c>
    </row>
    <row r="159" ht="28.2" customHeight="1" s="227">
      <c r="A159" s="92" t="n">
        <v>335</v>
      </c>
      <c r="B159" s="68" t="inlineStr">
        <is>
          <t>CDMX</t>
        </is>
      </c>
      <c r="C159" s="69" t="inlineStr">
        <is>
          <t>Rayos X móvil, marca Philips, modelo MobileDiagnost wDR Release 2</t>
        </is>
      </c>
      <c r="D159" s="68" t="inlineStr">
        <is>
          <t>15100252</t>
        </is>
      </c>
      <c r="E159" s="69" t="inlineStr">
        <is>
          <t>H.M.E.M. Y N. Lomas de Sotelo</t>
        </is>
      </c>
      <c r="F159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9" s="79" t="n">
        <v>1</v>
      </c>
      <c r="H159" s="79" t="n">
        <v>2</v>
      </c>
      <c r="I159" s="291" t="n"/>
      <c r="J159" s="291">
        <f>I159</f>
        <v/>
      </c>
      <c r="K159" s="291">
        <f>J159</f>
        <v/>
      </c>
      <c r="L159" s="291" t="n"/>
      <c r="M159" s="291" t="n"/>
      <c r="N159" s="291" t="n"/>
      <c r="O159" s="296" t="n">
        <v>220000</v>
      </c>
      <c r="P159" s="296">
        <f>G159*O159</f>
        <v/>
      </c>
      <c r="Q159" s="296">
        <f>H159*O159</f>
        <v/>
      </c>
      <c r="R159" s="296">
        <f>SUM(P159:Q159)</f>
        <v/>
      </c>
      <c r="S159" s="296">
        <f>R159*$S$9</f>
        <v/>
      </c>
      <c r="T159" s="296">
        <f>SUM(R159:S159)</f>
        <v/>
      </c>
      <c r="U159" s="78" t="inlineStr">
        <is>
          <t>IMAGEN</t>
        </is>
      </c>
      <c r="V159" s="85" t="n"/>
      <c r="W159" s="103" t="inlineStr">
        <is>
          <t>ADJUDICADO</t>
        </is>
      </c>
      <c r="X159" s="5" t="inlineStr">
        <is>
          <t>NO PROYECTADO</t>
        </is>
      </c>
    </row>
    <row r="160" ht="28.2" customHeight="1" s="227">
      <c r="A160" s="92" t="n">
        <v>336</v>
      </c>
      <c r="B160" s="68" t="inlineStr">
        <is>
          <t>NUEVO LEON</t>
        </is>
      </c>
      <c r="C160" s="69" t="inlineStr">
        <is>
          <t>Rayos X móvil, marca Philips, modelo MobileDiagnost wDR Release 2</t>
        </is>
      </c>
      <c r="D160" s="68" t="inlineStr">
        <is>
          <t>16200158</t>
        </is>
      </c>
      <c r="E160" s="69" t="inlineStr">
        <is>
          <t>H.M.R.E. Monterrey</t>
        </is>
      </c>
      <c r="F160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0" s="79" t="n">
        <v>1</v>
      </c>
      <c r="H160" s="79" t="n">
        <v>2</v>
      </c>
      <c r="I160" s="291" t="n"/>
      <c r="J160" s="291">
        <f>I160</f>
        <v/>
      </c>
      <c r="K160" s="291">
        <f>J160</f>
        <v/>
      </c>
      <c r="L160" s="291" t="n"/>
      <c r="M160" s="291" t="n"/>
      <c r="N160" s="291" t="n"/>
      <c r="O160" s="296" t="n">
        <v>300000</v>
      </c>
      <c r="P160" s="296">
        <f>G160*O160</f>
        <v/>
      </c>
      <c r="Q160" s="296">
        <f>H160*O160</f>
        <v/>
      </c>
      <c r="R160" s="296">
        <f>SUM(P160:Q160)</f>
        <v/>
      </c>
      <c r="S160" s="296">
        <f>R160*$S$9</f>
        <v/>
      </c>
      <c r="T160" s="296">
        <f>SUM(R160:S160)</f>
        <v/>
      </c>
      <c r="U160" s="78" t="inlineStr">
        <is>
          <t>IMAGEN</t>
        </is>
      </c>
      <c r="V160" s="85" t="n"/>
      <c r="W160" s="103" t="inlineStr">
        <is>
          <t>ADJUDICADO</t>
        </is>
      </c>
      <c r="X160" s="5" t="inlineStr">
        <is>
          <t>NO PROYECTADO</t>
        </is>
      </c>
    </row>
    <row r="161" ht="28.2" customHeight="1" s="227">
      <c r="A161" s="86" t="n">
        <v>338</v>
      </c>
      <c r="B161" s="68" t="inlineStr">
        <is>
          <t>CDMX</t>
        </is>
      </c>
      <c r="C161" s="69" t="inlineStr">
        <is>
          <t>Láser de femtosegundo, marca Alcon, modelo LenSx</t>
        </is>
      </c>
      <c r="D161" s="68" t="inlineStr">
        <is>
          <t>2102004501X</t>
        </is>
      </c>
      <c r="E161" s="69" t="inlineStr">
        <is>
          <t>H.M.E.O. Constituyentes</t>
        </is>
      </c>
      <c r="F161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1" s="79" t="n">
        <v>1</v>
      </c>
      <c r="H161" s="79" t="n">
        <v>2</v>
      </c>
      <c r="I161" s="291" t="n">
        <v>280000</v>
      </c>
      <c r="J161" s="291">
        <f>I161</f>
        <v/>
      </c>
      <c r="K161" s="291">
        <f>J161</f>
        <v/>
      </c>
      <c r="L161" s="291">
        <f>SUM(I161:K161)</f>
        <v/>
      </c>
      <c r="M161" s="291">
        <f>L161*0.16</f>
        <v/>
      </c>
      <c r="N161" s="291">
        <f>SUM(L161:M161)</f>
        <v/>
      </c>
      <c r="O161" s="296" t="n">
        <v>390000</v>
      </c>
      <c r="P161" s="296">
        <f>G161*O161</f>
        <v/>
      </c>
      <c r="Q161" s="296">
        <f>H161*O161</f>
        <v/>
      </c>
      <c r="R161" s="296">
        <f>SUM(P161:Q161)</f>
        <v/>
      </c>
      <c r="S161" s="296">
        <f>R161*$S$9</f>
        <v/>
      </c>
      <c r="T161" s="296">
        <f>SUM(R161:S161)</f>
        <v/>
      </c>
      <c r="U161" s="78" t="inlineStr">
        <is>
          <t>OFTALMO</t>
        </is>
      </c>
      <c r="V161" s="81" t="inlineStr">
        <is>
          <t>ALCON</t>
        </is>
      </c>
      <c r="W161" s="83" t="inlineStr">
        <is>
          <t>ADJUDICADO</t>
        </is>
      </c>
      <c r="X161" s="5" t="inlineStr">
        <is>
          <t>PROYECTADO</t>
        </is>
      </c>
    </row>
    <row r="162" ht="28.2" customHeight="1" s="227">
      <c r="A162" s="86" t="n">
        <v>351</v>
      </c>
      <c r="B162" s="68" t="inlineStr">
        <is>
          <t>CDMX</t>
        </is>
      </c>
      <c r="C162" s="69" t="inlineStr">
        <is>
          <t>Sistema de diagnóstico oftálmico avanzado, marca Nidek, modelo OPD-Scan III</t>
        </is>
      </c>
      <c r="D162" s="68" t="inlineStr">
        <is>
          <t>470023</t>
        </is>
      </c>
      <c r="E162" s="69" t="inlineStr">
        <is>
          <t>H.M.E.O. Constituyentes</t>
        </is>
      </c>
      <c r="F162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2" s="79" t="n">
        <v>1</v>
      </c>
      <c r="H162" s="79" t="n">
        <v>2</v>
      </c>
      <c r="I162" s="291" t="n">
        <v>40000</v>
      </c>
      <c r="J162" s="291">
        <f>I162</f>
        <v/>
      </c>
      <c r="K162" s="291">
        <f>J162</f>
        <v/>
      </c>
      <c r="L162" s="291">
        <f>SUM(I162:K162)</f>
        <v/>
      </c>
      <c r="M162" s="291">
        <f>L162*0.16</f>
        <v/>
      </c>
      <c r="N162" s="291">
        <f>SUM(L162:M162)</f>
        <v/>
      </c>
      <c r="O162" s="296" t="n">
        <v>150000</v>
      </c>
      <c r="P162" s="296">
        <f>G162*O162</f>
        <v/>
      </c>
      <c r="Q162" s="296">
        <f>H162*O162</f>
        <v/>
      </c>
      <c r="R162" s="296">
        <f>SUM(P162:Q162)</f>
        <v/>
      </c>
      <c r="S162" s="296">
        <f>R162*$S$9</f>
        <v/>
      </c>
      <c r="T162" s="296">
        <f>SUM(R162:S162)</f>
        <v/>
      </c>
      <c r="U162" s="78" t="inlineStr">
        <is>
          <t>OFTALMO</t>
        </is>
      </c>
      <c r="V162" s="81" t="inlineStr">
        <is>
          <t>S4</t>
        </is>
      </c>
      <c r="W162" s="83" t="inlineStr">
        <is>
          <t>ADJUDICADO</t>
        </is>
      </c>
      <c r="X162" s="5" t="inlineStr">
        <is>
          <t>PROYECTADO</t>
        </is>
      </c>
    </row>
    <row r="163" ht="28.2" customHeight="1" s="227">
      <c r="A163" s="92" t="n">
        <v>353</v>
      </c>
      <c r="B163" s="68" t="inlineStr">
        <is>
          <t>CDMX</t>
        </is>
      </c>
      <c r="C163" s="69" t="inlineStr">
        <is>
          <t>Rayos X portátil, marca Carestream, modelo DRX Revolution</t>
        </is>
      </c>
      <c r="D163" s="68" t="inlineStr">
        <is>
          <t>21F0363</t>
        </is>
      </c>
      <c r="E163" s="69" t="inlineStr">
        <is>
          <t>U.M.C.E. Tlalpan</t>
        </is>
      </c>
      <c r="F163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3" s="79" t="n">
        <v>1</v>
      </c>
      <c r="H163" s="81" t="n">
        <v>2</v>
      </c>
      <c r="I163" s="291" t="n"/>
      <c r="J163" s="291">
        <f>I163</f>
        <v/>
      </c>
      <c r="K163" s="291">
        <f>J163</f>
        <v/>
      </c>
      <c r="L163" s="291" t="n"/>
      <c r="M163" s="291" t="n"/>
      <c r="N163" s="291" t="n"/>
      <c r="O163" s="296" t="n">
        <v>250000</v>
      </c>
      <c r="P163" s="296">
        <f>G163*O163</f>
        <v/>
      </c>
      <c r="Q163" s="296">
        <f>H163*O163</f>
        <v/>
      </c>
      <c r="R163" s="296">
        <f>SUM(P163:Q163)</f>
        <v/>
      </c>
      <c r="S163" s="296">
        <f>R163*$S$9</f>
        <v/>
      </c>
      <c r="T163" s="296">
        <f>SUM(R163:S163)</f>
        <v/>
      </c>
      <c r="U163" s="78" t="inlineStr">
        <is>
          <t>IMAGEN</t>
        </is>
      </c>
      <c r="V163" s="85" t="n"/>
      <c r="W163" s="103" t="inlineStr">
        <is>
          <t>ADJUDICADO</t>
        </is>
      </c>
      <c r="X163" s="5" t="inlineStr">
        <is>
          <t>NO PROYECTADO</t>
        </is>
      </c>
    </row>
    <row r="164" ht="28.2" customHeight="1" s="227">
      <c r="A164" s="92" t="n">
        <v>354</v>
      </c>
      <c r="B164" s="68" t="inlineStr">
        <is>
          <t>TAMAULIPAS</t>
        </is>
      </c>
      <c r="C164" s="69" t="inlineStr">
        <is>
          <t>Rayos X portátil, marca Carestream, modelo DRX Revolution</t>
        </is>
      </c>
      <c r="D164" s="68" t="inlineStr">
        <is>
          <t>MM00296</t>
        </is>
      </c>
      <c r="E164" s="69" t="inlineStr">
        <is>
          <t>U.M.C.E. Reynosa</t>
        </is>
      </c>
      <c r="F164" s="95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64" s="79" t="n">
        <v>1</v>
      </c>
      <c r="H164" s="81" t="n">
        <v>2</v>
      </c>
      <c r="I164" s="291" t="n"/>
      <c r="J164" s="291">
        <f>I164</f>
        <v/>
      </c>
      <c r="K164" s="291">
        <f>J164</f>
        <v/>
      </c>
      <c r="L164" s="291" t="n"/>
      <c r="M164" s="291" t="n"/>
      <c r="N164" s="291" t="n"/>
      <c r="O164" s="296" t="n">
        <v>250000</v>
      </c>
      <c r="P164" s="296">
        <f>G164*O164</f>
        <v/>
      </c>
      <c r="Q164" s="296">
        <f>H164*O164</f>
        <v/>
      </c>
      <c r="R164" s="296">
        <f>SUM(P164:Q164)</f>
        <v/>
      </c>
      <c r="S164" s="296">
        <f>R164*$S$9</f>
        <v/>
      </c>
      <c r="T164" s="296">
        <f>SUM(R164:S164)</f>
        <v/>
      </c>
      <c r="U164" s="78" t="inlineStr">
        <is>
          <t>IMAGEN</t>
        </is>
      </c>
      <c r="V164" s="85" t="n"/>
      <c r="W164" s="91" t="inlineStr">
        <is>
          <t>NO ADJUDICADO</t>
        </is>
      </c>
      <c r="X164" s="5" t="inlineStr">
        <is>
          <t>PROYECTADO</t>
        </is>
      </c>
    </row>
    <row r="165" ht="28.2" customHeight="1" s="227">
      <c r="A165" s="92" t="n">
        <v>355</v>
      </c>
      <c r="B165" s="68" t="inlineStr">
        <is>
          <t>OAXACA</t>
        </is>
      </c>
      <c r="C165" s="69" t="inlineStr">
        <is>
          <t>Sistema de digitalización de imágenes, marca Carestream, modelo Digitalizador: Direct</t>
        </is>
      </c>
      <c r="D165" s="68" t="inlineStr">
        <is>
          <t>Pendiente</t>
        </is>
      </c>
      <c r="E165" s="69" t="inlineStr">
        <is>
          <t>H.M.Z. Ixcotel</t>
        </is>
      </c>
      <c r="F165" s="95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5" s="79" t="n">
        <v>1</v>
      </c>
      <c r="H165" s="81" t="n">
        <v>2</v>
      </c>
      <c r="I165" s="291" t="n"/>
      <c r="J165" s="291">
        <f>I165</f>
        <v/>
      </c>
      <c r="K165" s="291">
        <f>J165</f>
        <v/>
      </c>
      <c r="L165" s="291" t="n"/>
      <c r="M165" s="291" t="n"/>
      <c r="N165" s="291" t="n"/>
      <c r="O165" s="296" t="n">
        <v>225000</v>
      </c>
      <c r="P165" s="296">
        <f>G165*O165</f>
        <v/>
      </c>
      <c r="Q165" s="296">
        <f>H165*O165</f>
        <v/>
      </c>
      <c r="R165" s="296">
        <f>SUM(P165:Q165)</f>
        <v/>
      </c>
      <c r="S165" s="296">
        <f>R165*$S$9</f>
        <v/>
      </c>
      <c r="T165" s="296">
        <f>SUM(R165:S165)</f>
        <v/>
      </c>
      <c r="U165" s="78" t="inlineStr">
        <is>
          <t>IMAGEN</t>
        </is>
      </c>
      <c r="V165" s="85" t="n"/>
      <c r="W165" s="91" t="inlineStr">
        <is>
          <t>NO ADJUDICADO</t>
        </is>
      </c>
      <c r="X165" s="5" t="inlineStr">
        <is>
          <t>PROYECTADO</t>
        </is>
      </c>
    </row>
    <row r="166" ht="28.2" customHeight="1" s="227">
      <c r="A166" s="92" t="n">
        <v>356</v>
      </c>
      <c r="B166" s="68" t="inlineStr">
        <is>
          <t>SINALOA</t>
        </is>
      </c>
      <c r="C166" s="69" t="inlineStr">
        <is>
          <t>Microscopio, marca Carl Zeiss, modelo OPMI</t>
        </is>
      </c>
      <c r="D166" s="68" t="inlineStr">
        <is>
          <t>6628503641</t>
        </is>
      </c>
      <c r="E166" s="69" t="inlineStr">
        <is>
          <t>H.M.R.E. Mazatlán</t>
        </is>
      </c>
      <c r="F166" s="95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66" s="79" t="n">
        <v>1</v>
      </c>
      <c r="H166" s="81" t="n">
        <v>2</v>
      </c>
      <c r="I166" s="291" t="inlineStr">
        <is>
          <t>NO</t>
        </is>
      </c>
      <c r="J166" s="291">
        <f>I166</f>
        <v/>
      </c>
      <c r="K166" s="291">
        <f>J166</f>
        <v/>
      </c>
      <c r="L166" s="291" t="n"/>
      <c r="M166" s="291" t="n"/>
      <c r="N166" s="291" t="n"/>
      <c r="O166" s="296" t="n">
        <v>250000</v>
      </c>
      <c r="P166" s="296">
        <f>G166*O166</f>
        <v/>
      </c>
      <c r="Q166" s="296">
        <f>H166*O166</f>
        <v/>
      </c>
      <c r="R166" s="296">
        <f>SUM(P166:Q166)</f>
        <v/>
      </c>
      <c r="S166" s="296">
        <f>R166*$S$9</f>
        <v/>
      </c>
      <c r="T166" s="296">
        <f>SUM(R166:S166)</f>
        <v/>
      </c>
      <c r="U166" s="78" t="inlineStr">
        <is>
          <t>OFTALMO</t>
        </is>
      </c>
      <c r="V166" s="81" t="inlineStr">
        <is>
          <t>ZEISS</t>
        </is>
      </c>
      <c r="W166" s="91" t="inlineStr">
        <is>
          <t>NO ADJUDICADO</t>
        </is>
      </c>
      <c r="X166" s="5" t="inlineStr">
        <is>
          <t>PROYECTADO</t>
        </is>
      </c>
    </row>
    <row r="167" ht="28.2" customHeight="1" s="227">
      <c r="A167" s="86" t="n">
        <v>357</v>
      </c>
      <c r="B167" s="68" t="inlineStr">
        <is>
          <t>NUEVO LEON</t>
        </is>
      </c>
      <c r="C167" s="69" t="inlineStr">
        <is>
          <t>Topógrafo corneal, marca Zeiss, modelo Atlas 9000</t>
        </is>
      </c>
      <c r="D167" s="68" t="inlineStr">
        <is>
          <t>9000-2972</t>
        </is>
      </c>
      <c r="E167" s="69" t="inlineStr">
        <is>
          <t>H.M.R.E. Monterrey</t>
        </is>
      </c>
      <c r="F167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7" s="79" t="n">
        <v>1</v>
      </c>
      <c r="H167" s="81" t="n">
        <v>2</v>
      </c>
      <c r="I167" s="291" t="n">
        <v>130000</v>
      </c>
      <c r="J167" s="291">
        <f>I167</f>
        <v/>
      </c>
      <c r="K167" s="291">
        <f>J167</f>
        <v/>
      </c>
      <c r="L167" s="291">
        <f>SUM(I167:K167)</f>
        <v/>
      </c>
      <c r="M167" s="291">
        <f>L167*0.16</f>
        <v/>
      </c>
      <c r="N167" s="291">
        <f>SUM(L167:M167)</f>
        <v/>
      </c>
      <c r="O167" s="296" t="n">
        <v>270000</v>
      </c>
      <c r="P167" s="296">
        <f>G167*O167</f>
        <v/>
      </c>
      <c r="Q167" s="296">
        <f>H167*O167</f>
        <v/>
      </c>
      <c r="R167" s="296">
        <f>SUM(P167:Q167)</f>
        <v/>
      </c>
      <c r="S167" s="296">
        <f>R167*$S$9</f>
        <v/>
      </c>
      <c r="T167" s="296">
        <f>SUM(R167:S167)</f>
        <v/>
      </c>
      <c r="U167" s="78" t="inlineStr">
        <is>
          <t>OFTALMO</t>
        </is>
      </c>
      <c r="V167" s="81" t="inlineStr">
        <is>
          <t>ZEISS</t>
        </is>
      </c>
      <c r="W167" s="83" t="inlineStr">
        <is>
          <t>ADJUDICADO</t>
        </is>
      </c>
      <c r="X167" s="5" t="inlineStr">
        <is>
          <t>PROYECTADO</t>
        </is>
      </c>
    </row>
    <row r="168" ht="28.2" customHeight="1" s="227">
      <c r="A168" s="86" t="n">
        <v>358</v>
      </c>
      <c r="B168" s="68" t="inlineStr">
        <is>
          <t>JALISCO</t>
        </is>
      </c>
      <c r="C168" s="69" t="inlineStr">
        <is>
          <t>Microscopio, marca Carl Zeiss, modelo OPMI Visu 160</t>
        </is>
      </c>
      <c r="D168" s="68" t="inlineStr">
        <is>
          <t>6213404030</t>
        </is>
      </c>
      <c r="E168" s="69" t="inlineStr">
        <is>
          <t>H.M.R.E. Guadalajara</t>
        </is>
      </c>
      <c r="F168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68" s="79" t="n">
        <v>1</v>
      </c>
      <c r="H168" s="81" t="n">
        <v>2</v>
      </c>
      <c r="I168" s="291" t="n">
        <v>30000</v>
      </c>
      <c r="J168" s="291">
        <f>I168</f>
        <v/>
      </c>
      <c r="K168" s="291">
        <f>J168</f>
        <v/>
      </c>
      <c r="L168" s="291">
        <f>SUM(I168:K168)</f>
        <v/>
      </c>
      <c r="M168" s="291">
        <f>L168*0.16</f>
        <v/>
      </c>
      <c r="N168" s="291">
        <f>SUM(L168:M168)</f>
        <v/>
      </c>
      <c r="O168" s="296" t="n">
        <v>55000</v>
      </c>
      <c r="P168" s="296">
        <f>G168*O168</f>
        <v/>
      </c>
      <c r="Q168" s="296">
        <f>H168*O168</f>
        <v/>
      </c>
      <c r="R168" s="296">
        <f>SUM(P168:Q168)</f>
        <v/>
      </c>
      <c r="S168" s="296">
        <f>R168*$S$9</f>
        <v/>
      </c>
      <c r="T168" s="296">
        <f>SUM(R168:S168)</f>
        <v/>
      </c>
      <c r="U168" s="78" t="inlineStr">
        <is>
          <t>OFTALMO</t>
        </is>
      </c>
      <c r="V168" s="81" t="inlineStr">
        <is>
          <t>ZEISS</t>
        </is>
      </c>
      <c r="W168" s="83" t="inlineStr">
        <is>
          <t>ADJUDICADO</t>
        </is>
      </c>
      <c r="X168" s="5" t="inlineStr">
        <is>
          <t>PROYECTADO</t>
        </is>
      </c>
    </row>
    <row r="169" ht="28.2" customHeight="1" s="227">
      <c r="A169" s="92" t="n">
        <v>359</v>
      </c>
      <c r="B169" s="68" t="inlineStr">
        <is>
          <t>EDO DE MEX</t>
        </is>
      </c>
      <c r="C169" s="69" t="inlineStr">
        <is>
          <t>Campímetro, marca Carl Zeiss, modelo Humphrey 750</t>
        </is>
      </c>
      <c r="D169" s="68" t="inlineStr">
        <is>
          <t>11974</t>
        </is>
      </c>
      <c r="E169" s="69" t="inlineStr">
        <is>
          <t>H.M.R. Santa Lucía</t>
        </is>
      </c>
      <c r="F169" s="95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9" s="79" t="n">
        <v>1</v>
      </c>
      <c r="H169" s="81" t="n">
        <v>2</v>
      </c>
      <c r="I169" s="291" t="inlineStr">
        <is>
          <t>NO</t>
        </is>
      </c>
      <c r="J169" s="291">
        <f>I169</f>
        <v/>
      </c>
      <c r="K169" s="291">
        <f>J169</f>
        <v/>
      </c>
      <c r="L169" s="291" t="n"/>
      <c r="M169" s="291" t="n"/>
      <c r="N169" s="291" t="n"/>
      <c r="O169" s="296" t="n">
        <v>250000</v>
      </c>
      <c r="P169" s="296">
        <f>G169*O169</f>
        <v/>
      </c>
      <c r="Q169" s="296">
        <f>H169*O169</f>
        <v/>
      </c>
      <c r="R169" s="296">
        <f>SUM(P169:Q169)</f>
        <v/>
      </c>
      <c r="S169" s="296">
        <f>R169*$S$9</f>
        <v/>
      </c>
      <c r="T169" s="296">
        <f>SUM(R169:S169)</f>
        <v/>
      </c>
      <c r="U169" s="78" t="inlineStr">
        <is>
          <t>OFTALMO</t>
        </is>
      </c>
      <c r="V169" s="81" t="inlineStr">
        <is>
          <t>ZEISS</t>
        </is>
      </c>
      <c r="W169" s="91" t="inlineStr">
        <is>
          <t>NO ADJUDICADO</t>
        </is>
      </c>
      <c r="X169" s="5" t="inlineStr">
        <is>
          <t>PROYECTADO</t>
        </is>
      </c>
    </row>
    <row r="170" ht="28.2" customHeight="1" s="227">
      <c r="A170" s="92" t="n">
        <v>360</v>
      </c>
      <c r="B170" s="68" t="inlineStr">
        <is>
          <t>CHIAPAS</t>
        </is>
      </c>
      <c r="C170" s="69" t="inlineStr">
        <is>
          <t>Campímetro, marca Carl Zeiss Meditec, modelo Humphrey Matrix 800</t>
        </is>
      </c>
      <c r="D170" s="68" t="inlineStr">
        <is>
          <t>56000002990</t>
        </is>
      </c>
      <c r="E170" s="69" t="inlineStr">
        <is>
          <t>H.M.R. Tuxtla Gutiérrez</t>
        </is>
      </c>
      <c r="F170" s="95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0" s="79" t="n">
        <v>1</v>
      </c>
      <c r="H170" s="81" t="n">
        <v>2</v>
      </c>
      <c r="I170" s="291" t="inlineStr">
        <is>
          <t>NO</t>
        </is>
      </c>
      <c r="J170" s="291">
        <f>I170</f>
        <v/>
      </c>
      <c r="K170" s="291">
        <f>J170</f>
        <v/>
      </c>
      <c r="L170" s="291" t="n"/>
      <c r="M170" s="291" t="n"/>
      <c r="N170" s="291" t="n"/>
      <c r="O170" s="296" t="n">
        <v>250000</v>
      </c>
      <c r="P170" s="296">
        <f>G170*O170</f>
        <v/>
      </c>
      <c r="Q170" s="296">
        <f>H170*O170</f>
        <v/>
      </c>
      <c r="R170" s="296">
        <f>SUM(P170:Q170)</f>
        <v/>
      </c>
      <c r="S170" s="296">
        <f>R170*$S$9</f>
        <v/>
      </c>
      <c r="T170" s="296">
        <f>SUM(R170:S170)</f>
        <v/>
      </c>
      <c r="U170" s="78" t="inlineStr">
        <is>
          <t>OFTALMO</t>
        </is>
      </c>
      <c r="V170" s="81" t="inlineStr">
        <is>
          <t>ZEISS</t>
        </is>
      </c>
      <c r="W170" s="91" t="inlineStr">
        <is>
          <t>NO ADJUDICADO</t>
        </is>
      </c>
      <c r="X170" s="5" t="inlineStr">
        <is>
          <t>PROYECTADO</t>
        </is>
      </c>
    </row>
    <row r="171" ht="28.2" customHeight="1" s="227">
      <c r="A171" s="92" t="n">
        <v>361</v>
      </c>
      <c r="B171" s="68" t="inlineStr">
        <is>
          <t>CHIAPAS</t>
        </is>
      </c>
      <c r="C171" s="69" t="inlineStr">
        <is>
          <t>Microscopio , marca Carl Zeiss, modelo OPMI Visu 160</t>
        </is>
      </c>
      <c r="D171" s="68" t="inlineStr">
        <is>
          <t>6629120864</t>
        </is>
      </c>
      <c r="E171" s="69" t="inlineStr">
        <is>
          <t>H.M.R. Tuxtla Gutiérrez</t>
        </is>
      </c>
      <c r="F171" s="95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1" s="79" t="n">
        <v>1</v>
      </c>
      <c r="H171" s="81" t="n">
        <v>2</v>
      </c>
      <c r="I171" s="291" t="inlineStr">
        <is>
          <t>NO</t>
        </is>
      </c>
      <c r="J171" s="291">
        <f>I171</f>
        <v/>
      </c>
      <c r="K171" s="291">
        <f>J171</f>
        <v/>
      </c>
      <c r="L171" s="291" t="n"/>
      <c r="M171" s="291" t="n"/>
      <c r="N171" s="291" t="n"/>
      <c r="O171" s="296" t="n">
        <v>250000</v>
      </c>
      <c r="P171" s="296">
        <f>G171*O171</f>
        <v/>
      </c>
      <c r="Q171" s="296">
        <f>H171*O171</f>
        <v/>
      </c>
      <c r="R171" s="296">
        <f>SUM(P171:Q171)</f>
        <v/>
      </c>
      <c r="S171" s="296">
        <f>R171*$S$9</f>
        <v/>
      </c>
      <c r="T171" s="296">
        <f>SUM(R171:S171)</f>
        <v/>
      </c>
      <c r="U171" s="78" t="inlineStr">
        <is>
          <t>OFTALMO</t>
        </is>
      </c>
      <c r="V171" s="81" t="inlineStr">
        <is>
          <t>ZEISS</t>
        </is>
      </c>
      <c r="W171" s="91" t="inlineStr">
        <is>
          <t>NO ADJUDICADO</t>
        </is>
      </c>
      <c r="X171" s="5" t="inlineStr">
        <is>
          <t>PROYECTADO</t>
        </is>
      </c>
    </row>
    <row r="172" ht="28.2" customHeight="1" s="227">
      <c r="A172" s="92" t="n">
        <v>362</v>
      </c>
      <c r="B172" s="68" t="inlineStr">
        <is>
          <t>BAJA CALIFORNIA</t>
        </is>
      </c>
      <c r="C172" s="69" t="inlineStr">
        <is>
          <t>Microscopio, marca Carl Zeiss, modelo OPMI Visu 210</t>
        </is>
      </c>
      <c r="D172" s="68" t="inlineStr">
        <is>
          <t>662950</t>
        </is>
      </c>
      <c r="E172" s="69" t="inlineStr">
        <is>
          <t>H.M.R. La Paz</t>
        </is>
      </c>
      <c r="F172" s="95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72" s="79" t="n">
        <v>1</v>
      </c>
      <c r="H172" s="81" t="n">
        <v>2</v>
      </c>
      <c r="I172" s="291" t="inlineStr">
        <is>
          <t>NO</t>
        </is>
      </c>
      <c r="J172" s="291">
        <f>I172</f>
        <v/>
      </c>
      <c r="K172" s="291">
        <f>J172</f>
        <v/>
      </c>
      <c r="L172" s="291" t="n"/>
      <c r="M172" s="291" t="n"/>
      <c r="N172" s="291" t="n"/>
      <c r="O172" s="296" t="n">
        <v>250000</v>
      </c>
      <c r="P172" s="296">
        <f>G172*O172</f>
        <v/>
      </c>
      <c r="Q172" s="296">
        <f>H172*O172</f>
        <v/>
      </c>
      <c r="R172" s="296">
        <f>SUM(P172:Q172)</f>
        <v/>
      </c>
      <c r="S172" s="296">
        <f>R172*$S$9</f>
        <v/>
      </c>
      <c r="T172" s="296">
        <f>SUM(R172:S172)</f>
        <v/>
      </c>
      <c r="U172" s="78" t="inlineStr">
        <is>
          <t>OFTALMO</t>
        </is>
      </c>
      <c r="V172" s="81" t="inlineStr">
        <is>
          <t>ZEISS</t>
        </is>
      </c>
      <c r="W172" s="91" t="inlineStr">
        <is>
          <t>NO ADJUDICADO</t>
        </is>
      </c>
      <c r="X172" s="5" t="inlineStr">
        <is>
          <t>PROYECTADO</t>
        </is>
      </c>
    </row>
    <row r="173" ht="28.2" customHeight="1" s="227">
      <c r="A173" s="86" t="n">
        <v>363</v>
      </c>
      <c r="B173" s="68" t="inlineStr">
        <is>
          <t>TABASCO</t>
        </is>
      </c>
      <c r="C173" s="69" t="inlineStr">
        <is>
          <t>Campímetro, marca Carl Zeiss Meditec, modelo Humphrey 740I</t>
        </is>
      </c>
      <c r="D173" s="68" t="inlineStr">
        <is>
          <t>740I-14200</t>
        </is>
      </c>
      <c r="E173" s="69" t="inlineStr">
        <is>
          <t>H.M.Z. Villahermosa</t>
        </is>
      </c>
      <c r="F173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73" s="79" t="n">
        <v>1</v>
      </c>
      <c r="H173" s="81" t="n">
        <v>2</v>
      </c>
      <c r="I173" s="291" t="n">
        <v>100000</v>
      </c>
      <c r="J173" s="291">
        <f>I173</f>
        <v/>
      </c>
      <c r="K173" s="291">
        <f>J173</f>
        <v/>
      </c>
      <c r="L173" s="291">
        <f>SUM(I173:K173)</f>
        <v/>
      </c>
      <c r="M173" s="291">
        <f>L173*0.16</f>
        <v/>
      </c>
      <c r="N173" s="291">
        <f>SUM(L173:M173)</f>
        <v/>
      </c>
      <c r="O173" s="296" t="n">
        <v>195000</v>
      </c>
      <c r="P173" s="296">
        <f>G173*O173</f>
        <v/>
      </c>
      <c r="Q173" s="296">
        <f>H173*O173</f>
        <v/>
      </c>
      <c r="R173" s="296">
        <f>SUM(P173:Q173)</f>
        <v/>
      </c>
      <c r="S173" s="296">
        <f>R173*$S$9</f>
        <v/>
      </c>
      <c r="T173" s="296">
        <f>SUM(R173:S173)</f>
        <v/>
      </c>
      <c r="U173" s="78" t="inlineStr">
        <is>
          <t>OFTALMO</t>
        </is>
      </c>
      <c r="V173" s="81" t="inlineStr">
        <is>
          <t>ZEISS</t>
        </is>
      </c>
      <c r="W173" s="83" t="inlineStr">
        <is>
          <t>ADJUDICADO</t>
        </is>
      </c>
      <c r="X173" s="5" t="inlineStr">
        <is>
          <t>PROYECTADO</t>
        </is>
      </c>
    </row>
    <row r="174" ht="28.2" customHeight="1" s="227">
      <c r="A174" s="86" t="n">
        <v>367</v>
      </c>
      <c r="B174" s="68" t="inlineStr">
        <is>
          <t>CHIHUAHUA</t>
        </is>
      </c>
      <c r="C174" s="69" t="inlineStr">
        <is>
          <t>Equipo de rayos X móvil, marca Primax, modelo Raybow dR</t>
        </is>
      </c>
      <c r="D174" s="68" t="inlineStr">
        <is>
          <t>10076715</t>
        </is>
      </c>
      <c r="E174" s="69" t="inlineStr">
        <is>
          <t>H.M.Z. Santa Gertrudis</t>
        </is>
      </c>
      <c r="F174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74" s="79" t="n">
        <v>1</v>
      </c>
      <c r="H174" s="81" t="n">
        <v>2</v>
      </c>
      <c r="I174" s="291" t="n">
        <v>100000</v>
      </c>
      <c r="J174" s="291">
        <f>I174</f>
        <v/>
      </c>
      <c r="K174" s="291">
        <f>J174</f>
        <v/>
      </c>
      <c r="L174" s="291">
        <f>SUM(I174:K174)</f>
        <v/>
      </c>
      <c r="M174" s="291">
        <f>L174*0.16</f>
        <v/>
      </c>
      <c r="N174" s="291">
        <f>SUM(L174:M174)</f>
        <v/>
      </c>
      <c r="O174" s="296" t="n">
        <v>250000</v>
      </c>
      <c r="P174" s="296">
        <f>G174*O174</f>
        <v/>
      </c>
      <c r="Q174" s="296">
        <f>H174*O174</f>
        <v/>
      </c>
      <c r="R174" s="296">
        <f>SUM(P174:Q174)</f>
        <v/>
      </c>
      <c r="S174" s="296">
        <f>R174*$S$9</f>
        <v/>
      </c>
      <c r="T174" s="296">
        <f>SUM(R174:S174)</f>
        <v/>
      </c>
      <c r="U174" s="78" t="inlineStr">
        <is>
          <t>IMAGEN</t>
        </is>
      </c>
      <c r="V174" s="85" t="n"/>
      <c r="W174" s="83" t="inlineStr">
        <is>
          <t>ADJUDICADO</t>
        </is>
      </c>
      <c r="X174" s="5" t="inlineStr">
        <is>
          <t>PROYECTADO</t>
        </is>
      </c>
    </row>
    <row r="175" ht="28.2" customHeight="1" s="227">
      <c r="A175" s="92" t="n">
        <v>368</v>
      </c>
      <c r="B175" s="68" t="inlineStr">
        <is>
          <t>BAJA CALIFORNIA SUR</t>
        </is>
      </c>
      <c r="C175" s="69" t="inlineStr">
        <is>
          <t>Equipo de rayos X móvil, marca Primax Internacional, modelo Raybow dR</t>
        </is>
      </c>
      <c r="D175" s="68" t="inlineStr">
        <is>
          <t>10106715</t>
        </is>
      </c>
      <c r="E175" s="69" t="inlineStr">
        <is>
          <t>H.M.Z. Guerrero Negro</t>
        </is>
      </c>
      <c r="F175" s="95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G175" s="79" t="n">
        <v>1</v>
      </c>
      <c r="H175" s="81" t="n">
        <v>2</v>
      </c>
      <c r="I175" s="291" t="n"/>
      <c r="J175" s="291">
        <f>I175</f>
        <v/>
      </c>
      <c r="K175" s="291">
        <f>J175</f>
        <v/>
      </c>
      <c r="L175" s="291" t="n"/>
      <c r="M175" s="291" t="n"/>
      <c r="N175" s="291" t="n"/>
      <c r="O175" s="296" t="n">
        <v>300000</v>
      </c>
      <c r="P175" s="296">
        <f>G175*O175</f>
        <v/>
      </c>
      <c r="Q175" s="296">
        <f>H175*O175</f>
        <v/>
      </c>
      <c r="R175" s="296">
        <f>SUM(P175:Q175)</f>
        <v/>
      </c>
      <c r="S175" s="296">
        <f>R175*$S$9</f>
        <v/>
      </c>
      <c r="T175" s="296">
        <f>SUM(R175:S175)</f>
        <v/>
      </c>
      <c r="U175" s="78" t="inlineStr">
        <is>
          <t>IMAGEN</t>
        </is>
      </c>
      <c r="V175" s="85" t="n"/>
      <c r="W175" s="91" t="inlineStr">
        <is>
          <t>NO ADJUDICADO</t>
        </is>
      </c>
      <c r="X175" s="5" t="inlineStr">
        <is>
          <t>PROYECTADO</t>
        </is>
      </c>
    </row>
    <row r="176" ht="28.2" customHeight="1" s="227">
      <c r="A176" s="92" t="n">
        <v>369</v>
      </c>
      <c r="B176" s="68" t="inlineStr">
        <is>
          <t>TAMAULIPAS</t>
        </is>
      </c>
      <c r="C176" s="69" t="inlineStr">
        <is>
          <t>Equipo de rayos X móvil, marca Primax, modelo Raybow dR</t>
        </is>
      </c>
      <c r="D176" s="68" t="inlineStr">
        <is>
          <t>10116715</t>
        </is>
      </c>
      <c r="E176" s="69" t="inlineStr">
        <is>
          <t>U.M.C.E. Reynosa</t>
        </is>
      </c>
      <c r="F17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76" s="79" t="n">
        <v>1</v>
      </c>
      <c r="H176" s="81" t="n">
        <v>2</v>
      </c>
      <c r="I176" s="291" t="n"/>
      <c r="J176" s="291">
        <f>I176</f>
        <v/>
      </c>
      <c r="K176" s="291">
        <f>J176</f>
        <v/>
      </c>
      <c r="L176" s="291" t="n"/>
      <c r="M176" s="291" t="n"/>
      <c r="N176" s="291" t="n"/>
      <c r="O176" s="296" t="n">
        <v>300000</v>
      </c>
      <c r="P176" s="296">
        <f>G176*O176</f>
        <v/>
      </c>
      <c r="Q176" s="296">
        <f>H176*O176</f>
        <v/>
      </c>
      <c r="R176" s="296">
        <f>SUM(P176:Q176)</f>
        <v/>
      </c>
      <c r="S176" s="296">
        <f>R176*$S$9</f>
        <v/>
      </c>
      <c r="T176" s="296">
        <f>SUM(R176:S176)</f>
        <v/>
      </c>
      <c r="U176" s="78" t="inlineStr">
        <is>
          <t>IMAGEN</t>
        </is>
      </c>
      <c r="V176" s="85" t="n"/>
      <c r="W176" s="103" t="inlineStr">
        <is>
          <t>ADJUDICADO</t>
        </is>
      </c>
      <c r="X176" s="5" t="inlineStr">
        <is>
          <t>NO PROYECTADO</t>
        </is>
      </c>
    </row>
    <row r="177" ht="124.95" customHeight="1" s="227" thickBot="1">
      <c r="G177" s="32">
        <f>SUM(G14:G176)</f>
        <v/>
      </c>
      <c r="H177" s="89">
        <f>SUM(H14:H176)</f>
        <v/>
      </c>
      <c r="I177" s="291" t="n"/>
      <c r="J177" s="291" t="n"/>
      <c r="K177" s="291" t="n"/>
      <c r="L177" s="297" t="n"/>
      <c r="M177" s="297" t="n"/>
      <c r="N177" s="297" t="n"/>
      <c r="P177" s="294" t="n"/>
      <c r="Q177" s="294" t="n"/>
      <c r="R177" s="298">
        <f>SUM(R14:R176)</f>
        <v/>
      </c>
      <c r="S177" s="298">
        <f>R177*$S$9</f>
        <v/>
      </c>
      <c r="T177" s="298">
        <f>SUM(R177:S177)</f>
        <v/>
      </c>
    </row>
    <row r="178" ht="124.95" customHeight="1" s="227" thickBot="1">
      <c r="G178" s="295">
        <f>SUM(G177:H177)</f>
        <v/>
      </c>
      <c r="H178" s="254" t="n"/>
      <c r="I178" s="267" t="n"/>
      <c r="J178" s="267" t="n"/>
      <c r="K178" s="267" t="n"/>
      <c r="L178" s="99" t="n"/>
      <c r="M178" s="100" t="n"/>
      <c r="N178" s="101" t="n"/>
      <c r="R178" s="99" t="n"/>
      <c r="S178" s="100" t="n"/>
      <c r="T178" s="101" t="n"/>
    </row>
    <row r="179" ht="15.75" customHeight="1" s="227">
      <c r="F179" s="34" t="n"/>
      <c r="I179" s="267" t="n"/>
      <c r="J179" s="267" t="n"/>
      <c r="K179" s="267" t="n"/>
      <c r="L179" s="267" t="n"/>
      <c r="M179" s="267" t="n"/>
      <c r="N179" s="267" t="n"/>
    </row>
    <row r="180" ht="15.75" customHeight="1" s="227">
      <c r="F180" s="6" t="n"/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 ht="135.75" customHeight="1" s="227">
      <c r="F182" s="35" t="n"/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F185" s="35" t="n"/>
      <c r="I185" s="267" t="n"/>
      <c r="J185" s="267" t="n"/>
      <c r="K185" s="267" t="n"/>
      <c r="L185" s="267" t="n"/>
      <c r="M185" s="267" t="n"/>
      <c r="N185" s="267" t="n"/>
    </row>
    <row r="186">
      <c r="F186" s="35" t="n"/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F188" s="36" t="n"/>
      <c r="I188" s="267" t="n"/>
      <c r="J188" s="267" t="n"/>
      <c r="K188" s="267" t="n"/>
      <c r="L188" s="267" t="n"/>
      <c r="M188" s="267" t="n"/>
      <c r="N188" s="267" t="n"/>
    </row>
    <row r="189">
      <c r="F189" s="35" t="n"/>
      <c r="I189" s="267" t="n"/>
      <c r="J189" s="267" t="n"/>
      <c r="K189" s="267" t="n"/>
      <c r="L189" s="267" t="n"/>
      <c r="M189" s="267" t="n"/>
      <c r="N189" s="267" t="n"/>
    </row>
    <row r="190" ht="15.75" customHeight="1" s="227">
      <c r="F190" s="37" t="n"/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  <row r="1055">
      <c r="I1055" s="267" t="n"/>
      <c r="J1055" s="267" t="n"/>
      <c r="K1055" s="267" t="n"/>
      <c r="L1055" s="267" t="n"/>
      <c r="M1055" s="267" t="n"/>
      <c r="N1055" s="267" t="n"/>
    </row>
    <row r="1056">
      <c r="I1056" s="267" t="n"/>
      <c r="J1056" s="267" t="n"/>
      <c r="K1056" s="267" t="n"/>
      <c r="L1056" s="267" t="n"/>
      <c r="M1056" s="267" t="n"/>
      <c r="N1056" s="267" t="n"/>
    </row>
    <row r="1057">
      <c r="I1057" s="267" t="n"/>
      <c r="J1057" s="267" t="n"/>
      <c r="K1057" s="267" t="n"/>
      <c r="L1057" s="267" t="n"/>
      <c r="M1057" s="267" t="n"/>
      <c r="N1057" s="267" t="n"/>
    </row>
    <row r="1058">
      <c r="I1058" s="267" t="n"/>
      <c r="J1058" s="267" t="n"/>
      <c r="K1058" s="267" t="n"/>
      <c r="L1058" s="267" t="n"/>
      <c r="M1058" s="267" t="n"/>
      <c r="N1058" s="267" t="n"/>
    </row>
    <row r="1059">
      <c r="I1059" s="267" t="n"/>
      <c r="J1059" s="267" t="n"/>
      <c r="K1059" s="267" t="n"/>
      <c r="L1059" s="267" t="n"/>
      <c r="M1059" s="267" t="n"/>
      <c r="N1059" s="267" t="n"/>
    </row>
    <row r="1060">
      <c r="I1060" s="267" t="n"/>
      <c r="J1060" s="267" t="n"/>
      <c r="K1060" s="267" t="n"/>
      <c r="L1060" s="267" t="n"/>
      <c r="M1060" s="267" t="n"/>
      <c r="N1060" s="267" t="n"/>
    </row>
    <row r="1061">
      <c r="I1061" s="267" t="n"/>
      <c r="J1061" s="267" t="n"/>
      <c r="K1061" s="267" t="n"/>
      <c r="L1061" s="267" t="n"/>
      <c r="M1061" s="267" t="n"/>
      <c r="N1061" s="267" t="n"/>
    </row>
    <row r="1062">
      <c r="I1062" s="267" t="n"/>
      <c r="J1062" s="267" t="n"/>
      <c r="K1062" s="267" t="n"/>
      <c r="L1062" s="267" t="n"/>
      <c r="M1062" s="267" t="n"/>
      <c r="N1062" s="267" t="n"/>
    </row>
    <row r="1063">
      <c r="I1063" s="267" t="n"/>
      <c r="J1063" s="267" t="n"/>
      <c r="K1063" s="267" t="n"/>
      <c r="L1063" s="267" t="n"/>
      <c r="M1063" s="267" t="n"/>
      <c r="N1063" s="267" t="n"/>
    </row>
    <row r="1064">
      <c r="I1064" s="267" t="n"/>
      <c r="J1064" s="267" t="n"/>
      <c r="K1064" s="267" t="n"/>
      <c r="L1064" s="267" t="n"/>
      <c r="M1064" s="267" t="n"/>
      <c r="N1064" s="267" t="n"/>
    </row>
    <row r="1065">
      <c r="I1065" s="267" t="n"/>
      <c r="J1065" s="267" t="n"/>
      <c r="K1065" s="267" t="n"/>
      <c r="L1065" s="267" t="n"/>
      <c r="M1065" s="267" t="n"/>
      <c r="N1065" s="267" t="n"/>
    </row>
    <row r="1066">
      <c r="I1066" s="267" t="n"/>
      <c r="J1066" s="267" t="n"/>
      <c r="K1066" s="267" t="n"/>
      <c r="L1066" s="267" t="n"/>
      <c r="M1066" s="267" t="n"/>
      <c r="N1066" s="267" t="n"/>
    </row>
    <row r="1067">
      <c r="I1067" s="267" t="n"/>
      <c r="J1067" s="267" t="n"/>
      <c r="K1067" s="267" t="n"/>
      <c r="L1067" s="267" t="n"/>
      <c r="M1067" s="267" t="n"/>
      <c r="N1067" s="267" t="n"/>
    </row>
    <row r="1068">
      <c r="I1068" s="267" t="n"/>
      <c r="J1068" s="267" t="n"/>
      <c r="K1068" s="267" t="n"/>
      <c r="L1068" s="267" t="n"/>
      <c r="M1068" s="267" t="n"/>
      <c r="N1068" s="267" t="n"/>
    </row>
    <row r="1069">
      <c r="I1069" s="267" t="n"/>
      <c r="J1069" s="267" t="n"/>
      <c r="K1069" s="267" t="n"/>
      <c r="L1069" s="267" t="n"/>
      <c r="M1069" s="267" t="n"/>
      <c r="N1069" s="267" t="n"/>
    </row>
    <row r="1070">
      <c r="I1070" s="267" t="n"/>
      <c r="J1070" s="267" t="n"/>
      <c r="K1070" s="267" t="n"/>
      <c r="L1070" s="267" t="n"/>
      <c r="M1070" s="267" t="n"/>
      <c r="N1070" s="267" t="n"/>
    </row>
    <row r="1071">
      <c r="I1071" s="267" t="n"/>
      <c r="J1071" s="267" t="n"/>
      <c r="K1071" s="267" t="n"/>
      <c r="L1071" s="267" t="n"/>
      <c r="M1071" s="267" t="n"/>
      <c r="N1071" s="267" t="n"/>
    </row>
    <row r="1072">
      <c r="I1072" s="267" t="n"/>
      <c r="J1072" s="267" t="n"/>
      <c r="K1072" s="267" t="n"/>
      <c r="L1072" s="267" t="n"/>
      <c r="M1072" s="267" t="n"/>
      <c r="N1072" s="267" t="n"/>
    </row>
    <row r="1073">
      <c r="I1073" s="267" t="n"/>
      <c r="J1073" s="267" t="n"/>
      <c r="K1073" s="267" t="n"/>
      <c r="L1073" s="267" t="n"/>
      <c r="M1073" s="267" t="n"/>
      <c r="N1073" s="267" t="n"/>
    </row>
    <row r="1074">
      <c r="I1074" s="267" t="n"/>
      <c r="J1074" s="267" t="n"/>
      <c r="K1074" s="267" t="n"/>
      <c r="L1074" s="267" t="n"/>
      <c r="M1074" s="267" t="n"/>
      <c r="N1074" s="267" t="n"/>
    </row>
    <row r="1075">
      <c r="I1075" s="267" t="n"/>
      <c r="J1075" s="267" t="n"/>
      <c r="K1075" s="267" t="n"/>
      <c r="L1075" s="267" t="n"/>
      <c r="M1075" s="267" t="n"/>
      <c r="N1075" s="267" t="n"/>
    </row>
    <row r="1076">
      <c r="I1076" s="267" t="n"/>
      <c r="J1076" s="267" t="n"/>
      <c r="K1076" s="267" t="n"/>
      <c r="L1076" s="267" t="n"/>
      <c r="M1076" s="267" t="n"/>
      <c r="N1076" s="267" t="n"/>
    </row>
    <row r="1077">
      <c r="I1077" s="267" t="n"/>
      <c r="J1077" s="267" t="n"/>
      <c r="K1077" s="267" t="n"/>
      <c r="L1077" s="267" t="n"/>
      <c r="M1077" s="267" t="n"/>
      <c r="N1077" s="267" t="n"/>
    </row>
    <row r="1078">
      <c r="I1078" s="267" t="n"/>
      <c r="J1078" s="267" t="n"/>
      <c r="K1078" s="267" t="n"/>
      <c r="L1078" s="267" t="n"/>
      <c r="M1078" s="267" t="n"/>
      <c r="N1078" s="267" t="n"/>
    </row>
    <row r="1079">
      <c r="I1079" s="267" t="n"/>
      <c r="J1079" s="267" t="n"/>
      <c r="K1079" s="267" t="n"/>
      <c r="L1079" s="267" t="n"/>
      <c r="M1079" s="267" t="n"/>
      <c r="N1079" s="267" t="n"/>
    </row>
    <row r="1080">
      <c r="I1080" s="267" t="n"/>
      <c r="J1080" s="267" t="n"/>
      <c r="K1080" s="267" t="n"/>
      <c r="L1080" s="267" t="n"/>
      <c r="M1080" s="267" t="n"/>
      <c r="N1080" s="267" t="n"/>
    </row>
    <row r="1081">
      <c r="I1081" s="267" t="n"/>
      <c r="J1081" s="267" t="n"/>
      <c r="K1081" s="267" t="n"/>
      <c r="L1081" s="267" t="n"/>
      <c r="M1081" s="267" t="n"/>
      <c r="N1081" s="267" t="n"/>
    </row>
    <row r="1082">
      <c r="I1082" s="267" t="n"/>
      <c r="J1082" s="267" t="n"/>
      <c r="K1082" s="267" t="n"/>
      <c r="L1082" s="267" t="n"/>
      <c r="M1082" s="267" t="n"/>
      <c r="N1082" s="267" t="n"/>
    </row>
    <row r="1083">
      <c r="I1083" s="267" t="n"/>
      <c r="J1083" s="267" t="n"/>
      <c r="K1083" s="267" t="n"/>
      <c r="L1083" s="267" t="n"/>
      <c r="M1083" s="267" t="n"/>
      <c r="N1083" s="267" t="n"/>
    </row>
    <row r="1084">
      <c r="I1084" s="267" t="n"/>
      <c r="J1084" s="267" t="n"/>
      <c r="K1084" s="267" t="n"/>
      <c r="L1084" s="267" t="n"/>
      <c r="M1084" s="267" t="n"/>
      <c r="N1084" s="267" t="n"/>
    </row>
    <row r="1085">
      <c r="I1085" s="267" t="n"/>
      <c r="J1085" s="267" t="n"/>
      <c r="K1085" s="267" t="n"/>
      <c r="L1085" s="267" t="n"/>
      <c r="M1085" s="267" t="n"/>
      <c r="N1085" s="267" t="n"/>
    </row>
    <row r="1086">
      <c r="I1086" s="267" t="n"/>
      <c r="J1086" s="267" t="n"/>
      <c r="K1086" s="267" t="n"/>
      <c r="L1086" s="267" t="n"/>
      <c r="M1086" s="267" t="n"/>
      <c r="N1086" s="267" t="n"/>
    </row>
    <row r="1087">
      <c r="I1087" s="267" t="n"/>
      <c r="J1087" s="267" t="n"/>
      <c r="K1087" s="267" t="n"/>
      <c r="L1087" s="267" t="n"/>
      <c r="M1087" s="267" t="n"/>
      <c r="N1087" s="267" t="n"/>
    </row>
    <row r="1088">
      <c r="I1088" s="267" t="n"/>
      <c r="J1088" s="267" t="n"/>
      <c r="K1088" s="267" t="n"/>
      <c r="L1088" s="267" t="n"/>
      <c r="M1088" s="267" t="n"/>
      <c r="N1088" s="267" t="n"/>
    </row>
    <row r="1089">
      <c r="I1089" s="267" t="n"/>
      <c r="J1089" s="267" t="n"/>
      <c r="K1089" s="267" t="n"/>
      <c r="L1089" s="267" t="n"/>
      <c r="M1089" s="267" t="n"/>
      <c r="N1089" s="267" t="n"/>
    </row>
    <row r="1090">
      <c r="I1090" s="267" t="n"/>
      <c r="J1090" s="267" t="n"/>
      <c r="K1090" s="267" t="n"/>
      <c r="L1090" s="267" t="n"/>
      <c r="M1090" s="267" t="n"/>
      <c r="N1090" s="267" t="n"/>
    </row>
    <row r="1091">
      <c r="I1091" s="267" t="n"/>
      <c r="J1091" s="267" t="n"/>
      <c r="K1091" s="267" t="n"/>
      <c r="L1091" s="267" t="n"/>
      <c r="M1091" s="267" t="n"/>
      <c r="N1091" s="267" t="n"/>
    </row>
    <row r="1092">
      <c r="I1092" s="267" t="n"/>
      <c r="J1092" s="267" t="n"/>
      <c r="K1092" s="267" t="n"/>
      <c r="L1092" s="267" t="n"/>
      <c r="M1092" s="267" t="n"/>
      <c r="N1092" s="267" t="n"/>
    </row>
    <row r="1093">
      <c r="I1093" s="267" t="n"/>
      <c r="J1093" s="267" t="n"/>
      <c r="K1093" s="267" t="n"/>
      <c r="L1093" s="267" t="n"/>
      <c r="M1093" s="267" t="n"/>
      <c r="N1093" s="267" t="n"/>
    </row>
    <row r="1094">
      <c r="I1094" s="267" t="n"/>
      <c r="J1094" s="267" t="n"/>
      <c r="K1094" s="267" t="n"/>
      <c r="L1094" s="267" t="n"/>
      <c r="M1094" s="267" t="n"/>
      <c r="N1094" s="267" t="n"/>
    </row>
    <row r="1095">
      <c r="I1095" s="267" t="n"/>
      <c r="J1095" s="267" t="n"/>
      <c r="K1095" s="267" t="n"/>
      <c r="L1095" s="267" t="n"/>
      <c r="M1095" s="267" t="n"/>
      <c r="N1095" s="267" t="n"/>
    </row>
    <row r="1096">
      <c r="I1096" s="267" t="n"/>
      <c r="J1096" s="267" t="n"/>
      <c r="K1096" s="267" t="n"/>
      <c r="L1096" s="267" t="n"/>
      <c r="M1096" s="267" t="n"/>
      <c r="N1096" s="267" t="n"/>
    </row>
    <row r="1097">
      <c r="I1097" s="267" t="n"/>
      <c r="J1097" s="267" t="n"/>
      <c r="K1097" s="267" t="n"/>
      <c r="L1097" s="267" t="n"/>
      <c r="M1097" s="267" t="n"/>
      <c r="N1097" s="267" t="n"/>
    </row>
    <row r="1098">
      <c r="I1098" s="267" t="n"/>
      <c r="J1098" s="267" t="n"/>
      <c r="K1098" s="267" t="n"/>
      <c r="L1098" s="267" t="n"/>
      <c r="M1098" s="267" t="n"/>
      <c r="N1098" s="267" t="n"/>
    </row>
    <row r="1099">
      <c r="I1099" s="267" t="n"/>
      <c r="J1099" s="267" t="n"/>
      <c r="K1099" s="267" t="n"/>
      <c r="L1099" s="267" t="n"/>
      <c r="M1099" s="267" t="n"/>
      <c r="N1099" s="267" t="n"/>
    </row>
    <row r="1100">
      <c r="I1100" s="267" t="n"/>
      <c r="J1100" s="267" t="n"/>
      <c r="K1100" s="267" t="n"/>
      <c r="L1100" s="267" t="n"/>
      <c r="M1100" s="267" t="n"/>
      <c r="N1100" s="267" t="n"/>
    </row>
    <row r="1101">
      <c r="I1101" s="267" t="n"/>
      <c r="J1101" s="267" t="n"/>
      <c r="K1101" s="267" t="n"/>
      <c r="L1101" s="267" t="n"/>
      <c r="M1101" s="267" t="n"/>
      <c r="N1101" s="267" t="n"/>
    </row>
    <row r="1102">
      <c r="I1102" s="267" t="n"/>
      <c r="J1102" s="267" t="n"/>
      <c r="K1102" s="267" t="n"/>
      <c r="L1102" s="267" t="n"/>
      <c r="M1102" s="267" t="n"/>
      <c r="N1102" s="267" t="n"/>
    </row>
    <row r="1103">
      <c r="I1103" s="267" t="n"/>
      <c r="J1103" s="267" t="n"/>
      <c r="K1103" s="267" t="n"/>
      <c r="L1103" s="267" t="n"/>
      <c r="M1103" s="267" t="n"/>
      <c r="N1103" s="267" t="n"/>
    </row>
    <row r="1104">
      <c r="I1104" s="267" t="n"/>
      <c r="J1104" s="267" t="n"/>
      <c r="K1104" s="267" t="n"/>
      <c r="L1104" s="267" t="n"/>
      <c r="M1104" s="267" t="n"/>
      <c r="N1104" s="267" t="n"/>
    </row>
    <row r="1105">
      <c r="I1105" s="267" t="n"/>
      <c r="J1105" s="267" t="n"/>
      <c r="K1105" s="267" t="n"/>
      <c r="L1105" s="267" t="n"/>
      <c r="M1105" s="267" t="n"/>
      <c r="N1105" s="267" t="n"/>
    </row>
    <row r="1106">
      <c r="I1106" s="267" t="n"/>
      <c r="J1106" s="267" t="n"/>
      <c r="K1106" s="267" t="n"/>
      <c r="L1106" s="267" t="n"/>
      <c r="M1106" s="267" t="n"/>
      <c r="N1106" s="267" t="n"/>
    </row>
    <row r="1107">
      <c r="I1107" s="267" t="n"/>
      <c r="J1107" s="267" t="n"/>
      <c r="K1107" s="267" t="n"/>
      <c r="L1107" s="267" t="n"/>
      <c r="M1107" s="267" t="n"/>
      <c r="N1107" s="267" t="n"/>
    </row>
    <row r="1108">
      <c r="I1108" s="267" t="n"/>
      <c r="J1108" s="267" t="n"/>
      <c r="K1108" s="267" t="n"/>
      <c r="L1108" s="267" t="n"/>
      <c r="M1108" s="267" t="n"/>
      <c r="N1108" s="267" t="n"/>
    </row>
    <row r="1109">
      <c r="I1109" s="267" t="n"/>
      <c r="J1109" s="267" t="n"/>
      <c r="K1109" s="267" t="n"/>
      <c r="L1109" s="267" t="n"/>
      <c r="M1109" s="267" t="n"/>
      <c r="N1109" s="267" t="n"/>
    </row>
    <row r="1110">
      <c r="I1110" s="267" t="n"/>
      <c r="J1110" s="267" t="n"/>
      <c r="K1110" s="267" t="n"/>
      <c r="L1110" s="267" t="n"/>
      <c r="M1110" s="267" t="n"/>
      <c r="N1110" s="267" t="n"/>
    </row>
    <row r="1111">
      <c r="I1111" s="267" t="n"/>
      <c r="J1111" s="267" t="n"/>
      <c r="K1111" s="267" t="n"/>
      <c r="L1111" s="267" t="n"/>
      <c r="M1111" s="267" t="n"/>
      <c r="N1111" s="267" t="n"/>
    </row>
    <row r="1112">
      <c r="I1112" s="267" t="n"/>
      <c r="J1112" s="267" t="n"/>
      <c r="K1112" s="267" t="n"/>
      <c r="L1112" s="267" t="n"/>
      <c r="M1112" s="267" t="n"/>
      <c r="N1112" s="267" t="n"/>
    </row>
    <row r="1113">
      <c r="I1113" s="267" t="n"/>
      <c r="J1113" s="267" t="n"/>
      <c r="K1113" s="267" t="n"/>
      <c r="L1113" s="267" t="n"/>
      <c r="M1113" s="267" t="n"/>
      <c r="N1113" s="267" t="n"/>
    </row>
    <row r="1114">
      <c r="I1114" s="267" t="n"/>
      <c r="J1114" s="267" t="n"/>
      <c r="K1114" s="267" t="n"/>
      <c r="L1114" s="267" t="n"/>
      <c r="M1114" s="267" t="n"/>
      <c r="N1114" s="267" t="n"/>
    </row>
    <row r="1115">
      <c r="I1115" s="267" t="n"/>
      <c r="J1115" s="267" t="n"/>
      <c r="K1115" s="267" t="n"/>
      <c r="L1115" s="267" t="n"/>
      <c r="M1115" s="267" t="n"/>
      <c r="N1115" s="267" t="n"/>
    </row>
    <row r="1116">
      <c r="I1116" s="267" t="n"/>
      <c r="J1116" s="267" t="n"/>
      <c r="K1116" s="267" t="n"/>
      <c r="L1116" s="267" t="n"/>
      <c r="M1116" s="267" t="n"/>
      <c r="N1116" s="267" t="n"/>
    </row>
  </sheetData>
  <autoFilter ref="A12:Y178">
    <filterColumn colId="6" hiddenButton="0" showButton="0"/>
  </autoFilter>
  <mergeCells count="23">
    <mergeCell ref="G12:H12"/>
    <mergeCell ref="B12:B13"/>
    <mergeCell ref="F12:F13"/>
    <mergeCell ref="L12:L13"/>
    <mergeCell ref="G178:H178"/>
    <mergeCell ref="N12:N13"/>
    <mergeCell ref="A11:W11"/>
    <mergeCell ref="R12:R13"/>
    <mergeCell ref="A12:A13"/>
    <mergeCell ref="C12:C13"/>
    <mergeCell ref="T12:T13"/>
    <mergeCell ref="M12:M13"/>
    <mergeCell ref="O12:O13"/>
    <mergeCell ref="U12:U13"/>
    <mergeCell ref="D12:D13"/>
    <mergeCell ref="O8:Q8"/>
    <mergeCell ref="W12:W13"/>
    <mergeCell ref="Y12:Y13"/>
    <mergeCell ref="V12:V13"/>
    <mergeCell ref="E12:E13"/>
    <mergeCell ref="X12:X13"/>
    <mergeCell ref="S12:S13"/>
    <mergeCell ref="A10:W10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Y1054"/>
  <sheetViews>
    <sheetView view="pageBreakPreview" zoomScale="40" zoomScaleNormal="78" zoomScaleSheetLayoutView="9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bestFit="1" customWidth="1" style="267" min="2" max="2"/>
    <col width="60" bestFit="1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bestFit="1" customWidth="1" style="277" min="9" max="11"/>
    <col width="23.44140625" bestFit="1" customWidth="1" style="277" min="12" max="12"/>
    <col width="17.6640625" bestFit="1" customWidth="1" style="277" min="13" max="13"/>
    <col width="24.33203125" bestFit="1" customWidth="1" style="277" min="14" max="14"/>
    <col width="24.109375" bestFit="1" customWidth="1" style="267" min="15" max="15"/>
    <col width="29.5546875" bestFit="1" customWidth="1" style="267" min="16" max="16"/>
    <col width="22.33203125" bestFit="1" customWidth="1" style="267" min="17" max="17"/>
    <col width="19.88671875" bestFit="1" customWidth="1" style="267" min="18" max="18"/>
    <col width="19.109375" bestFit="1" customWidth="1" style="267" min="19" max="19"/>
    <col width="24.33203125" bestFit="1" customWidth="1" style="267" min="20" max="20"/>
    <col width="23.109375" customWidth="1" style="267" min="21" max="21"/>
    <col width="21.109375" bestFit="1" customWidth="1" style="64" min="22" max="22"/>
    <col width="18" customWidth="1" style="5" min="23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</row>
    <row r="13" hidden="1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</row>
    <row r="14" hidden="1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 t="n">
        <v>125000</v>
      </c>
      <c r="K14" s="291" t="n">
        <v>125000</v>
      </c>
      <c r="L14" s="291" t="n">
        <v>375000</v>
      </c>
      <c r="M14" s="291" t="n">
        <v>60000</v>
      </c>
      <c r="N14" s="291" t="n">
        <v>435000</v>
      </c>
      <c r="O14" s="296" t="n">
        <v>150000</v>
      </c>
      <c r="P14" s="296" t="n">
        <v>150000</v>
      </c>
      <c r="Q14" s="296" t="n">
        <v>300000</v>
      </c>
      <c r="R14" s="296" t="n">
        <v>450000</v>
      </c>
      <c r="S14" s="296" t="n">
        <v>72000</v>
      </c>
      <c r="T14" s="296" t="n">
        <v>522000</v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idden="1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 t="n">
        <v>77500</v>
      </c>
      <c r="K15" s="291" t="n">
        <v>77500</v>
      </c>
      <c r="L15" s="291" t="n">
        <v>232500</v>
      </c>
      <c r="M15" s="291" t="n">
        <v>37200</v>
      </c>
      <c r="N15" s="291" t="n">
        <v>269700</v>
      </c>
      <c r="O15" s="296" t="n">
        <v>180000</v>
      </c>
      <c r="P15" s="296" t="n">
        <v>180000</v>
      </c>
      <c r="Q15" s="296" t="n">
        <v>360000</v>
      </c>
      <c r="R15" s="296" t="n">
        <v>540000</v>
      </c>
      <c r="S15" s="296" t="n">
        <v>86400</v>
      </c>
      <c r="T15" s="296" t="n">
        <v>626400</v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idden="1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 t="n">
        <v>122850</v>
      </c>
      <c r="K16" s="291" t="n">
        <v>122850</v>
      </c>
      <c r="L16" s="291" t="n">
        <v>368550</v>
      </c>
      <c r="M16" s="291" t="n">
        <v>58968</v>
      </c>
      <c r="N16" s="291" t="n">
        <v>427518</v>
      </c>
      <c r="O16" s="296" t="n">
        <v>225000</v>
      </c>
      <c r="P16" s="296" t="n">
        <v>225000</v>
      </c>
      <c r="Q16" s="296" t="n">
        <v>450000</v>
      </c>
      <c r="R16" s="296" t="n">
        <v>675000</v>
      </c>
      <c r="S16" s="296" t="n">
        <v>108000</v>
      </c>
      <c r="T16" s="296" t="n">
        <v>783000</v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idden="1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 t="n">
        <v>75000</v>
      </c>
      <c r="K17" s="291" t="n">
        <v>75000</v>
      </c>
      <c r="L17" s="291" t="n">
        <v>225000</v>
      </c>
      <c r="M17" s="291" t="n">
        <v>36000</v>
      </c>
      <c r="N17" s="291" t="n">
        <v>261000</v>
      </c>
      <c r="O17" s="296" t="n">
        <v>160000</v>
      </c>
      <c r="P17" s="296" t="n">
        <v>160000</v>
      </c>
      <c r="Q17" s="296" t="n">
        <v>320000</v>
      </c>
      <c r="R17" s="296" t="n">
        <v>480000</v>
      </c>
      <c r="S17" s="296" t="n">
        <v>76800</v>
      </c>
      <c r="T17" s="296" t="n">
        <v>556800</v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idden="1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 t="n">
        <v>75000</v>
      </c>
      <c r="K18" s="291" t="n">
        <v>75000</v>
      </c>
      <c r="L18" s="291" t="n">
        <v>225000</v>
      </c>
      <c r="M18" s="291" t="n">
        <v>36000</v>
      </c>
      <c r="N18" s="291" t="n">
        <v>261000</v>
      </c>
      <c r="O18" s="296" t="n">
        <v>160000</v>
      </c>
      <c r="P18" s="296" t="n">
        <v>160000</v>
      </c>
      <c r="Q18" s="296" t="n">
        <v>320000</v>
      </c>
      <c r="R18" s="296" t="n">
        <v>480000</v>
      </c>
      <c r="S18" s="296" t="n">
        <v>76800</v>
      </c>
      <c r="T18" s="296" t="n">
        <v>556800</v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idden="1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 t="n">
        <v>75000</v>
      </c>
      <c r="K19" s="291" t="n">
        <v>75000</v>
      </c>
      <c r="L19" s="291" t="n">
        <v>225000</v>
      </c>
      <c r="M19" s="291" t="n">
        <v>36000</v>
      </c>
      <c r="N19" s="291" t="n">
        <v>261000</v>
      </c>
      <c r="O19" s="296" t="n">
        <v>160000</v>
      </c>
      <c r="P19" s="296" t="n">
        <v>160000</v>
      </c>
      <c r="Q19" s="296" t="n">
        <v>320000</v>
      </c>
      <c r="R19" s="296" t="n">
        <v>480000</v>
      </c>
      <c r="S19" s="296" t="n">
        <v>76800</v>
      </c>
      <c r="T19" s="296" t="n">
        <v>556800</v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idden="1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 t="n">
        <v>75000</v>
      </c>
      <c r="K20" s="291" t="n">
        <v>75000</v>
      </c>
      <c r="L20" s="291" t="n">
        <v>225000</v>
      </c>
      <c r="M20" s="291" t="n">
        <v>36000</v>
      </c>
      <c r="N20" s="291" t="n">
        <v>261000</v>
      </c>
      <c r="O20" s="296" t="n">
        <v>160000</v>
      </c>
      <c r="P20" s="296" t="n">
        <v>160000</v>
      </c>
      <c r="Q20" s="296" t="n">
        <v>320000</v>
      </c>
      <c r="R20" s="296" t="n">
        <v>480000</v>
      </c>
      <c r="S20" s="296" t="n">
        <v>76800</v>
      </c>
      <c r="T20" s="296" t="n">
        <v>556800</v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idden="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 t="n">
        <v>120000</v>
      </c>
      <c r="K21" s="291" t="n">
        <v>120000</v>
      </c>
      <c r="L21" s="291" t="n">
        <v>360000</v>
      </c>
      <c r="M21" s="291" t="n">
        <v>57600</v>
      </c>
      <c r="N21" s="291" t="n">
        <v>417600</v>
      </c>
      <c r="O21" s="296" t="n">
        <v>350000</v>
      </c>
      <c r="P21" s="296" t="n">
        <v>350000</v>
      </c>
      <c r="Q21" s="296" t="n">
        <v>700000</v>
      </c>
      <c r="R21" s="296" t="n">
        <v>1050000</v>
      </c>
      <c r="S21" s="296" t="n">
        <v>168000</v>
      </c>
      <c r="T21" s="296" t="n">
        <v>1218000</v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idden="1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 t="n">
        <v>120000</v>
      </c>
      <c r="K22" s="291" t="n">
        <v>120000</v>
      </c>
      <c r="L22" s="291" t="n">
        <v>360000</v>
      </c>
      <c r="M22" s="291" t="n">
        <v>57600</v>
      </c>
      <c r="N22" s="291" t="n">
        <v>417600</v>
      </c>
      <c r="O22" s="296" t="n">
        <v>350000</v>
      </c>
      <c r="P22" s="296" t="n">
        <v>350000</v>
      </c>
      <c r="Q22" s="296" t="n">
        <v>700000</v>
      </c>
      <c r="R22" s="296" t="n">
        <v>1050000</v>
      </c>
      <c r="S22" s="296" t="n">
        <v>168000</v>
      </c>
      <c r="T22" s="296" t="n">
        <v>1218000</v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idden="1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 t="n">
        <v>120000</v>
      </c>
      <c r="K23" s="291" t="n">
        <v>120000</v>
      </c>
      <c r="L23" s="291" t="n">
        <v>360000</v>
      </c>
      <c r="M23" s="291" t="n">
        <v>57600</v>
      </c>
      <c r="N23" s="291" t="n">
        <v>417600</v>
      </c>
      <c r="O23" s="296" t="n">
        <v>350000</v>
      </c>
      <c r="P23" s="296" t="n">
        <v>350000</v>
      </c>
      <c r="Q23" s="296" t="n">
        <v>700000</v>
      </c>
      <c r="R23" s="296" t="n">
        <v>1050000</v>
      </c>
      <c r="S23" s="296" t="n">
        <v>168000</v>
      </c>
      <c r="T23" s="296" t="n">
        <v>1218000</v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idden="1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 t="n">
        <v>200000</v>
      </c>
      <c r="K24" s="291" t="n">
        <v>200000</v>
      </c>
      <c r="L24" s="291" t="n">
        <v>600000</v>
      </c>
      <c r="M24" s="291" t="n">
        <v>96000</v>
      </c>
      <c r="N24" s="291" t="n">
        <v>696000</v>
      </c>
      <c r="O24" s="296" t="n">
        <v>500000</v>
      </c>
      <c r="P24" s="296" t="n">
        <v>500000</v>
      </c>
      <c r="Q24" s="296" t="n">
        <v>1000000</v>
      </c>
      <c r="R24" s="296" t="n">
        <v>1500000</v>
      </c>
      <c r="S24" s="296" t="n">
        <v>240000</v>
      </c>
      <c r="T24" s="296" t="n">
        <v>1740000</v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idden="1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 t="n">
        <v>200000</v>
      </c>
      <c r="K25" s="291" t="n">
        <v>200000</v>
      </c>
      <c r="L25" s="291" t="n">
        <v>600000</v>
      </c>
      <c r="M25" s="291" t="n">
        <v>96000</v>
      </c>
      <c r="N25" s="291" t="n">
        <v>696000</v>
      </c>
      <c r="O25" s="296" t="n">
        <v>420000</v>
      </c>
      <c r="P25" s="296" t="n">
        <v>420000</v>
      </c>
      <c r="Q25" s="296" t="n">
        <v>840000</v>
      </c>
      <c r="R25" s="296" t="n">
        <v>1260000</v>
      </c>
      <c r="S25" s="296" t="n">
        <v>201600</v>
      </c>
      <c r="T25" s="296" t="n">
        <v>1461600</v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idden="1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 t="n">
        <v>200000</v>
      </c>
      <c r="K26" s="291" t="n">
        <v>200000</v>
      </c>
      <c r="L26" s="291" t="n">
        <v>600000</v>
      </c>
      <c r="M26" s="291" t="n">
        <v>96000</v>
      </c>
      <c r="N26" s="291" t="n">
        <v>696000</v>
      </c>
      <c r="O26" s="296" t="n">
        <v>420000</v>
      </c>
      <c r="P26" s="296" t="n">
        <v>420000</v>
      </c>
      <c r="Q26" s="296" t="n">
        <v>840000</v>
      </c>
      <c r="R26" s="296" t="n">
        <v>1260000</v>
      </c>
      <c r="S26" s="296" t="n">
        <v>201600</v>
      </c>
      <c r="T26" s="296" t="n">
        <v>1461600</v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idden="1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 t="n">
        <v>75000</v>
      </c>
      <c r="K27" s="291" t="n">
        <v>75000</v>
      </c>
      <c r="L27" s="291" t="n">
        <v>225000</v>
      </c>
      <c r="M27" s="291" t="n">
        <v>36000</v>
      </c>
      <c r="N27" s="291" t="n">
        <v>261000</v>
      </c>
      <c r="O27" s="296" t="n">
        <v>150000</v>
      </c>
      <c r="P27" s="296" t="n">
        <v>150000</v>
      </c>
      <c r="Q27" s="296" t="n">
        <v>300000</v>
      </c>
      <c r="R27" s="296" t="n">
        <v>450000</v>
      </c>
      <c r="S27" s="296" t="n">
        <v>72000</v>
      </c>
      <c r="T27" s="296" t="n">
        <v>522000</v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idden="1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 t="n">
        <v>50000</v>
      </c>
      <c r="K28" s="291" t="n">
        <v>50000</v>
      </c>
      <c r="L28" s="291" t="n">
        <v>150000</v>
      </c>
      <c r="M28" s="291" t="n">
        <v>24000</v>
      </c>
      <c r="N28" s="291" t="n">
        <v>174000</v>
      </c>
      <c r="O28" s="296" t="n">
        <v>150000</v>
      </c>
      <c r="P28" s="296" t="n">
        <v>150000</v>
      </c>
      <c r="Q28" s="296" t="n">
        <v>300000</v>
      </c>
      <c r="R28" s="296" t="n">
        <v>450000</v>
      </c>
      <c r="S28" s="296" t="n">
        <v>72000</v>
      </c>
      <c r="T28" s="296" t="n">
        <v>522000</v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idden="1" ht="28.2" customFormat="1" customHeight="1" s="29">
      <c r="A29" s="86" t="n">
        <v>32</v>
      </c>
      <c r="B29" s="68" t="inlineStr">
        <is>
          <t>CDMX</t>
        </is>
      </c>
      <c r="C29" s="72" t="inlineStr">
        <is>
          <t>Sistema de fotocoagulación láser con estación de trabajo, marca OD-OS, modelo Navilas</t>
        </is>
      </c>
      <c r="D29" s="73" t="inlineStr">
        <is>
          <t>158000-3215</t>
        </is>
      </c>
      <c r="E29" s="72" t="inlineStr">
        <is>
          <t>H.M.E.O. Constituyentes</t>
        </is>
      </c>
      <c r="F29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176000</v>
      </c>
      <c r="J29" s="291" t="n">
        <v>176000</v>
      </c>
      <c r="K29" s="291" t="n">
        <v>176000</v>
      </c>
      <c r="L29" s="291" t="n">
        <v>528000</v>
      </c>
      <c r="M29" s="291" t="n">
        <v>84480</v>
      </c>
      <c r="N29" s="291" t="n">
        <v>612480</v>
      </c>
      <c r="O29" s="296" t="n">
        <v>330000</v>
      </c>
      <c r="P29" s="296" t="n">
        <v>330000</v>
      </c>
      <c r="Q29" s="296" t="n">
        <v>660000</v>
      </c>
      <c r="R29" s="296" t="n">
        <v>990000</v>
      </c>
      <c r="S29" s="296" t="n">
        <v>158400</v>
      </c>
      <c r="T29" s="296" t="n">
        <v>1148400</v>
      </c>
      <c r="U29" s="78" t="inlineStr">
        <is>
          <t>OFTALMO</t>
        </is>
      </c>
      <c r="V29" s="82" t="inlineStr">
        <is>
          <t>FARBAC</t>
        </is>
      </c>
      <c r="W29" s="83" t="inlineStr">
        <is>
          <t>ADJUDICADO</t>
        </is>
      </c>
      <c r="X29" s="29" t="inlineStr">
        <is>
          <t>PROYECTADO</t>
        </is>
      </c>
    </row>
    <row r="30" hidden="1" ht="28.2" customFormat="1" customHeight="1" s="29">
      <c r="A30" s="86" t="n">
        <v>33</v>
      </c>
      <c r="B30" s="68" t="inlineStr">
        <is>
          <t>CDMX</t>
        </is>
      </c>
      <c r="C30" s="72" t="inlineStr">
        <is>
          <t>Cámara de campo ultra amplio, marca Natus, modelo RetCam Envision</t>
        </is>
      </c>
      <c r="D30" s="73" t="inlineStr">
        <is>
          <t>RE-0276</t>
        </is>
      </c>
      <c r="E30" s="72" t="inlineStr">
        <is>
          <t>H.M.E.O. Constituyentes</t>
        </is>
      </c>
      <c r="F30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75000</v>
      </c>
      <c r="J30" s="291" t="n">
        <v>75000</v>
      </c>
      <c r="K30" s="291" t="n">
        <v>75000</v>
      </c>
      <c r="L30" s="291" t="n">
        <v>225000</v>
      </c>
      <c r="M30" s="291" t="n">
        <v>36000</v>
      </c>
      <c r="N30" s="291" t="n">
        <v>261000</v>
      </c>
      <c r="O30" s="296" t="n">
        <v>145000</v>
      </c>
      <c r="P30" s="296" t="n">
        <v>145000</v>
      </c>
      <c r="Q30" s="296" t="n">
        <v>290000</v>
      </c>
      <c r="R30" s="296" t="n">
        <v>435000</v>
      </c>
      <c r="S30" s="296" t="n">
        <v>69600</v>
      </c>
      <c r="T30" s="296" t="n">
        <v>504600</v>
      </c>
      <c r="U30" s="78" t="inlineStr">
        <is>
          <t>OFTALMO</t>
        </is>
      </c>
      <c r="V30" s="82" t="inlineStr">
        <is>
          <t>ARFAMEX</t>
        </is>
      </c>
      <c r="W30" s="83" t="inlineStr">
        <is>
          <t>ADJUDICADO</t>
        </is>
      </c>
      <c r="X30" s="29" t="inlineStr">
        <is>
          <t>PROYECTADO</t>
        </is>
      </c>
    </row>
    <row r="31" hidden="1" ht="28.2" customFormat="1" customHeight="1" s="29">
      <c r="A31" s="86" t="n">
        <v>34</v>
      </c>
      <c r="B31" s="68" t="inlineStr">
        <is>
          <t>CDMX</t>
        </is>
      </c>
      <c r="C31" s="72" t="inlineStr">
        <is>
          <t>Láser, marca Quantel Medical, modelo Vitra 810</t>
        </is>
      </c>
      <c r="D31" s="73" t="inlineStr">
        <is>
          <t>574</t>
        </is>
      </c>
      <c r="E31" s="72" t="inlineStr">
        <is>
          <t>H.M.E.O. Constituyentes</t>
        </is>
      </c>
      <c r="F31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60000</v>
      </c>
      <c r="J31" s="291" t="n">
        <v>60000</v>
      </c>
      <c r="K31" s="291" t="n">
        <v>60000</v>
      </c>
      <c r="L31" s="291" t="n">
        <v>180000</v>
      </c>
      <c r="M31" s="291" t="n">
        <v>28800</v>
      </c>
      <c r="N31" s="291" t="n">
        <v>208800</v>
      </c>
      <c r="O31" s="296" t="n">
        <v>175000</v>
      </c>
      <c r="P31" s="296" t="n">
        <v>175000</v>
      </c>
      <c r="Q31" s="296" t="n">
        <v>350000</v>
      </c>
      <c r="R31" s="296" t="n">
        <v>525000</v>
      </c>
      <c r="S31" s="296" t="n">
        <v>84000</v>
      </c>
      <c r="T31" s="296" t="n">
        <v>609000</v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idden="1" ht="28.2" customFormat="1" customHeight="1" s="29">
      <c r="A32" s="86" t="n">
        <v>35</v>
      </c>
      <c r="B32" s="68" t="inlineStr">
        <is>
          <t>CDMX</t>
        </is>
      </c>
      <c r="C32" s="72" t="inlineStr">
        <is>
          <t>Láser, marca Quantel Medical, modelo Vitra 811</t>
        </is>
      </c>
      <c r="D32" s="73" t="inlineStr">
        <is>
          <t>575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 t="n">
        <v>60000</v>
      </c>
      <c r="K32" s="291" t="n">
        <v>60000</v>
      </c>
      <c r="L32" s="291" t="n">
        <v>180000</v>
      </c>
      <c r="M32" s="291" t="n">
        <v>28800</v>
      </c>
      <c r="N32" s="291" t="n">
        <v>208800</v>
      </c>
      <c r="O32" s="296" t="n">
        <v>175000</v>
      </c>
      <c r="P32" s="296" t="n">
        <v>175000</v>
      </c>
      <c r="Q32" s="296" t="n">
        <v>350000</v>
      </c>
      <c r="R32" s="296" t="n">
        <v>525000</v>
      </c>
      <c r="S32" s="296" t="n">
        <v>84000</v>
      </c>
      <c r="T32" s="296" t="n">
        <v>609000</v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idden="1" ht="28.2" customFormat="1" customHeight="1" s="29">
      <c r="A33" s="86" t="n">
        <v>38</v>
      </c>
      <c r="B33" s="68" t="inlineStr">
        <is>
          <t>CDMX</t>
        </is>
      </c>
      <c r="C33" s="72" t="inlineStr">
        <is>
          <t>Retinógrafo portátil de campo amplio para neonatos, marca Visunex Medical Systems, modelo PanoCam</t>
        </is>
      </c>
      <c r="D33" s="68" t="inlineStr">
        <is>
          <t>A237402</t>
        </is>
      </c>
      <c r="E33" s="69" t="inlineStr">
        <is>
          <t>H.M.E.O. Constituyentes</t>
        </is>
      </c>
      <c r="F33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80" t="n">
        <v>2</v>
      </c>
      <c r="I33" s="291" t="n">
        <v>75000</v>
      </c>
      <c r="J33" s="291" t="n">
        <v>75000</v>
      </c>
      <c r="K33" s="291" t="n">
        <v>75000</v>
      </c>
      <c r="L33" s="291" t="n">
        <v>225000</v>
      </c>
      <c r="M33" s="291" t="n">
        <v>36000</v>
      </c>
      <c r="N33" s="291" t="n">
        <v>261000</v>
      </c>
      <c r="O33" s="296" t="n">
        <v>140000</v>
      </c>
      <c r="P33" s="296" t="n">
        <v>140000</v>
      </c>
      <c r="Q33" s="296" t="n">
        <v>280000</v>
      </c>
      <c r="R33" s="296" t="n">
        <v>420000</v>
      </c>
      <c r="S33" s="296" t="n">
        <v>67200</v>
      </c>
      <c r="T33" s="296" t="n">
        <v>487200</v>
      </c>
      <c r="U33" s="78" t="inlineStr">
        <is>
          <t>OFTALMO</t>
        </is>
      </c>
      <c r="V33" s="82" t="inlineStr">
        <is>
          <t>MD</t>
        </is>
      </c>
      <c r="W33" s="83" t="inlineStr">
        <is>
          <t>ADJUDICADO</t>
        </is>
      </c>
      <c r="X33" s="29" t="inlineStr">
        <is>
          <t>PROYECTADO</t>
        </is>
      </c>
    </row>
    <row r="34" hidden="1" ht="28.2" customFormat="1" customHeight="1" s="29">
      <c r="A34" s="86" t="n">
        <v>39</v>
      </c>
      <c r="B34" s="68" t="inlineStr">
        <is>
          <t>CDMX</t>
        </is>
      </c>
      <c r="C34" s="72" t="inlineStr">
        <is>
          <t>Retinógrafo portátil de campo amplio para neonatos, marca Visunex Medical Systems, modelo PanoCam</t>
        </is>
      </c>
      <c r="D34" s="73" t="inlineStr">
        <is>
          <t>A237403</t>
        </is>
      </c>
      <c r="E34" s="72" t="inlineStr">
        <is>
          <t>H.M.E.O. Constituyentes</t>
        </is>
      </c>
      <c r="F34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80" t="n">
        <v>2</v>
      </c>
      <c r="I34" s="291" t="n">
        <v>75000</v>
      </c>
      <c r="J34" s="291" t="n">
        <v>75000</v>
      </c>
      <c r="K34" s="291" t="n">
        <v>75000</v>
      </c>
      <c r="L34" s="291" t="n">
        <v>225000</v>
      </c>
      <c r="M34" s="291" t="n">
        <v>36000</v>
      </c>
      <c r="N34" s="291" t="n">
        <v>261000</v>
      </c>
      <c r="O34" s="296" t="n">
        <v>140000</v>
      </c>
      <c r="P34" s="296" t="n">
        <v>140000</v>
      </c>
      <c r="Q34" s="296" t="n">
        <v>280000</v>
      </c>
      <c r="R34" s="296" t="n">
        <v>420000</v>
      </c>
      <c r="S34" s="296" t="n">
        <v>67200</v>
      </c>
      <c r="T34" s="296" t="n">
        <v>487200</v>
      </c>
      <c r="U34" s="78" t="inlineStr">
        <is>
          <t>OFTALMO</t>
        </is>
      </c>
      <c r="V34" s="82" t="inlineStr">
        <is>
          <t>MD</t>
        </is>
      </c>
      <c r="W34" s="83" t="inlineStr">
        <is>
          <t>ADJUDICADO</t>
        </is>
      </c>
      <c r="X34" s="29" t="inlineStr">
        <is>
          <t>PROYECTADO</t>
        </is>
      </c>
    </row>
    <row r="35" hidden="1" ht="28.2" customFormat="1" customHeight="1" s="29">
      <c r="A35" s="86" t="n">
        <v>40</v>
      </c>
      <c r="B35" s="68" t="inlineStr">
        <is>
          <t>CDMX</t>
        </is>
      </c>
      <c r="C35" s="72" t="inlineStr">
        <is>
          <t>Retinógrafo portátil de campo amplio para neonatos, marca Visunex Medical Systems, modelo PanoCam</t>
        </is>
      </c>
      <c r="D35" s="73" t="inlineStr">
        <is>
          <t>A237401</t>
        </is>
      </c>
      <c r="E35" s="72" t="inlineStr">
        <is>
          <t>H.M.E.O. Constituyentes</t>
        </is>
      </c>
      <c r="F35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80" t="n">
        <v>2</v>
      </c>
      <c r="I35" s="291" t="n">
        <v>75000</v>
      </c>
      <c r="J35" s="291" t="n">
        <v>75000</v>
      </c>
      <c r="K35" s="291" t="n">
        <v>75000</v>
      </c>
      <c r="L35" s="291" t="n">
        <v>225000</v>
      </c>
      <c r="M35" s="291" t="n">
        <v>36000</v>
      </c>
      <c r="N35" s="291" t="n">
        <v>261000</v>
      </c>
      <c r="O35" s="296" t="n">
        <v>140000</v>
      </c>
      <c r="P35" s="296" t="n">
        <v>140000</v>
      </c>
      <c r="Q35" s="296" t="n">
        <v>280000</v>
      </c>
      <c r="R35" s="296" t="n">
        <v>420000</v>
      </c>
      <c r="S35" s="296" t="n">
        <v>67200</v>
      </c>
      <c r="T35" s="296" t="n">
        <v>487200</v>
      </c>
      <c r="U35" s="78" t="inlineStr">
        <is>
          <t>OFTALMO</t>
        </is>
      </c>
      <c r="V35" s="82" t="inlineStr">
        <is>
          <t>MD</t>
        </is>
      </c>
      <c r="W35" s="83" t="inlineStr">
        <is>
          <t>ADJUDICADO</t>
        </is>
      </c>
      <c r="X35" s="29" t="inlineStr">
        <is>
          <t>PROYECTADO</t>
        </is>
      </c>
    </row>
    <row r="36" hidden="1" ht="28.2" customFormat="1" customHeight="1" s="29">
      <c r="A36" s="86" t="n">
        <v>41</v>
      </c>
      <c r="B36" s="68" t="inlineStr">
        <is>
          <t>CDMX</t>
        </is>
      </c>
      <c r="C36" s="72" t="inlineStr">
        <is>
          <t>Microscopio especular, marca TOMEY, modelo EM-4000</t>
        </is>
      </c>
      <c r="D36" s="73" t="inlineStr">
        <is>
          <t>354304</t>
        </is>
      </c>
      <c r="E36" s="72" t="inlineStr">
        <is>
          <t>H.M.E.O. Constituyentes</t>
        </is>
      </c>
      <c r="F36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55000</v>
      </c>
      <c r="J36" s="291" t="n">
        <v>55000</v>
      </c>
      <c r="K36" s="291" t="n">
        <v>55000</v>
      </c>
      <c r="L36" s="291" t="n">
        <v>165000</v>
      </c>
      <c r="M36" s="291" t="n">
        <v>26400</v>
      </c>
      <c r="N36" s="291" t="n">
        <v>191400</v>
      </c>
      <c r="O36" s="296" t="n">
        <v>125000</v>
      </c>
      <c r="P36" s="296" t="n">
        <v>125000</v>
      </c>
      <c r="Q36" s="296" t="n">
        <v>250000</v>
      </c>
      <c r="R36" s="296" t="n">
        <v>375000</v>
      </c>
      <c r="S36" s="296" t="n">
        <v>60000</v>
      </c>
      <c r="T36" s="296" t="n">
        <v>435000</v>
      </c>
      <c r="U36" s="78" t="inlineStr">
        <is>
          <t>OFTALMO</t>
        </is>
      </c>
      <c r="V36" s="82" t="inlineStr">
        <is>
          <t xml:space="preserve">ALDAI </t>
        </is>
      </c>
      <c r="W36" s="83" t="inlineStr">
        <is>
          <t>ADJUDICADO</t>
        </is>
      </c>
      <c r="X36" s="29" t="inlineStr">
        <is>
          <t>PROYECTADO</t>
        </is>
      </c>
    </row>
    <row r="37" hidden="1" ht="28.2" customFormat="1" customHeight="1" s="29">
      <c r="A37" s="86" t="n">
        <v>42</v>
      </c>
      <c r="B37" s="68" t="inlineStr">
        <is>
          <t>CDMX</t>
        </is>
      </c>
      <c r="C37" s="72" t="inlineStr">
        <is>
          <t>Microscopio especular, marca TOMEY, modelo EM-4001</t>
        </is>
      </c>
      <c r="D37" s="73" t="inlineStr">
        <is>
          <t>349103</t>
        </is>
      </c>
      <c r="E37" s="72" t="inlineStr">
        <is>
          <t>H.M.E.O. Constituyentes</t>
        </is>
      </c>
      <c r="F37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55000</v>
      </c>
      <c r="J37" s="291" t="n">
        <v>55000</v>
      </c>
      <c r="K37" s="291" t="n">
        <v>55000</v>
      </c>
      <c r="L37" s="291" t="n">
        <v>165000</v>
      </c>
      <c r="M37" s="291" t="n">
        <v>26400</v>
      </c>
      <c r="N37" s="291" t="n">
        <v>191400</v>
      </c>
      <c r="O37" s="296" t="n">
        <v>125000</v>
      </c>
      <c r="P37" s="296" t="n">
        <v>125000</v>
      </c>
      <c r="Q37" s="296" t="n">
        <v>250000</v>
      </c>
      <c r="R37" s="296" t="n">
        <v>375000</v>
      </c>
      <c r="S37" s="296" t="n">
        <v>60000</v>
      </c>
      <c r="T37" s="296" t="n">
        <v>435000</v>
      </c>
      <c r="U37" s="78" t="inlineStr">
        <is>
          <t>OFTALMO</t>
        </is>
      </c>
      <c r="V37" s="82" t="inlineStr">
        <is>
          <t xml:space="preserve">ALDAI </t>
        </is>
      </c>
      <c r="W37" s="83" t="inlineStr">
        <is>
          <t>ADJUDICADO</t>
        </is>
      </c>
      <c r="X37" s="29" t="inlineStr">
        <is>
          <t>PROYECTADO</t>
        </is>
      </c>
    </row>
    <row r="38" hidden="1" ht="28.2" customFormat="1" customHeight="1" s="29">
      <c r="A38" s="86" t="n">
        <v>43</v>
      </c>
      <c r="B38" s="68" t="inlineStr">
        <is>
          <t>CDMX</t>
        </is>
      </c>
      <c r="C38" s="72" t="inlineStr">
        <is>
          <t>Ultrasonido modo A-B, marca TOMEY, modelo UD-800</t>
        </is>
      </c>
      <c r="D38" s="68" t="inlineStr">
        <is>
          <t>366702</t>
        </is>
      </c>
      <c r="E38" s="69" t="inlineStr">
        <is>
          <t>H.M.E.O. Constituyentes</t>
        </is>
      </c>
      <c r="F38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79" t="n">
        <v>2</v>
      </c>
      <c r="I38" s="291" t="n">
        <v>47500</v>
      </c>
      <c r="J38" s="291" t="n">
        <v>47500</v>
      </c>
      <c r="K38" s="291" t="n">
        <v>47500</v>
      </c>
      <c r="L38" s="291" t="n">
        <v>142500</v>
      </c>
      <c r="M38" s="291" t="n">
        <v>22800</v>
      </c>
      <c r="N38" s="291" t="n">
        <v>165300</v>
      </c>
      <c r="O38" s="296" t="n">
        <v>150000</v>
      </c>
      <c r="P38" s="296" t="n">
        <v>150000</v>
      </c>
      <c r="Q38" s="296" t="n">
        <v>300000</v>
      </c>
      <c r="R38" s="296" t="n">
        <v>450000</v>
      </c>
      <c r="S38" s="296" t="n">
        <v>72000</v>
      </c>
      <c r="T38" s="296" t="n">
        <v>522000</v>
      </c>
      <c r="U38" s="78" t="inlineStr">
        <is>
          <t>OFTALMO</t>
        </is>
      </c>
      <c r="V38" s="82" t="inlineStr">
        <is>
          <t xml:space="preserve">ALDAI </t>
        </is>
      </c>
      <c r="W38" s="83" t="inlineStr">
        <is>
          <t>ADJUDICADO</t>
        </is>
      </c>
      <c r="X38" s="29" t="inlineStr">
        <is>
          <t>PROYECTADO</t>
        </is>
      </c>
    </row>
    <row r="39" hidden="1" ht="28.2" customFormat="1" customHeight="1" s="29">
      <c r="A39" s="86" t="n">
        <v>44</v>
      </c>
      <c r="B39" s="68" t="inlineStr">
        <is>
          <t>CDMX</t>
        </is>
      </c>
      <c r="C39" s="72" t="inlineStr">
        <is>
          <t>Ultrasonido modo A-B, marca TOMEY, modelo UD-801</t>
        </is>
      </c>
      <c r="D39" s="73" t="inlineStr">
        <is>
          <t>372404</t>
        </is>
      </c>
      <c r="E39" s="72" t="inlineStr">
        <is>
          <t>H.M.E.O. Constituyentes</t>
        </is>
      </c>
      <c r="F39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79" t="n">
        <v>2</v>
      </c>
      <c r="I39" s="291" t="n">
        <v>47500</v>
      </c>
      <c r="J39" s="291" t="n">
        <v>47500</v>
      </c>
      <c r="K39" s="291" t="n">
        <v>47500</v>
      </c>
      <c r="L39" s="291" t="n">
        <v>142500</v>
      </c>
      <c r="M39" s="291" t="n">
        <v>22800</v>
      </c>
      <c r="N39" s="291" t="n">
        <v>165300</v>
      </c>
      <c r="O39" s="296" t="n">
        <v>150000</v>
      </c>
      <c r="P39" s="296" t="n">
        <v>150000</v>
      </c>
      <c r="Q39" s="296" t="n">
        <v>300000</v>
      </c>
      <c r="R39" s="296" t="n">
        <v>450000</v>
      </c>
      <c r="S39" s="296" t="n">
        <v>72000</v>
      </c>
      <c r="T39" s="296" t="n">
        <v>522000</v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idden="1" ht="28.2" customFormat="1" customHeight="1" s="29">
      <c r="A40" s="86" t="n">
        <v>45</v>
      </c>
      <c r="B40" s="68" t="inlineStr">
        <is>
          <t>CDMX</t>
        </is>
      </c>
      <c r="C40" s="72" t="inlineStr">
        <is>
          <t>Autorrefractómetro, marca SUOER, modelo Ocular Screening SW-800</t>
        </is>
      </c>
      <c r="D40" s="68" t="inlineStr">
        <is>
          <t>BC0013GY1C</t>
        </is>
      </c>
      <c r="E40" s="69" t="inlineStr">
        <is>
          <t>H.M.E.O. Constituyentes</t>
        </is>
      </c>
      <c r="F40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50000</v>
      </c>
      <c r="J40" s="291" t="n">
        <v>50000</v>
      </c>
      <c r="K40" s="291" t="n">
        <v>50000</v>
      </c>
      <c r="L40" s="291" t="n">
        <v>150000</v>
      </c>
      <c r="M40" s="291" t="n">
        <v>24000</v>
      </c>
      <c r="N40" s="291" t="n">
        <v>174000</v>
      </c>
      <c r="O40" s="296" t="n">
        <v>150000</v>
      </c>
      <c r="P40" s="296" t="n">
        <v>150000</v>
      </c>
      <c r="Q40" s="296" t="n">
        <v>300000</v>
      </c>
      <c r="R40" s="296" t="n">
        <v>450000</v>
      </c>
      <c r="S40" s="296" t="n">
        <v>72000</v>
      </c>
      <c r="T40" s="296" t="n">
        <v>522000</v>
      </c>
      <c r="U40" s="78" t="inlineStr">
        <is>
          <t>OFTALMO</t>
        </is>
      </c>
      <c r="V40" s="82" t="inlineStr">
        <is>
          <t>MD</t>
        </is>
      </c>
      <c r="W40" s="83" t="inlineStr">
        <is>
          <t>ADJUDICADO</t>
        </is>
      </c>
      <c r="X40" s="29" t="inlineStr">
        <is>
          <t>PROYECTADO</t>
        </is>
      </c>
    </row>
    <row r="41" hidden="1" ht="28.2" customFormat="1" customHeight="1" s="29">
      <c r="A41" s="86" t="n">
        <v>46</v>
      </c>
      <c r="B41" s="68" t="inlineStr">
        <is>
          <t>CDMX</t>
        </is>
      </c>
      <c r="C41" s="72" t="inlineStr">
        <is>
          <t>Autorrefractómetro, marca SUOER, modelo Ocular Screening SW-800</t>
        </is>
      </c>
      <c r="D41" s="73" t="inlineStr">
        <is>
          <t>BC0007GY1C</t>
        </is>
      </c>
      <c r="E41" s="72" t="inlineStr">
        <is>
          <t>H.M.E.O. Constituyentes</t>
        </is>
      </c>
      <c r="F41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80" t="n">
        <v>2</v>
      </c>
      <c r="I41" s="291" t="n">
        <v>50000</v>
      </c>
      <c r="J41" s="291" t="n">
        <v>50000</v>
      </c>
      <c r="K41" s="291" t="n">
        <v>50000</v>
      </c>
      <c r="L41" s="291" t="n">
        <v>150000</v>
      </c>
      <c r="M41" s="291" t="n">
        <v>24000</v>
      </c>
      <c r="N41" s="291" t="n">
        <v>174000</v>
      </c>
      <c r="O41" s="296" t="n">
        <v>150000</v>
      </c>
      <c r="P41" s="296" t="n">
        <v>150000</v>
      </c>
      <c r="Q41" s="296" t="n">
        <v>300000</v>
      </c>
      <c r="R41" s="296" t="n">
        <v>450000</v>
      </c>
      <c r="S41" s="296" t="n">
        <v>72000</v>
      </c>
      <c r="T41" s="296" t="n">
        <v>522000</v>
      </c>
      <c r="U41" s="78" t="inlineStr">
        <is>
          <t>OFTALMO</t>
        </is>
      </c>
      <c r="V41" s="82" t="inlineStr">
        <is>
          <t>MD</t>
        </is>
      </c>
      <c r="W41" s="83" t="inlineStr">
        <is>
          <t>ADJUDICADO</t>
        </is>
      </c>
      <c r="X41" s="29" t="inlineStr">
        <is>
          <t>PROYECTADO</t>
        </is>
      </c>
    </row>
    <row r="42" hidden="1" ht="28.2" customFormat="1" customHeight="1" s="29">
      <c r="A42" s="86" t="n">
        <v>47</v>
      </c>
      <c r="B42" s="68" t="inlineStr">
        <is>
          <t>CDMX</t>
        </is>
      </c>
      <c r="C42" s="72" t="inlineStr">
        <is>
          <t>Autorrefractómetro, marca SUOER, modelo Ocular Screening SW-800</t>
        </is>
      </c>
      <c r="D42" s="68" t="inlineStr">
        <is>
          <t>BB0042GY1C</t>
        </is>
      </c>
      <c r="E42" s="69" t="inlineStr">
        <is>
          <t>H.M.E.O. Constituyentes</t>
        </is>
      </c>
      <c r="F42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80" t="n">
        <v>2</v>
      </c>
      <c r="I42" s="291" t="n">
        <v>50000</v>
      </c>
      <c r="J42" s="291" t="n">
        <v>50000</v>
      </c>
      <c r="K42" s="291" t="n">
        <v>50000</v>
      </c>
      <c r="L42" s="291" t="n">
        <v>150000</v>
      </c>
      <c r="M42" s="291" t="n">
        <v>24000</v>
      </c>
      <c r="N42" s="291" t="n">
        <v>174000</v>
      </c>
      <c r="O42" s="296" t="n">
        <v>150000</v>
      </c>
      <c r="P42" s="296" t="n">
        <v>150000</v>
      </c>
      <c r="Q42" s="296" t="n">
        <v>300000</v>
      </c>
      <c r="R42" s="296" t="n">
        <v>450000</v>
      </c>
      <c r="S42" s="296" t="n">
        <v>72000</v>
      </c>
      <c r="T42" s="296" t="n">
        <v>522000</v>
      </c>
      <c r="U42" s="78" t="inlineStr">
        <is>
          <t>OFTALMO</t>
        </is>
      </c>
      <c r="V42" s="82" t="inlineStr">
        <is>
          <t>MD</t>
        </is>
      </c>
      <c r="W42" s="83" t="inlineStr">
        <is>
          <t>ADJUDICADO</t>
        </is>
      </c>
      <c r="X42" s="29" t="inlineStr">
        <is>
          <t>PROYECTADO</t>
        </is>
      </c>
    </row>
    <row r="43" hidden="1" ht="28.2" customFormat="1" customHeight="1" s="29">
      <c r="A43" s="86" t="n">
        <v>48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73" t="inlineStr">
        <is>
          <t>BB0043GY1C</t>
        </is>
      </c>
      <c r="E43" s="72" t="inlineStr">
        <is>
          <t>H.M.E.O. Constituyentes</t>
        </is>
      </c>
      <c r="F43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 t="n">
        <v>50000</v>
      </c>
      <c r="K43" s="291" t="n">
        <v>50000</v>
      </c>
      <c r="L43" s="291" t="n">
        <v>150000</v>
      </c>
      <c r="M43" s="291" t="n">
        <v>24000</v>
      </c>
      <c r="N43" s="291" t="n">
        <v>174000</v>
      </c>
      <c r="O43" s="296" t="n">
        <v>150000</v>
      </c>
      <c r="P43" s="296" t="n">
        <v>150000</v>
      </c>
      <c r="Q43" s="296" t="n">
        <v>300000</v>
      </c>
      <c r="R43" s="296" t="n">
        <v>450000</v>
      </c>
      <c r="S43" s="296" t="n">
        <v>72000</v>
      </c>
      <c r="T43" s="296" t="n">
        <v>522000</v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idden="1" ht="28.2" customFormat="1" customHeight="1" s="29">
      <c r="A44" s="86" t="n">
        <v>49</v>
      </c>
      <c r="B44" s="68" t="inlineStr">
        <is>
          <t>CDMX</t>
        </is>
      </c>
      <c r="C44" s="72" t="inlineStr">
        <is>
          <t>Autoqueratorrefractor, marca Nidek, modelo ARK-F</t>
        </is>
      </c>
      <c r="D44" s="73" t="inlineStr">
        <is>
          <t>270021</t>
        </is>
      </c>
      <c r="E44" s="72" t="inlineStr">
        <is>
          <t>H.M.E.O. Constituyentes</t>
        </is>
      </c>
      <c r="F44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15000</v>
      </c>
      <c r="J44" s="291" t="n">
        <v>15000</v>
      </c>
      <c r="K44" s="291" t="n">
        <v>15000</v>
      </c>
      <c r="L44" s="291" t="n">
        <v>45000</v>
      </c>
      <c r="M44" s="291" t="n">
        <v>7200</v>
      </c>
      <c r="N44" s="291" t="n">
        <v>52200</v>
      </c>
      <c r="O44" s="296" t="n">
        <v>120000</v>
      </c>
      <c r="P44" s="296" t="n">
        <v>120000</v>
      </c>
      <c r="Q44" s="296" t="n">
        <v>240000</v>
      </c>
      <c r="R44" s="296" t="n">
        <v>360000</v>
      </c>
      <c r="S44" s="296" t="n">
        <v>57600</v>
      </c>
      <c r="T44" s="296" t="n">
        <v>417600</v>
      </c>
      <c r="U44" s="78" t="inlineStr">
        <is>
          <t>OFTALMO</t>
        </is>
      </c>
      <c r="V44" s="82" t="inlineStr">
        <is>
          <t>S4</t>
        </is>
      </c>
      <c r="W44" s="83" t="inlineStr">
        <is>
          <t>ADJUDICADO</t>
        </is>
      </c>
      <c r="X44" s="29" t="inlineStr">
        <is>
          <t>PROYECTADO</t>
        </is>
      </c>
    </row>
    <row r="45" hidden="1" ht="28.2" customFormat="1" customHeight="1" s="29">
      <c r="A45" s="86" t="n">
        <v>50</v>
      </c>
      <c r="B45" s="68" t="inlineStr">
        <is>
          <t>CDMX</t>
        </is>
      </c>
      <c r="C45" s="72" t="inlineStr">
        <is>
          <t>Autoqueratorrefractor, marca Nidek, modelo ARK-F</t>
        </is>
      </c>
      <c r="D45" s="68" t="inlineStr">
        <is>
          <t>270029</t>
        </is>
      </c>
      <c r="E45" s="69" t="inlineStr">
        <is>
          <t>H.M.E.O. Constituyentes</t>
        </is>
      </c>
      <c r="F45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15000</v>
      </c>
      <c r="J45" s="291" t="n">
        <v>15000</v>
      </c>
      <c r="K45" s="291" t="n">
        <v>15000</v>
      </c>
      <c r="L45" s="291" t="n">
        <v>45000</v>
      </c>
      <c r="M45" s="291" t="n">
        <v>7200</v>
      </c>
      <c r="N45" s="291" t="n">
        <v>52200</v>
      </c>
      <c r="O45" s="296" t="n">
        <v>120000</v>
      </c>
      <c r="P45" s="296" t="n">
        <v>120000</v>
      </c>
      <c r="Q45" s="296" t="n">
        <v>240000</v>
      </c>
      <c r="R45" s="296" t="n">
        <v>360000</v>
      </c>
      <c r="S45" s="296" t="n">
        <v>57600</v>
      </c>
      <c r="T45" s="296" t="n">
        <v>417600</v>
      </c>
      <c r="U45" s="78" t="inlineStr">
        <is>
          <t>OFTALMO</t>
        </is>
      </c>
      <c r="V45" s="82" t="inlineStr">
        <is>
          <t>S4</t>
        </is>
      </c>
      <c r="W45" s="83" t="inlineStr">
        <is>
          <t>ADJUDICADO</t>
        </is>
      </c>
      <c r="X45" s="29" t="inlineStr">
        <is>
          <t>PROYECTADO</t>
        </is>
      </c>
    </row>
    <row r="46" hidden="1" ht="28.2" customFormat="1" customHeight="1" s="29">
      <c r="A46" s="86" t="n">
        <v>51</v>
      </c>
      <c r="B46" s="68" t="inlineStr">
        <is>
          <t>CDMX</t>
        </is>
      </c>
      <c r="C46" s="72" t="inlineStr">
        <is>
          <t>Autoqueratorrefractor, marca Nidek, modelo ARK-F</t>
        </is>
      </c>
      <c r="D46" s="73" t="inlineStr">
        <is>
          <t>270031</t>
        </is>
      </c>
      <c r="E46" s="72" t="inlineStr">
        <is>
          <t>H.M.E.O. Constituyentes</t>
        </is>
      </c>
      <c r="F46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15000</v>
      </c>
      <c r="J46" s="291" t="n">
        <v>15000</v>
      </c>
      <c r="K46" s="291" t="n">
        <v>15000</v>
      </c>
      <c r="L46" s="291" t="n">
        <v>45000</v>
      </c>
      <c r="M46" s="291" t="n">
        <v>7200</v>
      </c>
      <c r="N46" s="291" t="n">
        <v>52200</v>
      </c>
      <c r="O46" s="296" t="n">
        <v>120000</v>
      </c>
      <c r="P46" s="296" t="n">
        <v>120000</v>
      </c>
      <c r="Q46" s="296" t="n">
        <v>240000</v>
      </c>
      <c r="R46" s="296" t="n">
        <v>360000</v>
      </c>
      <c r="S46" s="296" t="n">
        <v>57600</v>
      </c>
      <c r="T46" s="296" t="n">
        <v>417600</v>
      </c>
      <c r="U46" s="78" t="inlineStr">
        <is>
          <t>OFTALMO</t>
        </is>
      </c>
      <c r="V46" s="82" t="inlineStr">
        <is>
          <t>S4</t>
        </is>
      </c>
      <c r="W46" s="83" t="inlineStr">
        <is>
          <t>ADJUDICADO</t>
        </is>
      </c>
      <c r="X46" s="29" t="inlineStr">
        <is>
          <t>PROYECTADO</t>
        </is>
      </c>
    </row>
    <row r="47" hidden="1" ht="28.2" customFormat="1" customHeight="1" s="29">
      <c r="A47" s="86" t="n">
        <v>52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270032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 t="n">
        <v>15000</v>
      </c>
      <c r="K47" s="291" t="n">
        <v>15000</v>
      </c>
      <c r="L47" s="291" t="n">
        <v>45000</v>
      </c>
      <c r="M47" s="291" t="n">
        <v>7200</v>
      </c>
      <c r="N47" s="291" t="n">
        <v>52200</v>
      </c>
      <c r="O47" s="296" t="n">
        <v>120000</v>
      </c>
      <c r="P47" s="296" t="n">
        <v>120000</v>
      </c>
      <c r="Q47" s="296" t="n">
        <v>240000</v>
      </c>
      <c r="R47" s="296" t="n">
        <v>360000</v>
      </c>
      <c r="S47" s="296" t="n">
        <v>57600</v>
      </c>
      <c r="T47" s="296" t="n">
        <v>417600</v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idden="1" ht="28.2" customFormat="1" customHeight="1" s="29">
      <c r="A48" s="86" t="n">
        <v>53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270023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 t="n">
        <v>15000</v>
      </c>
      <c r="K48" s="291" t="n">
        <v>15000</v>
      </c>
      <c r="L48" s="291" t="n">
        <v>45000</v>
      </c>
      <c r="M48" s="291" t="n">
        <v>7200</v>
      </c>
      <c r="N48" s="291" t="n">
        <v>52200</v>
      </c>
      <c r="O48" s="296" t="n">
        <v>120000</v>
      </c>
      <c r="P48" s="296" t="n">
        <v>120000</v>
      </c>
      <c r="Q48" s="296" t="n">
        <v>240000</v>
      </c>
      <c r="R48" s="296" t="n">
        <v>360000</v>
      </c>
      <c r="S48" s="296" t="n">
        <v>57600</v>
      </c>
      <c r="T48" s="296" t="n">
        <v>417600</v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idden="1" ht="28.2" customFormat="1" customHeight="1" s="29">
      <c r="A49" s="86" t="n">
        <v>54</v>
      </c>
      <c r="B49" s="68" t="inlineStr">
        <is>
          <t>CDMX</t>
        </is>
      </c>
      <c r="C49" s="72" t="inlineStr">
        <is>
          <t>Autoqueratorrefractor, marca Nidek, modelo ARK-F</t>
        </is>
      </c>
      <c r="D49" s="68" t="inlineStr">
        <is>
          <t>270034</t>
        </is>
      </c>
      <c r="E49" s="69" t="inlineStr">
        <is>
          <t>H.M.E.O. Constituyentes</t>
        </is>
      </c>
      <c r="F49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 t="n">
        <v>15000</v>
      </c>
      <c r="K49" s="291" t="n">
        <v>15000</v>
      </c>
      <c r="L49" s="291" t="n">
        <v>45000</v>
      </c>
      <c r="M49" s="291" t="n">
        <v>7200</v>
      </c>
      <c r="N49" s="291" t="n">
        <v>52200</v>
      </c>
      <c r="O49" s="296" t="n">
        <v>120000</v>
      </c>
      <c r="P49" s="296" t="n">
        <v>120000</v>
      </c>
      <c r="Q49" s="296" t="n">
        <v>240000</v>
      </c>
      <c r="R49" s="296" t="n">
        <v>360000</v>
      </c>
      <c r="S49" s="296" t="n">
        <v>57600</v>
      </c>
      <c r="T49" s="296" t="n">
        <v>417600</v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idden="1" ht="28.2" customFormat="1" customHeight="1" s="29">
      <c r="A50" s="86" t="n">
        <v>55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270035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 t="n">
        <v>15000</v>
      </c>
      <c r="K50" s="291" t="n">
        <v>15000</v>
      </c>
      <c r="L50" s="291" t="n">
        <v>45000</v>
      </c>
      <c r="M50" s="291" t="n">
        <v>7200</v>
      </c>
      <c r="N50" s="291" t="n">
        <v>52200</v>
      </c>
      <c r="O50" s="296" t="n">
        <v>120000</v>
      </c>
      <c r="P50" s="296" t="n">
        <v>120000</v>
      </c>
      <c r="Q50" s="296" t="n">
        <v>240000</v>
      </c>
      <c r="R50" s="296" t="n">
        <v>360000</v>
      </c>
      <c r="S50" s="296" t="n">
        <v>57600</v>
      </c>
      <c r="T50" s="296" t="n">
        <v>417600</v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idden="1" ht="28.2" customFormat="1" customHeight="1" s="29">
      <c r="A51" s="86" t="n">
        <v>56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270036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 t="n">
        <v>15000</v>
      </c>
      <c r="K51" s="291" t="n">
        <v>15000</v>
      </c>
      <c r="L51" s="291" t="n">
        <v>45000</v>
      </c>
      <c r="M51" s="291" t="n">
        <v>7200</v>
      </c>
      <c r="N51" s="291" t="n">
        <v>52200</v>
      </c>
      <c r="O51" s="296" t="n">
        <v>120000</v>
      </c>
      <c r="P51" s="296" t="n">
        <v>120000</v>
      </c>
      <c r="Q51" s="296" t="n">
        <v>240000</v>
      </c>
      <c r="R51" s="296" t="n">
        <v>360000</v>
      </c>
      <c r="S51" s="296" t="n">
        <v>57600</v>
      </c>
      <c r="T51" s="296" t="n">
        <v>417600</v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idden="1" ht="28.2" customFormat="1" customHeight="1" s="29">
      <c r="A52" s="86" t="n">
        <v>57</v>
      </c>
      <c r="B52" s="68" t="inlineStr">
        <is>
          <t>CDMX</t>
        </is>
      </c>
      <c r="C52" s="72" t="inlineStr">
        <is>
          <t>Autoqueratorrefractor, marca Nidek, modelo ARK-F</t>
        </is>
      </c>
      <c r="D52" s="73" t="inlineStr">
        <is>
          <t>270037</t>
        </is>
      </c>
      <c r="E52" s="72" t="inlineStr">
        <is>
          <t>H.M.E.O. Constituyentes</t>
        </is>
      </c>
      <c r="F52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 t="n">
        <v>15000</v>
      </c>
      <c r="K52" s="291" t="n">
        <v>15000</v>
      </c>
      <c r="L52" s="291" t="n">
        <v>45000</v>
      </c>
      <c r="M52" s="291" t="n">
        <v>7200</v>
      </c>
      <c r="N52" s="291" t="n">
        <v>52200</v>
      </c>
      <c r="O52" s="296" t="n">
        <v>120000</v>
      </c>
      <c r="P52" s="296" t="n">
        <v>120000</v>
      </c>
      <c r="Q52" s="296" t="n">
        <v>240000</v>
      </c>
      <c r="R52" s="296" t="n">
        <v>360000</v>
      </c>
      <c r="S52" s="296" t="n">
        <v>57600</v>
      </c>
      <c r="T52" s="296" t="n">
        <v>417600</v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idden="1" ht="28.2" customFormat="1" customHeight="1" s="30">
      <c r="A53" s="86" t="n">
        <v>58</v>
      </c>
      <c r="B53" s="68" t="inlineStr">
        <is>
          <t>CDMX</t>
        </is>
      </c>
      <c r="C53" s="72" t="inlineStr">
        <is>
          <t>Autoqueratorrefractor, marca Nidek, modelo ARK-F</t>
        </is>
      </c>
      <c r="D53" s="68" t="inlineStr">
        <is>
          <t>270038</t>
        </is>
      </c>
      <c r="E53" s="69" t="inlineStr">
        <is>
          <t>H.M.E.O. Constituyentes</t>
        </is>
      </c>
      <c r="F53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 t="n">
        <v>15000</v>
      </c>
      <c r="K53" s="291" t="n">
        <v>15000</v>
      </c>
      <c r="L53" s="291" t="n">
        <v>45000</v>
      </c>
      <c r="M53" s="291" t="n">
        <v>7200</v>
      </c>
      <c r="N53" s="291" t="n">
        <v>52200</v>
      </c>
      <c r="O53" s="296" t="n">
        <v>120000</v>
      </c>
      <c r="P53" s="296" t="n">
        <v>120000</v>
      </c>
      <c r="Q53" s="296" t="n">
        <v>240000</v>
      </c>
      <c r="R53" s="296" t="n">
        <v>360000</v>
      </c>
      <c r="S53" s="296" t="n">
        <v>57600</v>
      </c>
      <c r="T53" s="296" t="n">
        <v>417600</v>
      </c>
      <c r="U53" s="78" t="inlineStr">
        <is>
          <t>OFTALMO</t>
        </is>
      </c>
      <c r="V53" s="84" t="inlineStr">
        <is>
          <t>S4</t>
        </is>
      </c>
      <c r="W53" s="83" t="inlineStr">
        <is>
          <t>ADJUDICADO</t>
        </is>
      </c>
      <c r="X53" s="1" t="inlineStr">
        <is>
          <t>PROYECTADO</t>
        </is>
      </c>
    </row>
    <row r="54" hidden="1" ht="28.2" customHeight="1" s="227">
      <c r="A54" s="86" t="n">
        <v>59</v>
      </c>
      <c r="B54" s="74" t="inlineStr">
        <is>
          <t>CDMX</t>
        </is>
      </c>
      <c r="C54" s="75" t="inlineStr">
        <is>
          <t>Autoqueratorrefractor, marca Nidek, modelo ARK-F</t>
        </is>
      </c>
      <c r="D54" s="74" t="inlineStr">
        <is>
          <t>270033</t>
        </is>
      </c>
      <c r="E54" s="75" t="inlineStr">
        <is>
          <t>H.M.E.O. Constituyentes</t>
        </is>
      </c>
      <c r="F54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 t="n">
        <v>15000</v>
      </c>
      <c r="K54" s="291" t="n">
        <v>15000</v>
      </c>
      <c r="L54" s="291" t="n">
        <v>45000</v>
      </c>
      <c r="M54" s="291" t="n">
        <v>7200</v>
      </c>
      <c r="N54" s="291" t="n">
        <v>52200</v>
      </c>
      <c r="O54" s="296" t="n">
        <v>120000</v>
      </c>
      <c r="P54" s="296" t="n">
        <v>120000</v>
      </c>
      <c r="Q54" s="296" t="n">
        <v>240000</v>
      </c>
      <c r="R54" s="296" t="n">
        <v>360000</v>
      </c>
      <c r="S54" s="296" t="n">
        <v>57600</v>
      </c>
      <c r="T54" s="296" t="n">
        <v>417600</v>
      </c>
      <c r="U54" s="78" t="inlineStr">
        <is>
          <t>OFTALMO</t>
        </is>
      </c>
      <c r="V54" s="81" t="inlineStr">
        <is>
          <t>S4</t>
        </is>
      </c>
      <c r="W54" s="83" t="inlineStr">
        <is>
          <t>ADJUDICADO</t>
        </is>
      </c>
      <c r="X54" s="5" t="inlineStr">
        <is>
          <t>PROYECTADO</t>
        </is>
      </c>
    </row>
    <row r="55" hidden="1" ht="28.2" customHeight="1" s="227">
      <c r="A55" s="86" t="n">
        <v>60</v>
      </c>
      <c r="B55" s="68" t="inlineStr">
        <is>
          <t>CDMX</t>
        </is>
      </c>
      <c r="C55" s="69" t="inlineStr">
        <is>
          <t>Autoqueratorrefractor, marca Nidek, modelo ARK-F</t>
        </is>
      </c>
      <c r="D55" s="68" t="inlineStr">
        <is>
          <t>270025</t>
        </is>
      </c>
      <c r="E55" s="69" t="inlineStr">
        <is>
          <t>H.M.E.O. Constituyentes</t>
        </is>
      </c>
      <c r="F55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 t="n">
        <v>15000</v>
      </c>
      <c r="K55" s="291" t="n">
        <v>15000</v>
      </c>
      <c r="L55" s="291" t="n">
        <v>45000</v>
      </c>
      <c r="M55" s="291" t="n">
        <v>7200</v>
      </c>
      <c r="N55" s="291" t="n">
        <v>52200</v>
      </c>
      <c r="O55" s="296" t="n">
        <v>120000</v>
      </c>
      <c r="P55" s="296" t="n">
        <v>120000</v>
      </c>
      <c r="Q55" s="296" t="n">
        <v>240000</v>
      </c>
      <c r="R55" s="296" t="n">
        <v>360000</v>
      </c>
      <c r="S55" s="296" t="n">
        <v>57600</v>
      </c>
      <c r="T55" s="296" t="n">
        <v>417600</v>
      </c>
      <c r="U55" s="78" t="inlineStr">
        <is>
          <t>OFTALMO</t>
        </is>
      </c>
      <c r="V55" s="81" t="inlineStr">
        <is>
          <t>S4</t>
        </is>
      </c>
      <c r="W55" s="83" t="inlineStr">
        <is>
          <t>ADJUDICADO</t>
        </is>
      </c>
      <c r="X55" s="5" t="inlineStr">
        <is>
          <t>PROYECTADO</t>
        </is>
      </c>
    </row>
    <row r="56" hidden="1" ht="28.2" customHeight="1" s="227">
      <c r="A56" s="86" t="n">
        <v>61</v>
      </c>
      <c r="B56" s="68" t="inlineStr">
        <is>
          <t>CDMX</t>
        </is>
      </c>
      <c r="C56" s="69" t="inlineStr">
        <is>
          <t>Sistema de diagnóstico oftálmico avanzado, marca Nidek, modelo TONOREF III</t>
        </is>
      </c>
      <c r="D56" s="68" t="inlineStr">
        <is>
          <t>170692</t>
        </is>
      </c>
      <c r="E56" s="69" t="inlineStr">
        <is>
          <t>H.M.E.O. Constituyentes</t>
        </is>
      </c>
      <c r="F56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20000</v>
      </c>
      <c r="J56" s="291" t="n">
        <v>20000</v>
      </c>
      <c r="K56" s="291" t="n">
        <v>20000</v>
      </c>
      <c r="L56" s="291" t="n">
        <v>60000</v>
      </c>
      <c r="M56" s="291" t="n">
        <v>9600</v>
      </c>
      <c r="N56" s="291" t="n">
        <v>69600</v>
      </c>
      <c r="O56" s="296" t="n">
        <v>150000</v>
      </c>
      <c r="P56" s="296" t="n">
        <v>150000</v>
      </c>
      <c r="Q56" s="296" t="n">
        <v>300000</v>
      </c>
      <c r="R56" s="296" t="n">
        <v>450000</v>
      </c>
      <c r="S56" s="296" t="n">
        <v>72000</v>
      </c>
      <c r="T56" s="296" t="n">
        <v>522000</v>
      </c>
      <c r="U56" s="78" t="inlineStr">
        <is>
          <t>OFTALMO</t>
        </is>
      </c>
      <c r="V56" s="81" t="inlineStr">
        <is>
          <t>S4</t>
        </is>
      </c>
      <c r="W56" s="83" t="inlineStr">
        <is>
          <t>ADJUDICADO</t>
        </is>
      </c>
      <c r="X56" s="5" t="inlineStr">
        <is>
          <t>PROYECTADO</t>
        </is>
      </c>
    </row>
    <row r="57" hidden="1" ht="28.2" customHeight="1" s="227">
      <c r="A57" s="86" t="n">
        <v>62</v>
      </c>
      <c r="B57" s="68" t="inlineStr">
        <is>
          <t>CDMX</t>
        </is>
      </c>
      <c r="C57" s="69" t="inlineStr">
        <is>
          <t>Sistema de diagnóstico oftálmico avanzado, marca Nidek, modelo TONOREF III</t>
        </is>
      </c>
      <c r="D57" s="68" t="inlineStr">
        <is>
          <t>170696</t>
        </is>
      </c>
      <c r="E57" s="69" t="inlineStr">
        <is>
          <t>H.M.E.O. Constituyentes</t>
        </is>
      </c>
      <c r="F57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20000</v>
      </c>
      <c r="J57" s="291" t="n">
        <v>20000</v>
      </c>
      <c r="K57" s="291" t="n">
        <v>20000</v>
      </c>
      <c r="L57" s="291" t="n">
        <v>60000</v>
      </c>
      <c r="M57" s="291" t="n">
        <v>9600</v>
      </c>
      <c r="N57" s="291" t="n">
        <v>69600</v>
      </c>
      <c r="O57" s="296" t="n">
        <v>150000</v>
      </c>
      <c r="P57" s="296" t="n">
        <v>150000</v>
      </c>
      <c r="Q57" s="296" t="n">
        <v>300000</v>
      </c>
      <c r="R57" s="296" t="n">
        <v>450000</v>
      </c>
      <c r="S57" s="296" t="n">
        <v>72000</v>
      </c>
      <c r="T57" s="296" t="n">
        <v>522000</v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idden="1" ht="28.2" customHeight="1" s="227">
      <c r="A58" s="86" t="n">
        <v>63</v>
      </c>
      <c r="B58" s="68" t="inlineStr">
        <is>
          <t>CDMX</t>
        </is>
      </c>
      <c r="C58" s="69" t="inlineStr">
        <is>
          <t>Sistema de diagnóstico oftálmico avanzado, marca Nidek, modelo TONOREF III</t>
        </is>
      </c>
      <c r="D58" s="68" t="inlineStr">
        <is>
          <t>170711</t>
        </is>
      </c>
      <c r="E58" s="69" t="inlineStr">
        <is>
          <t>H.M.E.O. Constituyentes</t>
        </is>
      </c>
      <c r="F58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20000</v>
      </c>
      <c r="J58" s="291" t="n">
        <v>20000</v>
      </c>
      <c r="K58" s="291" t="n">
        <v>20000</v>
      </c>
      <c r="L58" s="291" t="n">
        <v>60000</v>
      </c>
      <c r="M58" s="291" t="n">
        <v>9600</v>
      </c>
      <c r="N58" s="291" t="n">
        <v>69600</v>
      </c>
      <c r="O58" s="296" t="n">
        <v>150000</v>
      </c>
      <c r="P58" s="296" t="n">
        <v>150000</v>
      </c>
      <c r="Q58" s="296" t="n">
        <v>300000</v>
      </c>
      <c r="R58" s="296" t="n">
        <v>450000</v>
      </c>
      <c r="S58" s="296" t="n">
        <v>72000</v>
      </c>
      <c r="T58" s="296" t="n">
        <v>522000</v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idden="1" ht="28.2" customHeight="1" s="227">
      <c r="A59" s="86" t="n">
        <v>64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170712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 t="n">
        <v>20000</v>
      </c>
      <c r="K59" s="291" t="n">
        <v>20000</v>
      </c>
      <c r="L59" s="291" t="n">
        <v>60000</v>
      </c>
      <c r="M59" s="291" t="n">
        <v>9600</v>
      </c>
      <c r="N59" s="291" t="n">
        <v>69600</v>
      </c>
      <c r="O59" s="296" t="n">
        <v>150000</v>
      </c>
      <c r="P59" s="296" t="n">
        <v>150000</v>
      </c>
      <c r="Q59" s="296" t="n">
        <v>300000</v>
      </c>
      <c r="R59" s="296" t="n">
        <v>450000</v>
      </c>
      <c r="S59" s="296" t="n">
        <v>72000</v>
      </c>
      <c r="T59" s="296" t="n">
        <v>522000</v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idden="1" ht="28.2" customHeight="1" s="227">
      <c r="A60" s="86" t="n">
        <v>65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170715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 t="n">
        <v>20000</v>
      </c>
      <c r="K60" s="291" t="n">
        <v>20000</v>
      </c>
      <c r="L60" s="291" t="n">
        <v>60000</v>
      </c>
      <c r="M60" s="291" t="n">
        <v>9600</v>
      </c>
      <c r="N60" s="291" t="n">
        <v>69600</v>
      </c>
      <c r="O60" s="296" t="n">
        <v>150000</v>
      </c>
      <c r="P60" s="296" t="n">
        <v>150000</v>
      </c>
      <c r="Q60" s="296" t="n">
        <v>300000</v>
      </c>
      <c r="R60" s="296" t="n">
        <v>450000</v>
      </c>
      <c r="S60" s="296" t="n">
        <v>72000</v>
      </c>
      <c r="T60" s="296" t="n">
        <v>522000</v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idden="1" ht="28.2" customHeight="1" s="227">
      <c r="A61" s="86" t="n">
        <v>68</v>
      </c>
      <c r="B61" s="68" t="inlineStr">
        <is>
          <t>CDMX</t>
        </is>
      </c>
      <c r="C61" s="69" t="inlineStr">
        <is>
          <t>Sistema de diagnóstico oftálmico avanzado, marca Nidek, modelo OPD-Scan III</t>
        </is>
      </c>
      <c r="D61" s="68" t="inlineStr">
        <is>
          <t>470112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79" t="n">
        <v>2</v>
      </c>
      <c r="I61" s="291" t="n">
        <v>40000</v>
      </c>
      <c r="J61" s="291" t="n">
        <v>40000</v>
      </c>
      <c r="K61" s="291" t="n">
        <v>40000</v>
      </c>
      <c r="L61" s="291" t="n">
        <v>120000</v>
      </c>
      <c r="M61" s="291" t="n">
        <v>19200</v>
      </c>
      <c r="N61" s="291" t="n">
        <v>139200</v>
      </c>
      <c r="O61" s="296" t="n">
        <v>150000</v>
      </c>
      <c r="P61" s="296" t="n">
        <v>150000</v>
      </c>
      <c r="Q61" s="296" t="n">
        <v>300000</v>
      </c>
      <c r="R61" s="296" t="n">
        <v>450000</v>
      </c>
      <c r="S61" s="296" t="n">
        <v>72000</v>
      </c>
      <c r="T61" s="296" t="n">
        <v>522000</v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idden="1" ht="28.2" customHeight="1" s="227">
      <c r="A62" s="86" t="n">
        <v>69</v>
      </c>
      <c r="B62" s="68" t="inlineStr">
        <is>
          <t>CDMX</t>
        </is>
      </c>
      <c r="C62" s="69" t="inlineStr">
        <is>
          <t>Sistema de diagnóstico oftálmico avanzado, marca Nidek, modelo OPD-Scan III</t>
        </is>
      </c>
      <c r="D62" s="68" t="inlineStr">
        <is>
          <t>470113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79" t="n">
        <v>2</v>
      </c>
      <c r="I62" s="291" t="n">
        <v>40000</v>
      </c>
      <c r="J62" s="291" t="n">
        <v>40000</v>
      </c>
      <c r="K62" s="291" t="n">
        <v>40000</v>
      </c>
      <c r="L62" s="291" t="n">
        <v>120000</v>
      </c>
      <c r="M62" s="291" t="n">
        <v>19200</v>
      </c>
      <c r="N62" s="291" t="n">
        <v>139200</v>
      </c>
      <c r="O62" s="296" t="n">
        <v>150000</v>
      </c>
      <c r="P62" s="296" t="n">
        <v>150000</v>
      </c>
      <c r="Q62" s="296" t="n">
        <v>300000</v>
      </c>
      <c r="R62" s="296" t="n">
        <v>450000</v>
      </c>
      <c r="S62" s="296" t="n">
        <v>72000</v>
      </c>
      <c r="T62" s="296" t="n">
        <v>522000</v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idden="1" ht="28.2" customHeight="1" s="227">
      <c r="A63" s="86" t="n">
        <v>70</v>
      </c>
      <c r="B63" s="68" t="inlineStr">
        <is>
          <t>CDMX</t>
        </is>
      </c>
      <c r="C63" s="69" t="inlineStr">
        <is>
          <t>Plataforma láser oftálmica combinada YAG/SLT, marca Quantel Medical, modelo Optimis Fusion</t>
        </is>
      </c>
      <c r="D63" s="68" t="inlineStr">
        <is>
          <t>62-10-135</t>
        </is>
      </c>
      <c r="E63" s="69" t="inlineStr">
        <is>
          <t>H.M.E.O. Constituyentes</t>
        </is>
      </c>
      <c r="F63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79" t="n">
        <v>2</v>
      </c>
      <c r="I63" s="291" t="n">
        <v>72500</v>
      </c>
      <c r="J63" s="291" t="n">
        <v>72500</v>
      </c>
      <c r="K63" s="291" t="n">
        <v>72500</v>
      </c>
      <c r="L63" s="291" t="n">
        <v>217500</v>
      </c>
      <c r="M63" s="291" t="n">
        <v>34800</v>
      </c>
      <c r="N63" s="291" t="n">
        <v>252300</v>
      </c>
      <c r="O63" s="296" t="n">
        <v>290000</v>
      </c>
      <c r="P63" s="296" t="n">
        <v>290000</v>
      </c>
      <c r="Q63" s="296" t="n">
        <v>580000</v>
      </c>
      <c r="R63" s="296" t="n">
        <v>870000</v>
      </c>
      <c r="S63" s="296" t="n">
        <v>139200</v>
      </c>
      <c r="T63" s="296" t="n">
        <v>1009200</v>
      </c>
      <c r="U63" s="78" t="inlineStr">
        <is>
          <t>OFTALMO</t>
        </is>
      </c>
      <c r="V63" s="81" t="inlineStr">
        <is>
          <t>ARFAMEX</t>
        </is>
      </c>
      <c r="W63" s="83" t="inlineStr">
        <is>
          <t>ADJUDICADO</t>
        </is>
      </c>
      <c r="X63" s="5" t="inlineStr">
        <is>
          <t>PROYECTADO</t>
        </is>
      </c>
    </row>
    <row r="64" hidden="1" ht="28.2" customHeight="1" s="227">
      <c r="A64" s="86" t="n">
        <v>71</v>
      </c>
      <c r="B64" s="68" t="inlineStr">
        <is>
          <t>CDMX</t>
        </is>
      </c>
      <c r="C64" s="69" t="inlineStr">
        <is>
          <t>Láser excimer, marca Alcon, modelo Wavelight</t>
        </is>
      </c>
      <c r="D64" s="68" t="inlineStr">
        <is>
          <t>1016-4-3384</t>
        </is>
      </c>
      <c r="E64" s="69" t="inlineStr">
        <is>
          <t>H.M.E.O. Constituyentes</t>
        </is>
      </c>
      <c r="F64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350000</v>
      </c>
      <c r="J64" s="291" t="n">
        <v>350000</v>
      </c>
      <c r="K64" s="291" t="n">
        <v>350000</v>
      </c>
      <c r="L64" s="291" t="n">
        <v>1050000</v>
      </c>
      <c r="M64" s="291" t="n">
        <v>168000</v>
      </c>
      <c r="N64" s="291" t="n">
        <v>1218000</v>
      </c>
      <c r="O64" s="296" t="n">
        <v>450000</v>
      </c>
      <c r="P64" s="296" t="n">
        <v>450000</v>
      </c>
      <c r="Q64" s="296" t="n">
        <v>900000</v>
      </c>
      <c r="R64" s="296" t="n">
        <v>1350000</v>
      </c>
      <c r="S64" s="296" t="n">
        <v>216000</v>
      </c>
      <c r="T64" s="296" t="n">
        <v>1566000</v>
      </c>
      <c r="U64" s="78" t="inlineStr">
        <is>
          <t>OFTALMO</t>
        </is>
      </c>
      <c r="V64" s="81" t="inlineStr">
        <is>
          <t>ALCON</t>
        </is>
      </c>
      <c r="W64" s="83" t="inlineStr">
        <is>
          <t>ADJUDICADO</t>
        </is>
      </c>
      <c r="X64" s="5" t="inlineStr">
        <is>
          <t>PROYECTADO</t>
        </is>
      </c>
    </row>
    <row r="65" hidden="1" ht="28.2" customFormat="1" customHeight="1" s="267">
      <c r="A65" s="86" t="n">
        <v>72</v>
      </c>
      <c r="B65" s="68" t="inlineStr">
        <is>
          <t>CDMX</t>
        </is>
      </c>
      <c r="C65" s="69" t="inlineStr">
        <is>
          <t>Láser oftálmico, marca Quantel Medical, modelo Easyret</t>
        </is>
      </c>
      <c r="D65" s="68" t="inlineStr">
        <is>
          <t>2209031</t>
        </is>
      </c>
      <c r="E65" s="69" t="inlineStr">
        <is>
          <t>H.M.E.O. Constituyentes</t>
        </is>
      </c>
      <c r="F65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80000</v>
      </c>
      <c r="J65" s="291" t="n">
        <v>80000</v>
      </c>
      <c r="K65" s="291" t="n">
        <v>80000</v>
      </c>
      <c r="L65" s="291" t="n">
        <v>240000</v>
      </c>
      <c r="M65" s="291" t="n">
        <v>38400</v>
      </c>
      <c r="N65" s="291" t="n">
        <v>278400</v>
      </c>
      <c r="O65" s="296" t="n">
        <v>250000</v>
      </c>
      <c r="P65" s="296" t="n">
        <v>250000</v>
      </c>
      <c r="Q65" s="296" t="n">
        <v>500000</v>
      </c>
      <c r="R65" s="296" t="n">
        <v>750000</v>
      </c>
      <c r="S65" s="296" t="n">
        <v>120000</v>
      </c>
      <c r="T65" s="296" t="n">
        <v>870000</v>
      </c>
      <c r="U65" s="78" t="inlineStr">
        <is>
          <t>OFTALMO</t>
        </is>
      </c>
      <c r="V65" s="81" t="inlineStr">
        <is>
          <t>ARFAMEX</t>
        </is>
      </c>
      <c r="W65" s="83" t="inlineStr">
        <is>
          <t>ADJUDICADO</t>
        </is>
      </c>
      <c r="X65" s="267" t="inlineStr">
        <is>
          <t>PROYECTADO</t>
        </is>
      </c>
    </row>
    <row r="66" hidden="1" ht="28.2" customFormat="1" customHeight="1" s="267">
      <c r="A66" s="86" t="n">
        <v>73</v>
      </c>
      <c r="B66" s="68" t="inlineStr">
        <is>
          <t>CDMX</t>
        </is>
      </c>
      <c r="C66" s="69" t="inlineStr">
        <is>
          <t>Láser oftálmico, marca Quantel Medical, modelo Easyret</t>
        </is>
      </c>
      <c r="D66" s="68" t="inlineStr">
        <is>
          <t>2209032</t>
        </is>
      </c>
      <c r="E66" s="69" t="inlineStr">
        <is>
          <t>H.M.E.O. Constituyentes</t>
        </is>
      </c>
      <c r="F66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80000</v>
      </c>
      <c r="J66" s="291" t="n">
        <v>80000</v>
      </c>
      <c r="K66" s="291" t="n">
        <v>80000</v>
      </c>
      <c r="L66" s="291" t="n">
        <v>240000</v>
      </c>
      <c r="M66" s="291" t="n">
        <v>38400</v>
      </c>
      <c r="N66" s="291" t="n">
        <v>278400</v>
      </c>
      <c r="O66" s="296" t="n">
        <v>250000</v>
      </c>
      <c r="P66" s="296" t="n">
        <v>250000</v>
      </c>
      <c r="Q66" s="296" t="n">
        <v>500000</v>
      </c>
      <c r="R66" s="296" t="n">
        <v>750000</v>
      </c>
      <c r="S66" s="296" t="n">
        <v>120000</v>
      </c>
      <c r="T66" s="296" t="n">
        <v>870000</v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267" t="inlineStr">
        <is>
          <t>PROYECTADO</t>
        </is>
      </c>
    </row>
    <row r="67" hidden="1" ht="28.2" customFormat="1" customHeight="1" s="267">
      <c r="A67" s="86" t="n">
        <v>74</v>
      </c>
      <c r="B67" s="68" t="inlineStr">
        <is>
          <t>CDMX</t>
        </is>
      </c>
      <c r="C67" s="69" t="inlineStr">
        <is>
          <t>Equipo para crosslinking ocular, marca KXL, modelo Avedro</t>
        </is>
      </c>
      <c r="D67" s="68" t="inlineStr">
        <is>
          <t>KXL221005</t>
        </is>
      </c>
      <c r="E67" s="69" t="inlineStr">
        <is>
          <t>H.M.E.O. Constituyentes</t>
        </is>
      </c>
      <c r="F67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65000</v>
      </c>
      <c r="J67" s="291" t="n">
        <v>65000</v>
      </c>
      <c r="K67" s="291" t="n">
        <v>65000</v>
      </c>
      <c r="L67" s="291" t="n">
        <v>195000</v>
      </c>
      <c r="M67" s="291" t="n">
        <v>31200</v>
      </c>
      <c r="N67" s="291" t="n">
        <v>226200</v>
      </c>
      <c r="O67" s="296" t="n">
        <v>250000</v>
      </c>
      <c r="P67" s="296" t="n">
        <v>250000</v>
      </c>
      <c r="Q67" s="296" t="n">
        <v>500000</v>
      </c>
      <c r="R67" s="296" t="n">
        <v>750000</v>
      </c>
      <c r="S67" s="296" t="n">
        <v>120000</v>
      </c>
      <c r="T67" s="296" t="n">
        <v>870000</v>
      </c>
      <c r="U67" s="78" t="inlineStr">
        <is>
          <t>OFTALMO</t>
        </is>
      </c>
      <c r="V67" s="81" t="inlineStr">
        <is>
          <t>ARFAMEX</t>
        </is>
      </c>
      <c r="W67" s="83" t="inlineStr">
        <is>
          <t>ADJUDICADO</t>
        </is>
      </c>
      <c r="X67" s="267" t="inlineStr">
        <is>
          <t>PROYECTADO</t>
        </is>
      </c>
    </row>
    <row r="68" hidden="1" ht="28.2" customFormat="1" customHeight="1" s="267">
      <c r="A68" s="86" t="n">
        <v>75</v>
      </c>
      <c r="B68" s="68" t="inlineStr">
        <is>
          <t>CDMX</t>
        </is>
      </c>
      <c r="C68" s="69" t="inlineStr">
        <is>
          <t>OCT con retinógrafo integrado, marca Nidek, modelo Retina Scan DUO-2 (RS-300)</t>
        </is>
      </c>
      <c r="D68" s="68" t="inlineStr">
        <is>
          <t>742223</t>
        </is>
      </c>
      <c r="E68" s="69" t="inlineStr">
        <is>
          <t>H.M.E.O. Constituyentes</t>
        </is>
      </c>
      <c r="F68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2</v>
      </c>
      <c r="H68" s="79" t="n">
        <v>4</v>
      </c>
      <c r="I68" s="291" t="n">
        <v>90000</v>
      </c>
      <c r="J68" s="291" t="n">
        <v>90000</v>
      </c>
      <c r="K68" s="291" t="n">
        <v>90000</v>
      </c>
      <c r="L68" s="291" t="n">
        <v>270000</v>
      </c>
      <c r="M68" s="291" t="n">
        <v>43200</v>
      </c>
      <c r="N68" s="291" t="n">
        <v>313200</v>
      </c>
      <c r="O68" s="296" t="n">
        <v>220000</v>
      </c>
      <c r="P68" s="296" t="n">
        <v>440000</v>
      </c>
      <c r="Q68" s="296" t="n">
        <v>880000</v>
      </c>
      <c r="R68" s="296" t="n">
        <v>1320000</v>
      </c>
      <c r="S68" s="296" t="n">
        <v>211200</v>
      </c>
      <c r="T68" s="296" t="n">
        <v>1531200</v>
      </c>
      <c r="U68" s="78" t="inlineStr">
        <is>
          <t>OFTALMO</t>
        </is>
      </c>
      <c r="V68" s="81" t="inlineStr">
        <is>
          <t>S4</t>
        </is>
      </c>
      <c r="W68" s="83" t="inlineStr">
        <is>
          <t>ADJUDICADO</t>
        </is>
      </c>
      <c r="X68" s="267" t="inlineStr">
        <is>
          <t>PROYECTADO</t>
        </is>
      </c>
    </row>
    <row r="69" hidden="1" ht="28.2" customHeight="1" s="227">
      <c r="A69" s="86" t="n">
        <v>76</v>
      </c>
      <c r="B69" s="68" t="inlineStr">
        <is>
          <t>CDMX</t>
        </is>
      </c>
      <c r="C69" s="69" t="inlineStr">
        <is>
          <t>OCT con retinógrafo integrado, marca Nidek, modelo Retina Scan DUO-2 (RS-300)</t>
        </is>
      </c>
      <c r="D69" s="68" t="inlineStr">
        <is>
          <t>741879</t>
        </is>
      </c>
      <c r="E69" s="69" t="inlineStr">
        <is>
          <t>H.M.E.O. Constituyentes</t>
        </is>
      </c>
      <c r="F69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90000</v>
      </c>
      <c r="J69" s="291" t="n">
        <v>90000</v>
      </c>
      <c r="K69" s="291" t="n">
        <v>90000</v>
      </c>
      <c r="L69" s="291" t="n">
        <v>270000</v>
      </c>
      <c r="M69" s="291" t="n">
        <v>43200</v>
      </c>
      <c r="N69" s="291" t="n">
        <v>313200</v>
      </c>
      <c r="O69" s="296" t="n">
        <v>220000</v>
      </c>
      <c r="P69" s="296" t="n">
        <v>220000</v>
      </c>
      <c r="Q69" s="296" t="n">
        <v>440000</v>
      </c>
      <c r="R69" s="296" t="n">
        <v>660000</v>
      </c>
      <c r="S69" s="296" t="n">
        <v>105600</v>
      </c>
      <c r="T69" s="296" t="n">
        <v>765600</v>
      </c>
      <c r="U69" s="78" t="inlineStr">
        <is>
          <t>OFTALMO</t>
        </is>
      </c>
      <c r="V69" s="81" t="inlineStr">
        <is>
          <t>S4</t>
        </is>
      </c>
      <c r="W69" s="83" t="inlineStr">
        <is>
          <t>ADJUDICADO</t>
        </is>
      </c>
      <c r="X69" s="5" t="inlineStr">
        <is>
          <t>PROYECTADO</t>
        </is>
      </c>
    </row>
    <row r="70" hidden="1" ht="28.2" customFormat="1" customHeight="1" s="267">
      <c r="A70" s="86" t="n">
        <v>77</v>
      </c>
      <c r="B70" s="68" t="inlineStr">
        <is>
          <t>CDMX</t>
        </is>
      </c>
      <c r="C70" s="69" t="inlineStr">
        <is>
          <t>OCT con retinógrafo integrado, marca Nidek, modelo Retina Scan DUO-2 (RS-300)</t>
        </is>
      </c>
      <c r="D70" s="68" t="inlineStr">
        <is>
          <t>742356</t>
        </is>
      </c>
      <c r="E70" s="69" t="inlineStr">
        <is>
          <t>H.M.E.O. Constituyentes</t>
        </is>
      </c>
      <c r="F70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90000</v>
      </c>
      <c r="J70" s="291" t="n">
        <v>90000</v>
      </c>
      <c r="K70" s="291" t="n">
        <v>90000</v>
      </c>
      <c r="L70" s="291" t="n">
        <v>270000</v>
      </c>
      <c r="M70" s="291" t="n">
        <v>43200</v>
      </c>
      <c r="N70" s="291" t="n">
        <v>313200</v>
      </c>
      <c r="O70" s="296" t="n">
        <v>220000</v>
      </c>
      <c r="P70" s="296" t="n">
        <v>220000</v>
      </c>
      <c r="Q70" s="296" t="n">
        <v>440000</v>
      </c>
      <c r="R70" s="296" t="n">
        <v>660000</v>
      </c>
      <c r="S70" s="296" t="n">
        <v>105600</v>
      </c>
      <c r="T70" s="296" t="n">
        <v>765600</v>
      </c>
      <c r="U70" s="78" t="inlineStr">
        <is>
          <t>OFTALMO</t>
        </is>
      </c>
      <c r="V70" s="81" t="inlineStr">
        <is>
          <t>S4</t>
        </is>
      </c>
      <c r="W70" s="83" t="inlineStr">
        <is>
          <t>ADJUDICADO</t>
        </is>
      </c>
      <c r="X70" s="267" t="inlineStr">
        <is>
          <t>PROYECTADO</t>
        </is>
      </c>
    </row>
    <row r="71" hidden="1" ht="28.2" customHeight="1" s="227">
      <c r="A71" s="86" t="n">
        <v>78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741940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 t="n">
        <v>90000</v>
      </c>
      <c r="K71" s="291" t="n">
        <v>90000</v>
      </c>
      <c r="L71" s="291" t="n">
        <v>270000</v>
      </c>
      <c r="M71" s="291" t="n">
        <v>43200</v>
      </c>
      <c r="N71" s="291" t="n">
        <v>313200</v>
      </c>
      <c r="O71" s="296" t="n">
        <v>220000</v>
      </c>
      <c r="P71" s="296" t="n">
        <v>440000</v>
      </c>
      <c r="Q71" s="296" t="n">
        <v>880000</v>
      </c>
      <c r="R71" s="296" t="n">
        <v>1320000</v>
      </c>
      <c r="S71" s="296" t="n">
        <v>211200</v>
      </c>
      <c r="T71" s="296" t="n">
        <v>1531200</v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5" t="inlineStr">
        <is>
          <t>PROYECTADO</t>
        </is>
      </c>
    </row>
    <row r="72" hidden="1" ht="28.2" customHeight="1" s="227">
      <c r="A72" s="86" t="n">
        <v>79</v>
      </c>
      <c r="B72" s="68" t="inlineStr">
        <is>
          <t>CDMX</t>
        </is>
      </c>
      <c r="C72" s="69" t="inlineStr">
        <is>
          <t>Sistema de diagnóstico oftálmico avanzado, marca Heidelberg Engineering, modelo Spectralis</t>
        </is>
      </c>
      <c r="D72" s="68" t="inlineStr">
        <is>
          <t>SPEC-CAM-21931-53610</t>
        </is>
      </c>
      <c r="E72" s="69" t="inlineStr">
        <is>
          <t>H.M.E.O. Constituyentes</t>
        </is>
      </c>
      <c r="F72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2</v>
      </c>
      <c r="H72" s="79" t="n">
        <v>4</v>
      </c>
      <c r="I72" s="291" t="n">
        <v>122850</v>
      </c>
      <c r="J72" s="291" t="n">
        <v>122850</v>
      </c>
      <c r="K72" s="291" t="n">
        <v>122850</v>
      </c>
      <c r="L72" s="291" t="n">
        <v>368550</v>
      </c>
      <c r="M72" s="291" t="n">
        <v>58968</v>
      </c>
      <c r="N72" s="291" t="n">
        <v>427518</v>
      </c>
      <c r="O72" s="296" t="n">
        <v>300000</v>
      </c>
      <c r="P72" s="296" t="n">
        <v>600000</v>
      </c>
      <c r="Q72" s="296" t="n">
        <v>1200000</v>
      </c>
      <c r="R72" s="296" t="n">
        <v>1800000</v>
      </c>
      <c r="S72" s="296" t="n">
        <v>288000</v>
      </c>
      <c r="T72" s="296" t="n">
        <v>2088000</v>
      </c>
      <c r="U72" s="78" t="inlineStr">
        <is>
          <t>OFTALMO</t>
        </is>
      </c>
      <c r="V72" s="81" t="inlineStr">
        <is>
          <t>ARFAMEX</t>
        </is>
      </c>
      <c r="W72" s="83" t="inlineStr">
        <is>
          <t>ADJUDICADO</t>
        </is>
      </c>
      <c r="X72" s="5" t="inlineStr">
        <is>
          <t>PROYECTADO</t>
        </is>
      </c>
    </row>
    <row r="73" hidden="1" ht="28.2" customHeight="1" s="227">
      <c r="A73" s="86" t="n">
        <v>80</v>
      </c>
      <c r="B73" s="68" t="inlineStr">
        <is>
          <t>CDMX</t>
        </is>
      </c>
      <c r="C73" s="69" t="inlineStr">
        <is>
          <t>Sistema de diagnóstico oftálmico avanzado, marca Heidelberg Engineering, modelo Spectralis</t>
        </is>
      </c>
      <c r="D73" s="68" t="inlineStr">
        <is>
          <t>SPEC-CAM-21920-53610</t>
        </is>
      </c>
      <c r="E73" s="69" t="inlineStr">
        <is>
          <t>H.M.E.O. Constituyentes</t>
        </is>
      </c>
      <c r="F73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2</v>
      </c>
      <c r="H73" s="79" t="n">
        <v>4</v>
      </c>
      <c r="I73" s="291" t="n">
        <v>122850</v>
      </c>
      <c r="J73" s="291" t="n">
        <v>122850</v>
      </c>
      <c r="K73" s="291" t="n">
        <v>122850</v>
      </c>
      <c r="L73" s="291" t="n">
        <v>368550</v>
      </c>
      <c r="M73" s="291" t="n">
        <v>58968</v>
      </c>
      <c r="N73" s="291" t="n">
        <v>427518</v>
      </c>
      <c r="O73" s="296" t="n">
        <v>300000</v>
      </c>
      <c r="P73" s="296" t="n">
        <v>600000</v>
      </c>
      <c r="Q73" s="296" t="n">
        <v>1200000</v>
      </c>
      <c r="R73" s="296" t="n">
        <v>1800000</v>
      </c>
      <c r="S73" s="296" t="n">
        <v>288000</v>
      </c>
      <c r="T73" s="296" t="n">
        <v>2088000</v>
      </c>
      <c r="U73" s="78" t="inlineStr">
        <is>
          <t>OFTALMO</t>
        </is>
      </c>
      <c r="V73" s="81" t="inlineStr">
        <is>
          <t>ARFAMEX</t>
        </is>
      </c>
      <c r="W73" s="83" t="inlineStr">
        <is>
          <t>ADJUDICADO</t>
        </is>
      </c>
      <c r="X73" s="5" t="inlineStr">
        <is>
          <t>PROYECTADO</t>
        </is>
      </c>
    </row>
    <row r="74" hidden="1" ht="28.2" customHeight="1" s="227">
      <c r="A74" s="86" t="n">
        <v>81</v>
      </c>
      <c r="B74" s="68" t="inlineStr">
        <is>
          <t>CDMX</t>
        </is>
      </c>
      <c r="C74" s="69" t="inlineStr">
        <is>
          <t>Sistema de diagnóstico oftálmico avanzado, marca Heidelberg Engineering, modelo Spectralis</t>
        </is>
      </c>
      <c r="D74" s="68" t="inlineStr">
        <is>
          <t>SPEC-CAM-21928-53610</t>
        </is>
      </c>
      <c r="E74" s="69" t="inlineStr">
        <is>
          <t>H.M.E.O. Constituyentes</t>
        </is>
      </c>
      <c r="F74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122850</v>
      </c>
      <c r="J74" s="291" t="n">
        <v>122850</v>
      </c>
      <c r="K74" s="291" t="n">
        <v>122850</v>
      </c>
      <c r="L74" s="291" t="n">
        <v>368550</v>
      </c>
      <c r="M74" s="291" t="n">
        <v>58968</v>
      </c>
      <c r="N74" s="291" t="n">
        <v>427518</v>
      </c>
      <c r="O74" s="296" t="n">
        <v>300000</v>
      </c>
      <c r="P74" s="296" t="n">
        <v>600000</v>
      </c>
      <c r="Q74" s="296" t="n">
        <v>1200000</v>
      </c>
      <c r="R74" s="296" t="n">
        <v>1800000</v>
      </c>
      <c r="S74" s="296" t="n">
        <v>288000</v>
      </c>
      <c r="T74" s="296" t="n">
        <v>2088000</v>
      </c>
      <c r="U74" s="78" t="inlineStr">
        <is>
          <t>OFTALMO</t>
        </is>
      </c>
      <c r="V74" s="81" t="inlineStr">
        <is>
          <t>ARFAMEX</t>
        </is>
      </c>
      <c r="W74" s="83" t="inlineStr">
        <is>
          <t>ADJUDICADO</t>
        </is>
      </c>
      <c r="X74" s="5" t="inlineStr">
        <is>
          <t>PROYECTADO</t>
        </is>
      </c>
    </row>
    <row r="75" hidden="1" ht="28.2" customHeight="1" s="227">
      <c r="A75" s="86" t="n">
        <v>82</v>
      </c>
      <c r="B75" s="68" t="inlineStr">
        <is>
          <t>CDMX</t>
        </is>
      </c>
      <c r="C75" s="69" t="inlineStr">
        <is>
          <t>Retinógrafo de campo ultra amplio, marca Optos, modelo California</t>
        </is>
      </c>
      <c r="D75" s="68" t="inlineStr">
        <is>
          <t>41652</t>
        </is>
      </c>
      <c r="E75" s="69" t="inlineStr">
        <is>
          <t>H.M.E.O. Constituyentes</t>
        </is>
      </c>
      <c r="F75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1</v>
      </c>
      <c r="H75" s="79" t="n">
        <v>2</v>
      </c>
      <c r="I75" s="291" t="n">
        <v>100000</v>
      </c>
      <c r="J75" s="291" t="n">
        <v>100000</v>
      </c>
      <c r="K75" s="291" t="n">
        <v>100000</v>
      </c>
      <c r="L75" s="291" t="n">
        <v>300000</v>
      </c>
      <c r="M75" s="291" t="n">
        <v>48000</v>
      </c>
      <c r="N75" s="291" t="n">
        <v>348000</v>
      </c>
      <c r="O75" s="296" t="n">
        <v>220000</v>
      </c>
      <c r="P75" s="296" t="n">
        <v>220000</v>
      </c>
      <c r="Q75" s="296" t="n">
        <v>440000</v>
      </c>
      <c r="R75" s="296" t="n">
        <v>660000</v>
      </c>
      <c r="S75" s="296" t="n">
        <v>105600</v>
      </c>
      <c r="T75" s="296" t="n">
        <v>765600</v>
      </c>
      <c r="U75" s="78" t="inlineStr">
        <is>
          <t>OFTALMO</t>
        </is>
      </c>
      <c r="V75" s="81" t="inlineStr">
        <is>
          <t>DEWIMED</t>
        </is>
      </c>
      <c r="W75" s="83" t="inlineStr">
        <is>
          <t>ADJUDICADO</t>
        </is>
      </c>
      <c r="X75" s="5" t="inlineStr">
        <is>
          <t>PROYECTADO</t>
        </is>
      </c>
    </row>
    <row r="76" hidden="1" ht="28.2" customHeight="1" s="227">
      <c r="A76" s="86" t="n">
        <v>83</v>
      </c>
      <c r="B76" s="68" t="inlineStr">
        <is>
          <t>CDMX</t>
        </is>
      </c>
      <c r="C76" s="69" t="inlineStr">
        <is>
          <t>Retinógrafo de campo ultra amplio, marca Optos, modelo California</t>
        </is>
      </c>
      <c r="D76" s="68" t="inlineStr">
        <is>
          <t>41656</t>
        </is>
      </c>
      <c r="E76" s="69" t="inlineStr">
        <is>
          <t>H.M.E.O. Constituyentes</t>
        </is>
      </c>
      <c r="F76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1</v>
      </c>
      <c r="H76" s="79" t="n">
        <v>2</v>
      </c>
      <c r="I76" s="291" t="n">
        <v>100000</v>
      </c>
      <c r="J76" s="291" t="n">
        <v>100000</v>
      </c>
      <c r="K76" s="291" t="n">
        <v>100000</v>
      </c>
      <c r="L76" s="291" t="n">
        <v>300000</v>
      </c>
      <c r="M76" s="291" t="n">
        <v>48000</v>
      </c>
      <c r="N76" s="291" t="n">
        <v>348000</v>
      </c>
      <c r="O76" s="296" t="n">
        <v>220000</v>
      </c>
      <c r="P76" s="296" t="n">
        <v>220000</v>
      </c>
      <c r="Q76" s="296" t="n">
        <v>440000</v>
      </c>
      <c r="R76" s="296" t="n">
        <v>660000</v>
      </c>
      <c r="S76" s="296" t="n">
        <v>105600</v>
      </c>
      <c r="T76" s="296" t="n">
        <v>765600</v>
      </c>
      <c r="U76" s="78" t="inlineStr">
        <is>
          <t>OFTALMO</t>
        </is>
      </c>
      <c r="V76" s="81" t="inlineStr">
        <is>
          <t>DEWIMED</t>
        </is>
      </c>
      <c r="W76" s="83" t="inlineStr">
        <is>
          <t>ADJUDICADO</t>
        </is>
      </c>
      <c r="X76" s="5" t="inlineStr">
        <is>
          <t>PROYECTADO</t>
        </is>
      </c>
    </row>
    <row r="77" hidden="1" ht="28.2" customHeight="1" s="227">
      <c r="A77" s="86" t="n">
        <v>87</v>
      </c>
      <c r="B77" s="68" t="inlineStr">
        <is>
          <t>EDO DE MEX</t>
        </is>
      </c>
      <c r="C77" s="69" t="inlineStr">
        <is>
          <t>Autoqueratorrefractor, marca Nidek, modelo ARK-F</t>
        </is>
      </c>
      <c r="D77" s="68" t="inlineStr">
        <is>
          <t>270010</t>
        </is>
      </c>
      <c r="E77" s="69" t="inlineStr">
        <is>
          <t>H.M.R. Santa Lucía</t>
        </is>
      </c>
      <c r="F77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1</v>
      </c>
      <c r="H77" s="79" t="n">
        <v>2</v>
      </c>
      <c r="I77" s="291" t="n">
        <v>15000</v>
      </c>
      <c r="J77" s="291" t="n">
        <v>15000</v>
      </c>
      <c r="K77" s="291" t="n">
        <v>15000</v>
      </c>
      <c r="L77" s="291" t="n">
        <v>45000</v>
      </c>
      <c r="M77" s="291" t="n">
        <v>7200</v>
      </c>
      <c r="N77" s="291" t="n">
        <v>52200</v>
      </c>
      <c r="O77" s="296" t="n">
        <v>120000</v>
      </c>
      <c r="P77" s="296" t="n">
        <v>120000</v>
      </c>
      <c r="Q77" s="296" t="n">
        <v>240000</v>
      </c>
      <c r="R77" s="296" t="n">
        <v>360000</v>
      </c>
      <c r="S77" s="296" t="n">
        <v>57600</v>
      </c>
      <c r="T77" s="296" t="n">
        <v>417600</v>
      </c>
      <c r="U77" s="78" t="inlineStr">
        <is>
          <t>OFTALMO</t>
        </is>
      </c>
      <c r="V77" s="81" t="inlineStr">
        <is>
          <t>S4</t>
        </is>
      </c>
      <c r="W77" s="83" t="inlineStr">
        <is>
          <t>ADJUDICADO</t>
        </is>
      </c>
      <c r="X77" s="5" t="inlineStr">
        <is>
          <t>PROYECTADO</t>
        </is>
      </c>
    </row>
    <row r="78" hidden="1" ht="28.2" customHeight="1" s="227">
      <c r="A78" s="86" t="n">
        <v>88</v>
      </c>
      <c r="B78" s="68" t="inlineStr">
        <is>
          <t>EDO DE MEX</t>
        </is>
      </c>
      <c r="C78" s="69" t="inlineStr">
        <is>
          <t>Tomógrafo-topógrafo corneal, marca CSO, modelo Sirius</t>
        </is>
      </c>
      <c r="D78" s="68" t="inlineStr">
        <is>
          <t>21091186</t>
        </is>
      </c>
      <c r="E78" s="69" t="inlineStr">
        <is>
          <t>H.M.R. Santa Lucía</t>
        </is>
      </c>
      <c r="F78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 t="n">
        <v>100000</v>
      </c>
      <c r="K78" s="291" t="n">
        <v>100000</v>
      </c>
      <c r="L78" s="291" t="n">
        <v>300000</v>
      </c>
      <c r="M78" s="291" t="n">
        <v>48000</v>
      </c>
      <c r="N78" s="291" t="n">
        <v>348000</v>
      </c>
      <c r="O78" s="296" t="n">
        <v>175000</v>
      </c>
      <c r="P78" s="296" t="n">
        <v>175000</v>
      </c>
      <c r="Q78" s="296" t="n">
        <v>350000</v>
      </c>
      <c r="R78" s="296" t="n">
        <v>525000</v>
      </c>
      <c r="S78" s="296" t="n">
        <v>84000</v>
      </c>
      <c r="T78" s="296" t="n">
        <v>609000</v>
      </c>
      <c r="U78" s="78" t="inlineStr">
        <is>
          <t>OFTALMO</t>
        </is>
      </c>
      <c r="V78" s="81" t="inlineStr">
        <is>
          <t>S4</t>
        </is>
      </c>
      <c r="W78" s="83" t="inlineStr">
        <is>
          <t>ADJUDICADO</t>
        </is>
      </c>
      <c r="X78" s="5" t="inlineStr">
        <is>
          <t>PROYECTADO</t>
        </is>
      </c>
    </row>
    <row r="79" hidden="1" ht="28.2" customHeight="1" s="227">
      <c r="A79" s="86" t="n">
        <v>94</v>
      </c>
      <c r="B79" s="68" t="inlineStr">
        <is>
          <t>EDO DE MEX</t>
        </is>
      </c>
      <c r="C79" s="69" t="inlineStr">
        <is>
          <t>Fotocoagulador láser, marca Topcon, modelo Pascal Synthesis</t>
        </is>
      </c>
      <c r="D79" s="68" t="inlineStr">
        <is>
          <t>79140219</t>
        </is>
      </c>
      <c r="E79" s="69" t="inlineStr">
        <is>
          <t>H.M.R. Santa Lucía</t>
        </is>
      </c>
      <c r="F79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200000</v>
      </c>
      <c r="J79" s="291" t="n">
        <v>200000</v>
      </c>
      <c r="K79" s="291" t="n">
        <v>200000</v>
      </c>
      <c r="L79" s="291" t="n">
        <v>600000</v>
      </c>
      <c r="M79" s="291" t="n">
        <v>96000</v>
      </c>
      <c r="N79" s="291" t="n">
        <v>696000</v>
      </c>
      <c r="O79" s="296" t="n">
        <v>420000</v>
      </c>
      <c r="P79" s="296" t="n">
        <v>420000</v>
      </c>
      <c r="Q79" s="296" t="n">
        <v>840000</v>
      </c>
      <c r="R79" s="296" t="n">
        <v>1260000</v>
      </c>
      <c r="S79" s="296" t="n">
        <v>201600</v>
      </c>
      <c r="T79" s="296" t="n">
        <v>1461600</v>
      </c>
      <c r="U79" s="78" t="inlineStr">
        <is>
          <t>OFTALMO</t>
        </is>
      </c>
      <c r="V79" s="81" t="inlineStr">
        <is>
          <t>TOPCON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92" t="n">
        <v>99</v>
      </c>
      <c r="B80" s="68" t="inlineStr">
        <is>
          <t>DURANGO</t>
        </is>
      </c>
      <c r="C80" s="69" t="inlineStr">
        <is>
          <t>Rayos X fijo, marca Del Medical, modelo EV 800</t>
        </is>
      </c>
      <c r="D80" s="68" t="inlineStr">
        <is>
          <t>02776-1019-W</t>
        </is>
      </c>
      <c r="E80" s="69" t="inlineStr">
        <is>
          <t>H.M.Z. Cinco de Mayo</t>
        </is>
      </c>
      <c r="F80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150000</v>
      </c>
      <c r="J80" s="291">
        <f>I80</f>
        <v/>
      </c>
      <c r="K80" s="291">
        <f>J80</f>
        <v/>
      </c>
      <c r="L80" s="291">
        <f>I80+J80+K80</f>
        <v/>
      </c>
      <c r="M80" s="291">
        <f>L80*0.16</f>
        <v/>
      </c>
      <c r="N80" s="291">
        <f>L80+M80</f>
        <v/>
      </c>
      <c r="O80" s="296" t="n">
        <v>350000</v>
      </c>
      <c r="P80" s="296" t="n">
        <v>350000</v>
      </c>
      <c r="Q80" s="296" t="n">
        <v>700000</v>
      </c>
      <c r="R80" s="296" t="n">
        <v>1050000</v>
      </c>
      <c r="S80" s="296" t="n">
        <v>168000</v>
      </c>
      <c r="T80" s="296" t="n">
        <v>1218000</v>
      </c>
      <c r="U80" s="78" t="inlineStr">
        <is>
          <t>IMAGEN</t>
        </is>
      </c>
      <c r="V80" s="85" t="n"/>
      <c r="W80" s="103" t="inlineStr">
        <is>
          <t>ADJUDICADO</t>
        </is>
      </c>
      <c r="X80" s="5" t="inlineStr">
        <is>
          <t>NO PROYECTADO</t>
        </is>
      </c>
    </row>
    <row r="81" ht="28.2" customHeight="1" s="227">
      <c r="A81" s="92" t="n">
        <v>107</v>
      </c>
      <c r="B81" s="68" t="inlineStr">
        <is>
          <t>CDMX</t>
        </is>
      </c>
      <c r="C81" s="69" t="inlineStr">
        <is>
          <t>Rayos X móvil, marca Fujifilm, modelo DR-XD 1000</t>
        </is>
      </c>
      <c r="D81" s="68" t="inlineStr">
        <is>
          <t>77250288</t>
        </is>
      </c>
      <c r="E81" s="69" t="inlineStr">
        <is>
          <t>H.C.M. Lomas de Sotelo</t>
        </is>
      </c>
      <c r="F81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I81+J81+K81</f>
        <v/>
      </c>
      <c r="M81" s="291">
        <f>L81*0.16</f>
        <v/>
      </c>
      <c r="N81" s="291">
        <f>L81+M81</f>
        <v/>
      </c>
      <c r="O81" s="296" t="n">
        <v>220000</v>
      </c>
      <c r="P81" s="296" t="n">
        <v>220000</v>
      </c>
      <c r="Q81" s="296" t="n">
        <v>440000</v>
      </c>
      <c r="R81" s="296" t="n">
        <v>660000</v>
      </c>
      <c r="S81" s="296" t="n">
        <v>105600</v>
      </c>
      <c r="T81" s="296" t="n">
        <v>765600</v>
      </c>
      <c r="U81" s="78" t="inlineStr">
        <is>
          <t>IMAGEN</t>
        </is>
      </c>
      <c r="V81" s="85" t="n"/>
      <c r="W81" s="103" t="inlineStr">
        <is>
          <t>ADJUDICADO</t>
        </is>
      </c>
      <c r="X81" s="5" t="inlineStr">
        <is>
          <t>NO PROYECTADO</t>
        </is>
      </c>
    </row>
    <row r="82" ht="28.2" customHeight="1" s="227">
      <c r="A82" s="92" t="n">
        <v>111</v>
      </c>
      <c r="B82" s="68" t="inlineStr">
        <is>
          <t>CDMX</t>
        </is>
      </c>
      <c r="C82" s="69" t="inlineStr">
        <is>
          <t>Rayos X móvil, marca Fujifilm, modelo FDR Go</t>
        </is>
      </c>
      <c r="D82" s="68" t="inlineStr">
        <is>
          <t>566-19888-11</t>
        </is>
      </c>
      <c r="E82" s="69" t="inlineStr">
        <is>
          <t>H.M.E.M. Y N. Lomas de Sotelo</t>
        </is>
      </c>
      <c r="F82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100000</v>
      </c>
      <c r="J82" s="291">
        <f>I82</f>
        <v/>
      </c>
      <c r="K82" s="291">
        <f>J82</f>
        <v/>
      </c>
      <c r="L82" s="291">
        <f>I82+J82+K82</f>
        <v/>
      </c>
      <c r="M82" s="291">
        <f>L82*0.16</f>
        <v/>
      </c>
      <c r="N82" s="291">
        <f>L82+M82</f>
        <v/>
      </c>
      <c r="O82" s="296" t="n">
        <v>210000</v>
      </c>
      <c r="P82" s="296" t="n">
        <v>210000</v>
      </c>
      <c r="Q82" s="296" t="n">
        <v>420000</v>
      </c>
      <c r="R82" s="296" t="n">
        <v>630000</v>
      </c>
      <c r="S82" s="296" t="n">
        <v>100800</v>
      </c>
      <c r="T82" s="296" t="n">
        <v>730800</v>
      </c>
      <c r="U82" s="78" t="inlineStr">
        <is>
          <t>IMAGEN</t>
        </is>
      </c>
      <c r="V82" s="85" t="n"/>
      <c r="W82" s="103" t="inlineStr">
        <is>
          <t>ADJUDICADO</t>
        </is>
      </c>
      <c r="X82" s="5" t="inlineStr">
        <is>
          <t>NO PROYECTADO</t>
        </is>
      </c>
    </row>
    <row r="83" hidden="1" ht="28.2" customHeight="1" s="227">
      <c r="A83" s="86" t="n">
        <v>112</v>
      </c>
      <c r="B83" s="68" t="inlineStr">
        <is>
          <t>CDMX</t>
        </is>
      </c>
      <c r="C83" s="69" t="inlineStr">
        <is>
          <t>Sistema digital de imagen de campo amplio, marca Clarity Medical Systems, modelo RetCam 3</t>
        </is>
      </c>
      <c r="D83" s="68" t="inlineStr">
        <is>
          <t>RC7406</t>
        </is>
      </c>
      <c r="E83" s="69" t="inlineStr">
        <is>
          <t>H.M.E.M. Y N. Lomas de Sotelo</t>
        </is>
      </c>
      <c r="F83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>
        <v>150000</v>
      </c>
      <c r="J83" s="291" t="n">
        <v>150000</v>
      </c>
      <c r="K83" s="291" t="n">
        <v>150000</v>
      </c>
      <c r="L83" s="291" t="n">
        <v>450000</v>
      </c>
      <c r="M83" s="291" t="n">
        <v>72000</v>
      </c>
      <c r="N83" s="291" t="n">
        <v>522000</v>
      </c>
      <c r="O83" s="296" t="n">
        <v>320000</v>
      </c>
      <c r="P83" s="296" t="n">
        <v>320000</v>
      </c>
      <c r="Q83" s="296" t="n">
        <v>640000</v>
      </c>
      <c r="R83" s="296" t="n">
        <v>960000</v>
      </c>
      <c r="S83" s="296" t="n">
        <v>153600</v>
      </c>
      <c r="T83" s="296" t="n">
        <v>1113600</v>
      </c>
      <c r="U83" s="78" t="inlineStr">
        <is>
          <t>OFTALMO</t>
        </is>
      </c>
      <c r="V83" s="85" t="n"/>
      <c r="W83" s="83" t="inlineStr">
        <is>
          <t>ADJUDICADO</t>
        </is>
      </c>
      <c r="X83" s="5" t="inlineStr">
        <is>
          <t>PROYECTADO</t>
        </is>
      </c>
    </row>
    <row r="84" ht="28.2" customHeight="1" s="227">
      <c r="A84" s="92" t="n">
        <v>134</v>
      </c>
      <c r="B84" s="68" t="inlineStr">
        <is>
          <t>VERACRUZ</t>
        </is>
      </c>
      <c r="C84" s="69" t="inlineStr">
        <is>
          <t>Rayos X móvil, marca Fujifilm, modelo FDR Go</t>
        </is>
      </c>
      <c r="D84" s="68" t="inlineStr">
        <is>
          <t>41DBBA14A019</t>
        </is>
      </c>
      <c r="E84" s="69" t="inlineStr">
        <is>
          <t>H.M.R. Tuxpan</t>
        </is>
      </c>
      <c r="F84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>
        <v>70000</v>
      </c>
      <c r="J84" s="291">
        <f>I84</f>
        <v/>
      </c>
      <c r="K84" s="291">
        <f>J84</f>
        <v/>
      </c>
      <c r="L84" s="291">
        <f>I84+J84+K84</f>
        <v/>
      </c>
      <c r="M84" s="291">
        <f>L84*0.16</f>
        <v/>
      </c>
      <c r="N84" s="291">
        <f>L84+M84</f>
        <v/>
      </c>
      <c r="O84" s="296" t="n">
        <v>140000</v>
      </c>
      <c r="P84" s="296" t="n">
        <v>140000</v>
      </c>
      <c r="Q84" s="296" t="n">
        <v>280000</v>
      </c>
      <c r="R84" s="296" t="n">
        <v>420000</v>
      </c>
      <c r="S84" s="296" t="n">
        <v>67200</v>
      </c>
      <c r="T84" s="296" t="n">
        <v>487200</v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140</v>
      </c>
      <c r="B85" s="68" t="inlineStr">
        <is>
          <t>CHIAPAS</t>
        </is>
      </c>
      <c r="C85" s="69" t="inlineStr">
        <is>
          <t>Rayos X móvil, marca Fujifilm, modelo FDR Go</t>
        </is>
      </c>
      <c r="D85" s="68" t="inlineStr">
        <is>
          <t>41DBBA146046</t>
        </is>
      </c>
      <c r="E85" s="69" t="inlineStr">
        <is>
          <t>H.M.R. Tuxtla Gutiérrez</t>
        </is>
      </c>
      <c r="F85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>
        <v>100000</v>
      </c>
      <c r="J85" s="291">
        <f>I85</f>
        <v/>
      </c>
      <c r="K85" s="291">
        <f>J85</f>
        <v/>
      </c>
      <c r="L85" s="291">
        <f>I85+J85+K85</f>
        <v/>
      </c>
      <c r="M85" s="291">
        <f>L85*0.16</f>
        <v/>
      </c>
      <c r="N85" s="291">
        <f>L85+M85</f>
        <v/>
      </c>
      <c r="O85" s="296" t="n">
        <v>230000</v>
      </c>
      <c r="P85" s="296" t="n">
        <v>230000</v>
      </c>
      <c r="Q85" s="296" t="n">
        <v>460000</v>
      </c>
      <c r="R85" s="296" t="n">
        <v>690000</v>
      </c>
      <c r="S85" s="296" t="n">
        <v>110400</v>
      </c>
      <c r="T85" s="296" t="n">
        <v>800400</v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144</v>
      </c>
      <c r="B86" s="68" t="inlineStr">
        <is>
          <t>YUCATAN</t>
        </is>
      </c>
      <c r="C86" s="69" t="inlineStr">
        <is>
          <t>Rayos X móvil, marca Villa Sistemi Medicali, modelo Visitor T30 M-DR</t>
        </is>
      </c>
      <c r="D86" s="68" t="inlineStr">
        <is>
          <t>17091017</t>
        </is>
      </c>
      <c r="E86" s="69" t="inlineStr">
        <is>
          <t>H.M.R.E. Mérida</t>
        </is>
      </c>
      <c r="F86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>
        <v>150000</v>
      </c>
      <c r="J86" s="291">
        <f>I86</f>
        <v/>
      </c>
      <c r="K86" s="291">
        <f>J86</f>
        <v/>
      </c>
      <c r="L86" s="291">
        <f>I86+J86+K86</f>
        <v/>
      </c>
      <c r="M86" s="291">
        <f>L86*0.16</f>
        <v/>
      </c>
      <c r="N86" s="291">
        <f>L86+M86</f>
        <v/>
      </c>
      <c r="O86" s="296" t="n">
        <v>350000</v>
      </c>
      <c r="P86" s="296" t="n">
        <v>350000</v>
      </c>
      <c r="Q86" s="296" t="n">
        <v>700000</v>
      </c>
      <c r="R86" s="296" t="n">
        <v>1050000</v>
      </c>
      <c r="S86" s="296" t="n">
        <v>168000</v>
      </c>
      <c r="T86" s="296" t="n">
        <v>1218000</v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92" t="n">
        <v>145</v>
      </c>
      <c r="B87" s="68" t="inlineStr">
        <is>
          <t>YUCATAN</t>
        </is>
      </c>
      <c r="C87" s="69" t="inlineStr">
        <is>
          <t>Equipo de rayos X móvil, marca Technix, modelo TMS 320</t>
        </is>
      </c>
      <c r="D87" s="68" t="inlineStr">
        <is>
          <t>80-16-103-174</t>
        </is>
      </c>
      <c r="E87" s="69" t="inlineStr">
        <is>
          <t>H.M.R.E. Mérida</t>
        </is>
      </c>
      <c r="F87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100000</v>
      </c>
      <c r="J87" s="291">
        <f>I87</f>
        <v/>
      </c>
      <c r="K87" s="291">
        <f>J87</f>
        <v/>
      </c>
      <c r="L87" s="291">
        <f>I87+J87+K87</f>
        <v/>
      </c>
      <c r="M87" s="291">
        <f>L87*0.16</f>
        <v/>
      </c>
      <c r="N87" s="291">
        <f>L87+M87</f>
        <v/>
      </c>
      <c r="O87" s="296" t="n">
        <v>220000</v>
      </c>
      <c r="P87" s="296" t="n">
        <v>220000</v>
      </c>
      <c r="Q87" s="296" t="n">
        <v>440000</v>
      </c>
      <c r="R87" s="296" t="n">
        <v>660000</v>
      </c>
      <c r="S87" s="296" t="n">
        <v>105600</v>
      </c>
      <c r="T87" s="296" t="n">
        <v>765600</v>
      </c>
      <c r="U87" s="78" t="inlineStr">
        <is>
          <t>IMAGEN</t>
        </is>
      </c>
      <c r="V87" s="85" t="n"/>
      <c r="W87" s="103" t="inlineStr">
        <is>
          <t>ADJUDICADO</t>
        </is>
      </c>
      <c r="X87" s="5" t="inlineStr">
        <is>
          <t>NO PROYECTADO</t>
        </is>
      </c>
    </row>
    <row r="88" ht="28.2" customHeight="1" s="227">
      <c r="A88" s="92" t="n">
        <v>149</v>
      </c>
      <c r="B88" s="68" t="inlineStr">
        <is>
          <t>SAN LUIS POTOSI</t>
        </is>
      </c>
      <c r="C88" s="69" t="inlineStr">
        <is>
          <t>Equipo de rayos X móvil, marca Technix, modelo TMS 320</t>
        </is>
      </c>
      <c r="D88" s="68" t="inlineStr">
        <is>
          <t>80-16-87-158</t>
        </is>
      </c>
      <c r="E88" s="69" t="inlineStr">
        <is>
          <t>H.M.R. San Luis Potosí</t>
        </is>
      </c>
      <c r="F88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>
        <v>100000</v>
      </c>
      <c r="J88" s="291">
        <f>I88</f>
        <v/>
      </c>
      <c r="K88" s="291">
        <f>J88</f>
        <v/>
      </c>
      <c r="L88" s="291">
        <f>I88+J88+K88</f>
        <v/>
      </c>
      <c r="M88" s="291">
        <f>L88*0.16</f>
        <v/>
      </c>
      <c r="N88" s="291">
        <f>L88+M88</f>
        <v/>
      </c>
      <c r="O88" s="296" t="n">
        <v>250000</v>
      </c>
      <c r="P88" s="296" t="n">
        <v>250000</v>
      </c>
      <c r="Q88" s="296" t="n">
        <v>500000</v>
      </c>
      <c r="R88" s="296" t="n">
        <v>750000</v>
      </c>
      <c r="S88" s="296" t="n">
        <v>120000</v>
      </c>
      <c r="T88" s="296" t="n">
        <v>870000</v>
      </c>
      <c r="U88" s="78" t="inlineStr">
        <is>
          <t>IMAGEN</t>
        </is>
      </c>
      <c r="V88" s="85" t="n"/>
      <c r="W88" s="103" t="inlineStr">
        <is>
          <t>ADJUDICADO</t>
        </is>
      </c>
      <c r="X88" s="5" t="inlineStr">
        <is>
          <t>NO PROYECTADO</t>
        </is>
      </c>
    </row>
    <row r="89" ht="28.2" customHeight="1" s="227">
      <c r="A89" s="92" t="n">
        <v>152</v>
      </c>
      <c r="B89" s="68" t="inlineStr">
        <is>
          <t>SINALOA</t>
        </is>
      </c>
      <c r="C89" s="69" t="inlineStr">
        <is>
          <t>Impresora para placas radiográficas, marca Codonics, modelo Horizon Ci</t>
        </is>
      </c>
      <c r="D89" s="68" t="inlineStr">
        <is>
          <t>50C00404C</t>
        </is>
      </c>
      <c r="E89" s="69" t="inlineStr">
        <is>
          <t>H.M.R.E. Mazatlán</t>
        </is>
      </c>
      <c r="F89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>
        <v>150000</v>
      </c>
      <c r="J89" s="291">
        <f>I89</f>
        <v/>
      </c>
      <c r="K89" s="291">
        <f>J89</f>
        <v/>
      </c>
      <c r="L89" s="291">
        <f>I89+J89+K89</f>
        <v/>
      </c>
      <c r="M89" s="291">
        <f>L89*0.16</f>
        <v/>
      </c>
      <c r="N89" s="291">
        <f>L89+M89</f>
        <v/>
      </c>
      <c r="O89" s="296" t="n">
        <v>300000</v>
      </c>
      <c r="P89" s="296" t="n">
        <v>300000</v>
      </c>
      <c r="Q89" s="296" t="n">
        <v>600000</v>
      </c>
      <c r="R89" s="296" t="n">
        <v>900000</v>
      </c>
      <c r="S89" s="296" t="n">
        <v>144000</v>
      </c>
      <c r="T89" s="296" t="n">
        <v>1044000</v>
      </c>
      <c r="U89" s="78" t="inlineStr">
        <is>
          <t>IMAGEN</t>
        </is>
      </c>
      <c r="V89" s="85" t="n"/>
      <c r="W89" s="103" t="inlineStr">
        <is>
          <t>ADJUDICADO</t>
        </is>
      </c>
      <c r="X89" s="5" t="inlineStr">
        <is>
          <t>NO PROYECTADO</t>
        </is>
      </c>
    </row>
    <row r="90" hidden="1" ht="28.2" customHeight="1" s="227">
      <c r="A90" s="86" t="n">
        <v>154</v>
      </c>
      <c r="B90" s="68" t="inlineStr">
        <is>
          <t>SINALOA</t>
        </is>
      </c>
      <c r="C90" s="69" t="inlineStr">
        <is>
          <t>Microscopio para cirugía, marca Haag-Streit Surgical, modelo Moller Wedel</t>
        </is>
      </c>
      <c r="D90" s="68" t="inlineStr">
        <is>
          <t>30155514</t>
        </is>
      </c>
      <c r="E90" s="69" t="inlineStr">
        <is>
          <t>H.M.R.E. Mazatlán</t>
        </is>
      </c>
      <c r="F90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n">
        <v>80000</v>
      </c>
      <c r="J90" s="291" t="n">
        <v>80000</v>
      </c>
      <c r="K90" s="291" t="n">
        <v>80000</v>
      </c>
      <c r="L90" s="291" t="n">
        <v>240000</v>
      </c>
      <c r="M90" s="291" t="n">
        <v>38400</v>
      </c>
      <c r="N90" s="291" t="n">
        <v>278400</v>
      </c>
      <c r="O90" s="296" t="n">
        <v>160000</v>
      </c>
      <c r="P90" s="296" t="n">
        <v>160000</v>
      </c>
      <c r="Q90" s="296" t="n">
        <v>320000</v>
      </c>
      <c r="R90" s="296" t="n">
        <v>480000</v>
      </c>
      <c r="S90" s="296" t="n">
        <v>76800</v>
      </c>
      <c r="T90" s="296" t="n">
        <v>556800</v>
      </c>
      <c r="U90" s="78" t="inlineStr">
        <is>
          <t>OFTALMO</t>
        </is>
      </c>
      <c r="V90" s="81" t="inlineStr">
        <is>
          <t>DEWIMED</t>
        </is>
      </c>
      <c r="W90" s="83" t="inlineStr">
        <is>
          <t>ADJUDICADO</t>
        </is>
      </c>
      <c r="X90" s="5" t="inlineStr">
        <is>
          <t>PROYECTADO</t>
        </is>
      </c>
    </row>
    <row r="91" ht="28.2" customHeight="1" s="227">
      <c r="A91" s="86" t="n">
        <v>156</v>
      </c>
      <c r="B91" s="68" t="inlineStr">
        <is>
          <t>CDMX</t>
        </is>
      </c>
      <c r="C91" s="69" t="inlineStr">
        <is>
          <t>Equipo de rayos X móvil, marca Technix, modelo TMS 320</t>
        </is>
      </c>
      <c r="D91" s="68" t="inlineStr">
        <is>
          <t>80-16-79-150</t>
        </is>
      </c>
      <c r="E91" s="69" t="inlineStr">
        <is>
          <t>H.C.M. Lomas de Sotelo</t>
        </is>
      </c>
      <c r="F91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>
        <v>100000</v>
      </c>
      <c r="J91" s="291">
        <f>I91</f>
        <v/>
      </c>
      <c r="K91" s="291">
        <f>J91</f>
        <v/>
      </c>
      <c r="L91" s="291">
        <f>I91+J91+K91</f>
        <v/>
      </c>
      <c r="M91" s="291">
        <f>L91*0.16</f>
        <v/>
      </c>
      <c r="N91" s="291">
        <f>L91+M91</f>
        <v/>
      </c>
      <c r="O91" s="296" t="n">
        <v>220000</v>
      </c>
      <c r="P91" s="296" t="n">
        <v>220000</v>
      </c>
      <c r="Q91" s="296" t="n">
        <v>440000</v>
      </c>
      <c r="R91" s="296" t="n">
        <v>660000</v>
      </c>
      <c r="S91" s="296" t="n">
        <v>105600</v>
      </c>
      <c r="T91" s="296" t="n">
        <v>765600</v>
      </c>
      <c r="U91" s="78" t="inlineStr">
        <is>
          <t>IMAGEN</t>
        </is>
      </c>
      <c r="V91" s="85" t="n"/>
      <c r="W91" s="83" t="inlineStr">
        <is>
          <t>ADJUDICADO</t>
        </is>
      </c>
      <c r="X91" s="5" t="inlineStr">
        <is>
          <t>PROYECTADO</t>
        </is>
      </c>
    </row>
    <row r="92" hidden="1" ht="28.2" customHeight="1" s="227">
      <c r="A92" s="86" t="n">
        <v>159</v>
      </c>
      <c r="B92" s="68" t="inlineStr">
        <is>
          <t>NUEVO LEON</t>
        </is>
      </c>
      <c r="C92" s="69" t="inlineStr">
        <is>
          <t>Microscopio para cirugía, marca Haag-Streit Surgical, modelo HS Hi-R 700</t>
        </is>
      </c>
      <c r="D92" s="68" t="inlineStr">
        <is>
          <t>1303</t>
        </is>
      </c>
      <c r="E92" s="69" t="inlineStr">
        <is>
          <t>H.M.R.E. Monterrey</t>
        </is>
      </c>
      <c r="F92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>
        <v>80000</v>
      </c>
      <c r="J92" s="291" t="n">
        <v>80000</v>
      </c>
      <c r="K92" s="291" t="n">
        <v>80000</v>
      </c>
      <c r="L92" s="291" t="n">
        <v>240000</v>
      </c>
      <c r="M92" s="291" t="n">
        <v>38400</v>
      </c>
      <c r="N92" s="291" t="n">
        <v>278400</v>
      </c>
      <c r="O92" s="296" t="n">
        <v>160000</v>
      </c>
      <c r="P92" s="296" t="n">
        <v>160000</v>
      </c>
      <c r="Q92" s="296" t="n">
        <v>320000</v>
      </c>
      <c r="R92" s="296" t="n">
        <v>480000</v>
      </c>
      <c r="S92" s="296" t="n">
        <v>76800</v>
      </c>
      <c r="T92" s="296" t="n">
        <v>556800</v>
      </c>
      <c r="U92" s="78" t="inlineStr">
        <is>
          <t>OFTALMO</t>
        </is>
      </c>
      <c r="V92" s="81" t="inlineStr">
        <is>
          <t>DEWIMED</t>
        </is>
      </c>
      <c r="W92" s="83" t="inlineStr">
        <is>
          <t>ADJUDICADO</t>
        </is>
      </c>
      <c r="X92" s="5" t="inlineStr">
        <is>
          <t>PROYECTADO</t>
        </is>
      </c>
    </row>
    <row r="93" ht="28.2" customHeight="1" s="227">
      <c r="A93" s="92" t="n">
        <v>162</v>
      </c>
      <c r="B93" s="68" t="inlineStr">
        <is>
          <t>TAMAULIPAS</t>
        </is>
      </c>
      <c r="C93" s="69" t="inlineStr">
        <is>
          <t>Equipo de rayos X móvil, marca Technix, modelo TMS 320</t>
        </is>
      </c>
      <c r="D93" s="68" t="inlineStr">
        <is>
          <t>80-16-89-160</t>
        </is>
      </c>
      <c r="E93" s="69" t="inlineStr">
        <is>
          <t>H.M.R. Tampico</t>
        </is>
      </c>
      <c r="F93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>
        <v>150000</v>
      </c>
      <c r="J93" s="291">
        <f>I93</f>
        <v/>
      </c>
      <c r="K93" s="291">
        <f>J93</f>
        <v/>
      </c>
      <c r="L93" s="291">
        <f>I93+J93+K93</f>
        <v/>
      </c>
      <c r="M93" s="291">
        <f>L93*0.16</f>
        <v/>
      </c>
      <c r="N93" s="291">
        <f>L93+M93</f>
        <v/>
      </c>
      <c r="O93" s="296" t="n">
        <v>300000</v>
      </c>
      <c r="P93" s="296" t="n">
        <v>300000</v>
      </c>
      <c r="Q93" s="296" t="n">
        <v>600000</v>
      </c>
      <c r="R93" s="296" t="n">
        <v>900000</v>
      </c>
      <c r="S93" s="296" t="n">
        <v>144000</v>
      </c>
      <c r="T93" s="296" t="n">
        <v>1044000</v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163</v>
      </c>
      <c r="B94" s="68" t="inlineStr">
        <is>
          <t>CDMX</t>
        </is>
      </c>
      <c r="C94" s="69" t="inlineStr">
        <is>
          <t>Equipo de rayos X móvil, marca Technix, modelo TMS 320</t>
        </is>
      </c>
      <c r="D94" s="68" t="inlineStr">
        <is>
          <t>80-16-90-161</t>
        </is>
      </c>
      <c r="E94" s="69" t="inlineStr">
        <is>
          <t>H.M.Z. El Vergel, Iztapalapa</t>
        </is>
      </c>
      <c r="F94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>
        <v>100000</v>
      </c>
      <c r="J94" s="291">
        <f>I94</f>
        <v/>
      </c>
      <c r="K94" s="291">
        <f>J94</f>
        <v/>
      </c>
      <c r="L94" s="291">
        <f>I94+J94+K94</f>
        <v/>
      </c>
      <c r="M94" s="291">
        <f>L94*0.16</f>
        <v/>
      </c>
      <c r="N94" s="291">
        <f>L94+M94</f>
        <v/>
      </c>
      <c r="O94" s="296" t="n">
        <v>220000</v>
      </c>
      <c r="P94" s="296" t="n">
        <v>220000</v>
      </c>
      <c r="Q94" s="296" t="n">
        <v>440000</v>
      </c>
      <c r="R94" s="296" t="n">
        <v>660000</v>
      </c>
      <c r="S94" s="296" t="n">
        <v>105600</v>
      </c>
      <c r="T94" s="296" t="n">
        <v>765600</v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164</v>
      </c>
      <c r="B95" s="68" t="inlineStr">
        <is>
          <t>JALISCO</t>
        </is>
      </c>
      <c r="C95" s="69" t="inlineStr">
        <is>
          <t>Equipo de rayos X móvil, marca Technix, modelo TMS 320</t>
        </is>
      </c>
      <c r="D95" s="68" t="inlineStr">
        <is>
          <t>80-16-95-166</t>
        </is>
      </c>
      <c r="E95" s="69" t="inlineStr">
        <is>
          <t>H.M.Z. Zapopan</t>
        </is>
      </c>
      <c r="F95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>
        <v>100000</v>
      </c>
      <c r="J95" s="291">
        <f>I95</f>
        <v/>
      </c>
      <c r="K95" s="291">
        <f>J95</f>
        <v/>
      </c>
      <c r="L95" s="291">
        <f>I95+J95+K95</f>
        <v/>
      </c>
      <c r="M95" s="291">
        <f>L95*0.16</f>
        <v/>
      </c>
      <c r="N95" s="291">
        <f>L95+M95</f>
        <v/>
      </c>
      <c r="O95" s="296" t="n">
        <v>220000</v>
      </c>
      <c r="P95" s="296" t="n">
        <v>220000</v>
      </c>
      <c r="Q95" s="296" t="n">
        <v>440000</v>
      </c>
      <c r="R95" s="296" t="n">
        <v>660000</v>
      </c>
      <c r="S95" s="296" t="n">
        <v>105600</v>
      </c>
      <c r="T95" s="296" t="n">
        <v>765600</v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92" t="n">
        <v>165</v>
      </c>
      <c r="B96" s="68" t="inlineStr">
        <is>
          <t>EDO DE MEX</t>
        </is>
      </c>
      <c r="C96" s="69" t="inlineStr">
        <is>
          <t>Equipo de rayos X móvil, marca Technix, modelo TMS 320</t>
        </is>
      </c>
      <c r="D96" s="68" t="inlineStr">
        <is>
          <t>80-16-105-176</t>
        </is>
      </c>
      <c r="E96" s="69" t="inlineStr">
        <is>
          <t>H.M.Z. Temamatla</t>
        </is>
      </c>
      <c r="F96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100000</v>
      </c>
      <c r="J96" s="291">
        <f>I96</f>
        <v/>
      </c>
      <c r="K96" s="291">
        <f>J96</f>
        <v/>
      </c>
      <c r="L96" s="291">
        <f>I96+J96+K96</f>
        <v/>
      </c>
      <c r="M96" s="291">
        <f>L96*0.16</f>
        <v/>
      </c>
      <c r="N96" s="291">
        <f>L96+M96</f>
        <v/>
      </c>
      <c r="O96" s="296" t="n">
        <v>220000</v>
      </c>
      <c r="P96" s="296" t="n">
        <v>220000</v>
      </c>
      <c r="Q96" s="296" t="n">
        <v>440000</v>
      </c>
      <c r="R96" s="296" t="n">
        <v>660000</v>
      </c>
      <c r="S96" s="296" t="n">
        <v>105600</v>
      </c>
      <c r="T96" s="296" t="n">
        <v>765600</v>
      </c>
      <c r="U96" s="78" t="inlineStr">
        <is>
          <t>IMAGEN</t>
        </is>
      </c>
      <c r="V96" s="85" t="n"/>
      <c r="W96" s="103" t="inlineStr">
        <is>
          <t>ADJUDICADO</t>
        </is>
      </c>
      <c r="X96" s="5" t="inlineStr">
        <is>
          <t>NO PROYECTADO</t>
        </is>
      </c>
    </row>
    <row r="97" ht="28.2" customHeight="1" s="227">
      <c r="A97" s="92" t="n">
        <v>166</v>
      </c>
      <c r="B97" s="68" t="inlineStr">
        <is>
          <t>OAXACA</t>
        </is>
      </c>
      <c r="C97" s="69" t="inlineStr">
        <is>
          <t>Equipo de rayos X móvil, marca Technix, modelo TMS 320</t>
        </is>
      </c>
      <c r="D97" s="68" t="inlineStr">
        <is>
          <t>80-16-104-175</t>
        </is>
      </c>
      <c r="E97" s="69" t="inlineStr">
        <is>
          <t>H.M.Z. Ixcotel</t>
        </is>
      </c>
      <c r="F97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150000</v>
      </c>
      <c r="J97" s="291">
        <f>I97</f>
        <v/>
      </c>
      <c r="K97" s="291">
        <f>J97</f>
        <v/>
      </c>
      <c r="L97" s="291">
        <f>I97+J97+K97</f>
        <v/>
      </c>
      <c r="M97" s="291">
        <f>L97*0.16</f>
        <v/>
      </c>
      <c r="N97" s="291">
        <f>L97+M97</f>
        <v/>
      </c>
      <c r="O97" s="296" t="n">
        <v>300000</v>
      </c>
      <c r="P97" s="296" t="n">
        <v>300000</v>
      </c>
      <c r="Q97" s="296" t="n">
        <v>600000</v>
      </c>
      <c r="R97" s="296" t="n">
        <v>900000</v>
      </c>
      <c r="S97" s="296" t="n">
        <v>144000</v>
      </c>
      <c r="T97" s="296" t="n">
        <v>1044000</v>
      </c>
      <c r="U97" s="78" t="inlineStr">
        <is>
          <t>IMAGEN</t>
        </is>
      </c>
      <c r="V97" s="85" t="n"/>
      <c r="W97" s="103" t="inlineStr">
        <is>
          <t>ADJUDICADO</t>
        </is>
      </c>
      <c r="X97" s="5" t="inlineStr">
        <is>
          <t>NO PROYECTADO</t>
        </is>
      </c>
    </row>
    <row r="98" ht="28.2" customHeight="1" s="227">
      <c r="A98" s="92" t="n">
        <v>167</v>
      </c>
      <c r="B98" s="68" t="inlineStr">
        <is>
          <t>SONORA</t>
        </is>
      </c>
      <c r="C98" s="69" t="inlineStr">
        <is>
          <t>Equipo de rayos X móvil, marca Technix, modelo TMS 320</t>
        </is>
      </c>
      <c r="D98" s="68" t="inlineStr">
        <is>
          <t>80-16-80-151</t>
        </is>
      </c>
      <c r="E98" s="69" t="inlineStr">
        <is>
          <t>H.M.R. Hermosillo</t>
        </is>
      </c>
      <c r="F98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150000</v>
      </c>
      <c r="J98" s="291">
        <f>I98</f>
        <v/>
      </c>
      <c r="K98" s="291">
        <f>J98</f>
        <v/>
      </c>
      <c r="L98" s="291">
        <f>I98+J98+K98</f>
        <v/>
      </c>
      <c r="M98" s="291">
        <f>L98*0.16</f>
        <v/>
      </c>
      <c r="N98" s="291">
        <f>L98+M98</f>
        <v/>
      </c>
      <c r="O98" s="296" t="n">
        <v>300000</v>
      </c>
      <c r="P98" s="296" t="n">
        <v>300000</v>
      </c>
      <c r="Q98" s="296" t="n">
        <v>600000</v>
      </c>
      <c r="R98" s="296" t="n">
        <v>900000</v>
      </c>
      <c r="S98" s="296" t="n">
        <v>144000</v>
      </c>
      <c r="T98" s="296" t="n">
        <v>1044000</v>
      </c>
      <c r="U98" s="78" t="inlineStr">
        <is>
          <t>IMAGEN</t>
        </is>
      </c>
      <c r="V98" s="85" t="n"/>
      <c r="W98" s="103" t="inlineStr">
        <is>
          <t>ADJUDICADO</t>
        </is>
      </c>
      <c r="X98" s="5" t="inlineStr">
        <is>
          <t>NO PROYECTADO</t>
        </is>
      </c>
    </row>
    <row r="99" ht="28.2" customHeight="1" s="227">
      <c r="A99" s="92" t="n">
        <v>168</v>
      </c>
      <c r="B99" s="68" t="inlineStr">
        <is>
          <t>CHIAPAS</t>
        </is>
      </c>
      <c r="C99" s="69" t="inlineStr">
        <is>
          <t>Equipo de rayos X móvil, marca Technix, modelo TMS 320</t>
        </is>
      </c>
      <c r="D99" s="68" t="inlineStr">
        <is>
          <t>80-16-102-173</t>
        </is>
      </c>
      <c r="E99" s="69" t="inlineStr">
        <is>
          <t>H.M.R. Tuxtla Gutiérrez</t>
        </is>
      </c>
      <c r="F99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>
        <v>100000</v>
      </c>
      <c r="J99" s="291">
        <f>I99</f>
        <v/>
      </c>
      <c r="K99" s="291">
        <f>J99</f>
        <v/>
      </c>
      <c r="L99" s="291">
        <f>I99+J99+K99</f>
        <v/>
      </c>
      <c r="M99" s="291">
        <f>L99*0.16</f>
        <v/>
      </c>
      <c r="N99" s="291">
        <f>L99+M99</f>
        <v/>
      </c>
      <c r="O99" s="296" t="n">
        <v>250000</v>
      </c>
      <c r="P99" s="296" t="n">
        <v>250000</v>
      </c>
      <c r="Q99" s="296" t="n">
        <v>500000</v>
      </c>
      <c r="R99" s="296" t="n">
        <v>750000</v>
      </c>
      <c r="S99" s="296" t="n">
        <v>120000</v>
      </c>
      <c r="T99" s="296" t="n">
        <v>870000</v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171</v>
      </c>
      <c r="B100" s="68" t="inlineStr">
        <is>
          <t>MORELOS</t>
        </is>
      </c>
      <c r="C100" s="69" t="inlineStr">
        <is>
          <t>Equipo de rayos X móvil, marca Technix, modelo TMS 320</t>
        </is>
      </c>
      <c r="D100" s="68" t="inlineStr">
        <is>
          <t>80-16-88-159</t>
        </is>
      </c>
      <c r="E100" s="69" t="inlineStr">
        <is>
          <t>H.M.Z. Cuernavaca</t>
        </is>
      </c>
      <c r="F100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>
        <v>100000</v>
      </c>
      <c r="J100" s="291">
        <f>I100</f>
        <v/>
      </c>
      <c r="K100" s="291">
        <f>J100</f>
        <v/>
      </c>
      <c r="L100" s="291">
        <f>I100+J100+K100</f>
        <v/>
      </c>
      <c r="M100" s="291">
        <f>L100*0.16</f>
        <v/>
      </c>
      <c r="N100" s="291">
        <f>L100+M100</f>
        <v/>
      </c>
      <c r="O100" s="296" t="n">
        <v>230000</v>
      </c>
      <c r="P100" s="296" t="n">
        <v>230000</v>
      </c>
      <c r="Q100" s="296" t="n">
        <v>460000</v>
      </c>
      <c r="R100" s="296" t="n">
        <v>690000</v>
      </c>
      <c r="S100" s="296" t="n">
        <v>110400</v>
      </c>
      <c r="T100" s="296" t="n">
        <v>800400</v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172</v>
      </c>
      <c r="B101" s="68" t="inlineStr">
        <is>
          <t>BAJA CALIFORNIA</t>
        </is>
      </c>
      <c r="C101" s="69" t="inlineStr">
        <is>
          <t>Equipo de rayos X móvil, marca Technix, modelo TMS 320</t>
        </is>
      </c>
      <c r="D101" s="68" t="inlineStr">
        <is>
          <t>80-16-83-154</t>
        </is>
      </c>
      <c r="E101" s="69" t="inlineStr">
        <is>
          <t>H.M.Z. Mexicali</t>
        </is>
      </c>
      <c r="F101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>
        <v>150000</v>
      </c>
      <c r="J101" s="291">
        <f>I101</f>
        <v/>
      </c>
      <c r="K101" s="291">
        <f>J101</f>
        <v/>
      </c>
      <c r="L101" s="291">
        <f>I101+J101+K101</f>
        <v/>
      </c>
      <c r="M101" s="291">
        <f>L101*0.16</f>
        <v/>
      </c>
      <c r="N101" s="291">
        <f>L101+M101</f>
        <v/>
      </c>
      <c r="O101" s="296" t="n">
        <v>300000</v>
      </c>
      <c r="P101" s="296" t="n">
        <v>300000</v>
      </c>
      <c r="Q101" s="296" t="n">
        <v>600000</v>
      </c>
      <c r="R101" s="296" t="n">
        <v>900000</v>
      </c>
      <c r="S101" s="296" t="n">
        <v>144000</v>
      </c>
      <c r="T101" s="296" t="n">
        <v>1044000</v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175</v>
      </c>
      <c r="B102" s="68" t="inlineStr">
        <is>
          <t>BAJA CALIFORNIA</t>
        </is>
      </c>
      <c r="C102" s="69" t="inlineStr">
        <is>
          <t>Equipo de rayos X móvil, marca Technix, modelo TMS 320</t>
        </is>
      </c>
      <c r="D102" s="68" t="inlineStr">
        <is>
          <t>80-16-81-152</t>
        </is>
      </c>
      <c r="E102" s="69" t="inlineStr">
        <is>
          <t>H.M.R. El Ciprés</t>
        </is>
      </c>
      <c r="F102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>
        <v>150000</v>
      </c>
      <c r="J102" s="291">
        <f>I102</f>
        <v/>
      </c>
      <c r="K102" s="291">
        <f>J102</f>
        <v/>
      </c>
      <c r="L102" s="291">
        <f>I102+J102+K102</f>
        <v/>
      </c>
      <c r="M102" s="291">
        <f>L102*0.16</f>
        <v/>
      </c>
      <c r="N102" s="291">
        <f>L102+M102</f>
        <v/>
      </c>
      <c r="O102" s="296" t="n">
        <v>300000</v>
      </c>
      <c r="P102" s="296" t="n">
        <v>300000</v>
      </c>
      <c r="Q102" s="296" t="n">
        <v>600000</v>
      </c>
      <c r="R102" s="296" t="n">
        <v>900000</v>
      </c>
      <c r="S102" s="296" t="n">
        <v>144000</v>
      </c>
      <c r="T102" s="296" t="n">
        <v>1044000</v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179</v>
      </c>
      <c r="B103" s="68" t="inlineStr">
        <is>
          <t>JALISCO</t>
        </is>
      </c>
      <c r="C103" s="69" t="inlineStr">
        <is>
          <t>Equipo de rayos X móvil, marca Technix, modelo TMS 320</t>
        </is>
      </c>
      <c r="D103" s="68" t="inlineStr">
        <is>
          <t>80-16-91-162</t>
        </is>
      </c>
      <c r="E103" s="69" t="inlineStr">
        <is>
          <t>H.M.R.E. Guadalajara</t>
        </is>
      </c>
      <c r="F103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>
        <v>100000</v>
      </c>
      <c r="J103" s="291">
        <f>I103</f>
        <v/>
      </c>
      <c r="K103" s="291">
        <f>J103</f>
        <v/>
      </c>
      <c r="L103" s="291">
        <f>I103+J103+K103</f>
        <v/>
      </c>
      <c r="M103" s="291">
        <f>L103*0.16</f>
        <v/>
      </c>
      <c r="N103" s="291">
        <f>L103+M103</f>
        <v/>
      </c>
      <c r="O103" s="296" t="n">
        <v>230000</v>
      </c>
      <c r="P103" s="296" t="n">
        <v>230000</v>
      </c>
      <c r="Q103" s="296" t="n">
        <v>460000</v>
      </c>
      <c r="R103" s="296" t="n">
        <v>690000</v>
      </c>
      <c r="S103" s="296" t="n">
        <v>110400</v>
      </c>
      <c r="T103" s="296" t="n">
        <v>800400</v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183</v>
      </c>
      <c r="B104" s="68" t="inlineStr">
        <is>
          <t>SINALOA</t>
        </is>
      </c>
      <c r="C104" s="69" t="inlineStr">
        <is>
          <t>Impresora para placas radiográficas, marca Fujifilm, modelo Drypix Smart</t>
        </is>
      </c>
      <c r="D104" s="68" t="inlineStr">
        <is>
          <t>56728475</t>
        </is>
      </c>
      <c r="E104" s="69" t="inlineStr">
        <is>
          <t>H.M.R.E. Mazatlán</t>
        </is>
      </c>
      <c r="F104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>
        <v>150000</v>
      </c>
      <c r="J104" s="291">
        <f>I104</f>
        <v/>
      </c>
      <c r="K104" s="291">
        <f>J104</f>
        <v/>
      </c>
      <c r="L104" s="291">
        <f>I104+J104+K104</f>
        <v/>
      </c>
      <c r="M104" s="291">
        <f>L104*0.16</f>
        <v/>
      </c>
      <c r="N104" s="291">
        <f>L104+M104</f>
        <v/>
      </c>
      <c r="O104" s="296" t="n">
        <v>300000</v>
      </c>
      <c r="P104" s="296" t="n">
        <v>300000</v>
      </c>
      <c r="Q104" s="296" t="n">
        <v>600000</v>
      </c>
      <c r="R104" s="296" t="n">
        <v>900000</v>
      </c>
      <c r="S104" s="296" t="n">
        <v>144000</v>
      </c>
      <c r="T104" s="296" t="n">
        <v>1044000</v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184</v>
      </c>
      <c r="B105" s="68" t="inlineStr">
        <is>
          <t>SINALOA</t>
        </is>
      </c>
      <c r="C105" s="69" t="inlineStr">
        <is>
          <t>Impresora para placas radiográficas, marca Fujifilm, modelo Drypix Smart</t>
        </is>
      </c>
      <c r="D105" s="68" t="inlineStr">
        <is>
          <t>66131122</t>
        </is>
      </c>
      <c r="E105" s="69" t="inlineStr">
        <is>
          <t>H.M.R.E. Mazatlán</t>
        </is>
      </c>
      <c r="F105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>
        <v>150000</v>
      </c>
      <c r="J105" s="291">
        <f>I105</f>
        <v/>
      </c>
      <c r="K105" s="291">
        <f>J105</f>
        <v/>
      </c>
      <c r="L105" s="291">
        <f>I105+J105+K105</f>
        <v/>
      </c>
      <c r="M105" s="291">
        <f>L105*0.16</f>
        <v/>
      </c>
      <c r="N105" s="291">
        <f>L105+M105</f>
        <v/>
      </c>
      <c r="O105" s="296" t="n">
        <v>300000</v>
      </c>
      <c r="P105" s="296" t="n">
        <v>300000</v>
      </c>
      <c r="Q105" s="296" t="n">
        <v>600000</v>
      </c>
      <c r="R105" s="296" t="n">
        <v>900000</v>
      </c>
      <c r="S105" s="296" t="n">
        <v>144000</v>
      </c>
      <c r="T105" s="296" t="n">
        <v>1044000</v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idden="1" ht="28.2" customHeight="1" s="227">
      <c r="A106" s="86" t="n">
        <v>185</v>
      </c>
      <c r="B106" s="68" t="inlineStr">
        <is>
          <t>CDMX</t>
        </is>
      </c>
      <c r="C106" s="69" t="inlineStr">
        <is>
          <t>Sistema de diagnóstico oftálmico avanzado, marca Heidelberg Engineering, modelo Spectralis</t>
        </is>
      </c>
      <c r="D106" s="68" t="inlineStr">
        <is>
          <t>SPECT-KT-05789</t>
        </is>
      </c>
      <c r="E106" s="69" t="inlineStr">
        <is>
          <t>H.C.M. Lomas de Sotelo</t>
        </is>
      </c>
      <c r="F106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2</v>
      </c>
      <c r="H106" s="79" t="n">
        <v>4</v>
      </c>
      <c r="I106" s="291" t="n">
        <v>122850</v>
      </c>
      <c r="J106" s="291" t="n">
        <v>122850</v>
      </c>
      <c r="K106" s="291" t="n">
        <v>122850</v>
      </c>
      <c r="L106" s="291" t="n">
        <v>368550</v>
      </c>
      <c r="M106" s="291" t="n">
        <v>58968</v>
      </c>
      <c r="N106" s="291" t="n">
        <v>427518</v>
      </c>
      <c r="O106" s="296" t="n">
        <v>300000</v>
      </c>
      <c r="P106" s="296" t="n">
        <v>600000</v>
      </c>
      <c r="Q106" s="296" t="n">
        <v>1200000</v>
      </c>
      <c r="R106" s="296" t="n">
        <v>1800000</v>
      </c>
      <c r="S106" s="296" t="n">
        <v>288000</v>
      </c>
      <c r="T106" s="296" t="n">
        <v>2088000</v>
      </c>
      <c r="U106" s="78" t="inlineStr">
        <is>
          <t>OFTALMO</t>
        </is>
      </c>
      <c r="V106" s="81" t="inlineStr">
        <is>
          <t>ARFAMEX</t>
        </is>
      </c>
      <c r="W106" s="83" t="inlineStr">
        <is>
          <t>ADJUDICADO</t>
        </is>
      </c>
      <c r="X106" s="5" t="inlineStr">
        <is>
          <t>PROYECTADO</t>
        </is>
      </c>
    </row>
    <row r="107" ht="28.2" customHeight="1" s="227">
      <c r="A107" s="86" t="n">
        <v>196</v>
      </c>
      <c r="B107" s="68" t="inlineStr">
        <is>
          <t>NUEVO LEON</t>
        </is>
      </c>
      <c r="C107" s="69" t="inlineStr">
        <is>
          <t>Sistema de digitalización de imágenes, marca SUNI, modelo SUNI</t>
        </is>
      </c>
      <c r="D107" s="68" t="inlineStr">
        <is>
          <t>DI2014106149</t>
        </is>
      </c>
      <c r="E107" s="69" t="inlineStr">
        <is>
          <t>H.M.R.E. Monterrey</t>
        </is>
      </c>
      <c r="F107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>
        <v>150000</v>
      </c>
      <c r="J107" s="291">
        <f>I107</f>
        <v/>
      </c>
      <c r="K107" s="291">
        <f>J107</f>
        <v/>
      </c>
      <c r="L107" s="291">
        <f>I107+J107+K107</f>
        <v/>
      </c>
      <c r="M107" s="291">
        <f>L107*0.16</f>
        <v/>
      </c>
      <c r="N107" s="291">
        <f>L107+M107</f>
        <v/>
      </c>
      <c r="O107" s="296" t="n">
        <v>350000</v>
      </c>
      <c r="P107" s="296" t="n">
        <v>350000</v>
      </c>
      <c r="Q107" s="296" t="n">
        <v>700000</v>
      </c>
      <c r="R107" s="296" t="n">
        <v>1050000</v>
      </c>
      <c r="S107" s="296" t="n">
        <v>168000</v>
      </c>
      <c r="T107" s="296" t="n">
        <v>1218000</v>
      </c>
      <c r="U107" s="78" t="inlineStr">
        <is>
          <t>IMAGEN</t>
        </is>
      </c>
      <c r="V107" s="85" t="n"/>
      <c r="W107" s="83" t="inlineStr">
        <is>
          <t>ADJUDICADO</t>
        </is>
      </c>
      <c r="X107" s="5" t="inlineStr">
        <is>
          <t>PROYECTADO</t>
        </is>
      </c>
    </row>
    <row r="108" ht="28.2" customHeight="1" s="227">
      <c r="A108" s="92" t="n">
        <v>198</v>
      </c>
      <c r="B108" s="68" t="inlineStr">
        <is>
          <t>VERACRUZ</t>
        </is>
      </c>
      <c r="C108" s="69" t="inlineStr">
        <is>
          <t>Arco en C, marca Ziehm Imaging, modelo Vision R</t>
        </is>
      </c>
      <c r="D108" s="68" t="inlineStr">
        <is>
          <t>10704</t>
        </is>
      </c>
      <c r="E108" s="69" t="inlineStr">
        <is>
          <t>H.M.Z. La Boticaría</t>
        </is>
      </c>
      <c r="F108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>
        <v>100000</v>
      </c>
      <c r="J108" s="291">
        <f>I108</f>
        <v/>
      </c>
      <c r="K108" s="291">
        <f>J108</f>
        <v/>
      </c>
      <c r="L108" s="291">
        <f>I108+J108+K108</f>
        <v/>
      </c>
      <c r="M108" s="291">
        <f>L108*0.16</f>
        <v/>
      </c>
      <c r="N108" s="291">
        <f>L108+M108</f>
        <v/>
      </c>
      <c r="O108" s="296" t="n">
        <v>220000</v>
      </c>
      <c r="P108" s="296" t="n">
        <v>220000</v>
      </c>
      <c r="Q108" s="296" t="n">
        <v>440000</v>
      </c>
      <c r="R108" s="296" t="n">
        <v>660000</v>
      </c>
      <c r="S108" s="296" t="n">
        <v>105600</v>
      </c>
      <c r="T108" s="296" t="n">
        <v>765600</v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200</v>
      </c>
      <c r="B109" s="68" t="inlineStr">
        <is>
          <t>CHIHUAHUA</t>
        </is>
      </c>
      <c r="C109" s="69" t="inlineStr">
        <is>
          <t>Arco en C, marca Ziehm Imaging, modelo Vision R</t>
        </is>
      </c>
      <c r="D109" s="68" t="inlineStr">
        <is>
          <t>10703</t>
        </is>
      </c>
      <c r="E109" s="69" t="inlineStr">
        <is>
          <t>H.M.R. Chihuahua</t>
        </is>
      </c>
      <c r="F109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>
        <v>150000</v>
      </c>
      <c r="J109" s="291">
        <f>I109</f>
        <v/>
      </c>
      <c r="K109" s="291">
        <f>J109</f>
        <v/>
      </c>
      <c r="L109" s="291">
        <f>I109+J109+K109</f>
        <v/>
      </c>
      <c r="M109" s="291">
        <f>L109*0.16</f>
        <v/>
      </c>
      <c r="N109" s="291">
        <f>L109+M109</f>
        <v/>
      </c>
      <c r="O109" s="296" t="n">
        <v>300000</v>
      </c>
      <c r="P109" s="296" t="n">
        <v>300000</v>
      </c>
      <c r="Q109" s="296" t="n">
        <v>600000</v>
      </c>
      <c r="R109" s="296" t="n">
        <v>900000</v>
      </c>
      <c r="S109" s="296" t="n">
        <v>144000</v>
      </c>
      <c r="T109" s="296" t="n">
        <v>1044000</v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idden="1" ht="28.2" customHeight="1" s="227">
      <c r="A110" s="92" t="n">
        <v>203</v>
      </c>
      <c r="B110" s="68" t="inlineStr">
        <is>
          <t>CHIAPAS</t>
        </is>
      </c>
      <c r="C110" s="69" t="inlineStr">
        <is>
          <t>Topógrafo corneal , marca Bausch &amp; Lomb, modelo ORBSCAN lll</t>
        </is>
      </c>
      <c r="D110" s="68" t="inlineStr">
        <is>
          <t>50004019-0093</t>
        </is>
      </c>
      <c r="E110" s="69" t="inlineStr">
        <is>
          <t>H.M.R. Tuxtla Gutiérrez</t>
        </is>
      </c>
      <c r="F110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 t="n">
        <v>0</v>
      </c>
      <c r="K110" s="291" t="n">
        <v>0</v>
      </c>
      <c r="L110" s="291" t="n"/>
      <c r="M110" s="291" t="n"/>
      <c r="N110" s="291" t="n"/>
      <c r="O110" s="296" t="n">
        <v>350000</v>
      </c>
      <c r="P110" s="296" t="n">
        <v>350000</v>
      </c>
      <c r="Q110" s="296" t="n">
        <v>700000</v>
      </c>
      <c r="R110" s="296" t="n">
        <v>1050000</v>
      </c>
      <c r="S110" s="296" t="n">
        <v>168000</v>
      </c>
      <c r="T110" s="296" t="n">
        <v>1218000</v>
      </c>
      <c r="U110" s="78" t="inlineStr">
        <is>
          <t>OFTALMO</t>
        </is>
      </c>
      <c r="V110" s="81" t="inlineStr">
        <is>
          <t>BAUSH</t>
        </is>
      </c>
      <c r="W110" s="103" t="inlineStr">
        <is>
          <t>ADJUDICADO</t>
        </is>
      </c>
      <c r="X110" s="5" t="inlineStr">
        <is>
          <t>NO PROYECTADO</t>
        </is>
      </c>
      <c r="Y110" s="5" t="inlineStr">
        <is>
          <t>SOBREPRECIO ADJUDICADO</t>
        </is>
      </c>
    </row>
    <row r="111" hidden="1" ht="28.2" customHeight="1" s="227">
      <c r="A111" s="86" t="n">
        <v>208</v>
      </c>
      <c r="B111" s="68" t="inlineStr">
        <is>
          <t>YUCATAN</t>
        </is>
      </c>
      <c r="C111" s="69" t="inlineStr">
        <is>
          <t>Microscopio para cirugía, marca Leica, modelo M844F40</t>
        </is>
      </c>
      <c r="D111" s="68" t="inlineStr">
        <is>
          <t>160516003</t>
        </is>
      </c>
      <c r="E111" s="69" t="inlineStr">
        <is>
          <t>H.M.R.E. Mérida</t>
        </is>
      </c>
      <c r="F111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>
        <v>230000</v>
      </c>
      <c r="J111" s="291" t="n">
        <v>230000</v>
      </c>
      <c r="K111" s="291" t="n">
        <v>230000</v>
      </c>
      <c r="L111" s="291" t="n">
        <v>690000</v>
      </c>
      <c r="M111" s="291" t="n">
        <v>110400</v>
      </c>
      <c r="N111" s="291" t="n">
        <v>800400</v>
      </c>
      <c r="O111" s="296" t="n">
        <v>195000</v>
      </c>
      <c r="P111" s="296" t="n">
        <v>195000</v>
      </c>
      <c r="Q111" s="296" t="n">
        <v>390000</v>
      </c>
      <c r="R111" s="296" t="n">
        <v>585000</v>
      </c>
      <c r="S111" s="296" t="n">
        <v>93600</v>
      </c>
      <c r="T111" s="296" t="n">
        <v>678600</v>
      </c>
      <c r="U111" s="78" t="inlineStr">
        <is>
          <t>OFTALMO</t>
        </is>
      </c>
      <c r="V111" s="81" t="inlineStr">
        <is>
          <t>COINDISA</t>
        </is>
      </c>
      <c r="W111" s="83" t="inlineStr">
        <is>
          <t>ADJUDICADO</t>
        </is>
      </c>
      <c r="X111" s="5" t="inlineStr">
        <is>
          <t>PROYECTADO</t>
        </is>
      </c>
    </row>
    <row r="112" hidden="1" ht="28.2" customHeight="1" s="227">
      <c r="A112" s="92" t="n">
        <v>213</v>
      </c>
      <c r="B112" s="68" t="inlineStr">
        <is>
          <t>CDMX</t>
        </is>
      </c>
      <c r="C112" s="69" t="inlineStr">
        <is>
          <t>Ultrasonido modo A-B y UBM, marca Quantel Medical, modelo Compact Touch</t>
        </is>
      </c>
      <c r="D112" s="68" t="inlineStr">
        <is>
          <t>2746</t>
        </is>
      </c>
      <c r="E112" s="69" t="inlineStr">
        <is>
          <t>H.M.E.O. Constituyentes</t>
        </is>
      </c>
      <c r="F112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>
        <v>47500</v>
      </c>
      <c r="J112" s="291" t="n">
        <v>47500</v>
      </c>
      <c r="K112" s="291" t="n">
        <v>47500</v>
      </c>
      <c r="L112" s="291" t="n">
        <v>142500</v>
      </c>
      <c r="M112" s="291" t="n">
        <v>22800</v>
      </c>
      <c r="N112" s="291" t="n">
        <v>165300</v>
      </c>
      <c r="O112" s="296" t="n">
        <v>150000</v>
      </c>
      <c r="P112" s="296" t="n">
        <v>150000</v>
      </c>
      <c r="Q112" s="296" t="n">
        <v>300000</v>
      </c>
      <c r="R112" s="296" t="n">
        <v>450000</v>
      </c>
      <c r="S112" s="296" t="n">
        <v>72000</v>
      </c>
      <c r="T112" s="296" t="n">
        <v>522000</v>
      </c>
      <c r="U112" s="78" t="inlineStr">
        <is>
          <t>OFTALMO</t>
        </is>
      </c>
      <c r="V112" s="81" t="inlineStr">
        <is>
          <t>ARFAMEX</t>
        </is>
      </c>
      <c r="W112" s="103" t="inlineStr">
        <is>
          <t>ADJUDICADO</t>
        </is>
      </c>
      <c r="X112" s="5" t="inlineStr">
        <is>
          <t>NO PROYECTADO</t>
        </is>
      </c>
    </row>
    <row r="113" hidden="1" ht="28.2" customHeight="1" s="227">
      <c r="A113" s="86" t="n">
        <v>214</v>
      </c>
      <c r="B113" s="68" t="inlineStr">
        <is>
          <t>CDMX</t>
        </is>
      </c>
      <c r="C113" s="69" t="inlineStr">
        <is>
          <t>Cámara de Scheimpflug, marca Oculus, modelo Pentacam HR</t>
        </is>
      </c>
      <c r="D113" s="68" t="inlineStr">
        <is>
          <t>64835160</t>
        </is>
      </c>
      <c r="E113" s="69" t="inlineStr">
        <is>
          <t>H.M.E.O. Constituyentes</t>
        </is>
      </c>
      <c r="F113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1</v>
      </c>
      <c r="H113" s="79" t="n">
        <v>2</v>
      </c>
      <c r="I113" s="291" t="n">
        <v>50000</v>
      </c>
      <c r="J113" s="291" t="n">
        <v>50000</v>
      </c>
      <c r="K113" s="291" t="n">
        <v>50000</v>
      </c>
      <c r="L113" s="291" t="n">
        <v>150000</v>
      </c>
      <c r="M113" s="291" t="n">
        <v>24000</v>
      </c>
      <c r="N113" s="291" t="n">
        <v>174000</v>
      </c>
      <c r="O113" s="296" t="n">
        <v>150000</v>
      </c>
      <c r="P113" s="296" t="n">
        <v>150000</v>
      </c>
      <c r="Q113" s="296" t="n">
        <v>300000</v>
      </c>
      <c r="R113" s="296" t="n">
        <v>450000</v>
      </c>
      <c r="S113" s="296" t="n">
        <v>72000</v>
      </c>
      <c r="T113" s="296" t="n">
        <v>522000</v>
      </c>
      <c r="U113" s="78" t="inlineStr">
        <is>
          <t>OFTALMO</t>
        </is>
      </c>
      <c r="V113" s="81" t="inlineStr">
        <is>
          <t>CYAN</t>
        </is>
      </c>
      <c r="W113" s="83" t="inlineStr">
        <is>
          <t>ADJUDICADO</t>
        </is>
      </c>
      <c r="X113" s="5" t="inlineStr">
        <is>
          <t>PROYECTADO</t>
        </is>
      </c>
    </row>
    <row r="114" hidden="1" ht="28.2" customHeight="1" s="227">
      <c r="A114" s="86" t="n">
        <v>215</v>
      </c>
      <c r="B114" s="68" t="inlineStr">
        <is>
          <t>CDMX</t>
        </is>
      </c>
      <c r="C114" s="69" t="inlineStr">
        <is>
          <t>Unidad de banco de ojos, marca Varios, modelo Varios</t>
        </is>
      </c>
      <c r="D114" s="68" t="inlineStr">
        <is>
          <t>Varios</t>
        </is>
      </c>
      <c r="E114" s="69" t="inlineStr">
        <is>
          <t>H.M.E.O. Constituyentes</t>
        </is>
      </c>
      <c r="F114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70000</v>
      </c>
      <c r="J114" s="291" t="n">
        <v>70000</v>
      </c>
      <c r="K114" s="291" t="n">
        <v>70000</v>
      </c>
      <c r="L114" s="291" t="n">
        <v>210000</v>
      </c>
      <c r="M114" s="291" t="n">
        <v>33600</v>
      </c>
      <c r="N114" s="291" t="n">
        <v>243600</v>
      </c>
      <c r="O114" s="296" t="n">
        <v>130000</v>
      </c>
      <c r="P114" s="296" t="n">
        <v>130000</v>
      </c>
      <c r="Q114" s="296" t="n">
        <v>260000</v>
      </c>
      <c r="R114" s="296" t="n">
        <v>390000</v>
      </c>
      <c r="S114" s="296" t="n">
        <v>62400</v>
      </c>
      <c r="T114" s="296" t="n">
        <v>452400</v>
      </c>
      <c r="U114" s="78" t="inlineStr">
        <is>
          <t>OFTALMO</t>
        </is>
      </c>
      <c r="V114" s="81" t="inlineStr">
        <is>
          <t>MD</t>
        </is>
      </c>
      <c r="W114" s="83" t="inlineStr">
        <is>
          <t>ADJUDICADO</t>
        </is>
      </c>
      <c r="X114" s="5" t="inlineStr">
        <is>
          <t>PROYECTADO</t>
        </is>
      </c>
    </row>
    <row r="115" ht="124.95" customHeight="1" s="227">
      <c r="A115" s="86" t="n">
        <v>218</v>
      </c>
      <c r="B115" s="68" t="inlineStr">
        <is>
          <t>CDMX</t>
        </is>
      </c>
      <c r="C115" s="69" t="inlineStr">
        <is>
          <t>Impresora para placas radiográficas, marca Codonics, modelo Horizon Ci</t>
        </is>
      </c>
      <c r="D115" s="68" t="inlineStr">
        <is>
          <t>50C00394C</t>
        </is>
      </c>
      <c r="E115" s="69" t="inlineStr">
        <is>
          <t>H.M.E.M. Y N. Lomas de Sotelo</t>
        </is>
      </c>
      <c r="F115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>
        <v>100000</v>
      </c>
      <c r="J115" s="291">
        <f>I115</f>
        <v/>
      </c>
      <c r="K115" s="291">
        <f>J115</f>
        <v/>
      </c>
      <c r="L115" s="291">
        <f>I115+J115+K115</f>
        <v/>
      </c>
      <c r="M115" s="291">
        <f>L115*0.16</f>
        <v/>
      </c>
      <c r="N115" s="291">
        <f>L115+M115</f>
        <v/>
      </c>
      <c r="O115" s="296" t="n">
        <v>220000</v>
      </c>
      <c r="P115" s="296" t="n">
        <v>220000</v>
      </c>
      <c r="Q115" s="296" t="n">
        <v>440000</v>
      </c>
      <c r="R115" s="296" t="n">
        <v>660000</v>
      </c>
      <c r="S115" s="296" t="n">
        <v>105600</v>
      </c>
      <c r="T115" s="296" t="n">
        <v>765600</v>
      </c>
      <c r="U115" s="78" t="inlineStr">
        <is>
          <t>IMAGEN</t>
        </is>
      </c>
      <c r="V115" s="85" t="n"/>
      <c r="W115" s="83" t="inlineStr">
        <is>
          <t>ADJUDICADO</t>
        </is>
      </c>
      <c r="X115" s="5" t="inlineStr">
        <is>
          <t>PROYECTADO</t>
        </is>
      </c>
    </row>
    <row r="116" ht="124.95" customHeight="1" s="227">
      <c r="A116" s="86" t="n">
        <v>221</v>
      </c>
      <c r="B116" s="68" t="inlineStr">
        <is>
          <t>VERACRUZ</t>
        </is>
      </c>
      <c r="C116" s="69" t="inlineStr">
        <is>
          <t>Sistema de digitalización de imágenes, marca Fujifilm, modelo Digitalizador: FCR Capsula XLII (CR-IR 359) Impresora: Drypix Plus</t>
        </is>
      </c>
      <c r="D116" s="68" t="inlineStr">
        <is>
          <t>Digitalizador: 46770610 Impresora: 36753809</t>
        </is>
      </c>
      <c r="E116" s="69" t="inlineStr">
        <is>
          <t>H.M.Z. La Boticaría</t>
        </is>
      </c>
      <c r="F116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>
        <v>100000</v>
      </c>
      <c r="J116" s="291">
        <f>I116</f>
        <v/>
      </c>
      <c r="K116" s="291">
        <f>J116</f>
        <v/>
      </c>
      <c r="L116" s="291">
        <f>I116+J116+K116</f>
        <v/>
      </c>
      <c r="M116" s="291">
        <f>L116*0.16</f>
        <v/>
      </c>
      <c r="N116" s="291">
        <f>L116+M116</f>
        <v/>
      </c>
      <c r="O116" s="296" t="n">
        <v>220000</v>
      </c>
      <c r="P116" s="296" t="n">
        <v>220000</v>
      </c>
      <c r="Q116" s="296" t="n">
        <v>440000</v>
      </c>
      <c r="R116" s="296" t="n">
        <v>660000</v>
      </c>
      <c r="S116" s="296" t="n">
        <v>105600</v>
      </c>
      <c r="T116" s="296" t="n">
        <v>765600</v>
      </c>
      <c r="U116" s="78" t="inlineStr">
        <is>
          <t>IMAGEN</t>
        </is>
      </c>
      <c r="V116" s="85" t="n"/>
      <c r="W116" s="83" t="inlineStr">
        <is>
          <t>ADJUDICADO</t>
        </is>
      </c>
      <c r="X116" s="5" t="inlineStr">
        <is>
          <t>PROYECTADO</t>
        </is>
      </c>
    </row>
    <row r="117" hidden="1" ht="16.2" customHeight="1" s="227">
      <c r="A117" s="86" t="n">
        <v>222</v>
      </c>
      <c r="B117" s="68" t="inlineStr">
        <is>
          <t>VERACRUZ</t>
        </is>
      </c>
      <c r="C117" s="69" t="inlineStr">
        <is>
          <t>Ultrasonido oftálmico, marca OPTIKON, modelo HiScan</t>
        </is>
      </c>
      <c r="D117" s="68" t="inlineStr">
        <is>
          <t>387BC</t>
        </is>
      </c>
      <c r="E117" s="69" t="inlineStr">
        <is>
          <t>H.M.Z. La Boticaría</t>
        </is>
      </c>
      <c r="F117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>
        <v>150000</v>
      </c>
      <c r="J117" s="291" t="n">
        <v>150000</v>
      </c>
      <c r="K117" s="291" t="n">
        <v>150000</v>
      </c>
      <c r="L117" s="291" t="n">
        <v>450000</v>
      </c>
      <c r="M117" s="291" t="n">
        <v>72000</v>
      </c>
      <c r="N117" s="291" t="n">
        <v>522000</v>
      </c>
      <c r="O117" s="296" t="n">
        <v>365000</v>
      </c>
      <c r="P117" s="296" t="n">
        <v>365000</v>
      </c>
      <c r="Q117" s="296" t="n">
        <v>730000</v>
      </c>
      <c r="R117" s="296" t="n">
        <v>1095000</v>
      </c>
      <c r="S117" s="296" t="n">
        <v>175200</v>
      </c>
      <c r="T117" s="296" t="n">
        <v>1270200</v>
      </c>
      <c r="U117" s="78" t="inlineStr">
        <is>
          <t>OFTALMO</t>
        </is>
      </c>
      <c r="V117" s="81" t="inlineStr">
        <is>
          <t>OPTIKON</t>
        </is>
      </c>
      <c r="W117" s="83" t="inlineStr">
        <is>
          <t>ADJUDICADO</t>
        </is>
      </c>
      <c r="X117" s="5" t="inlineStr">
        <is>
          <t>PROYECTADO</t>
        </is>
      </c>
    </row>
    <row r="118" ht="61.95" customHeight="1" s="227">
      <c r="A118" s="92" t="n">
        <v>223</v>
      </c>
      <c r="B118" s="68" t="inlineStr">
        <is>
          <t>GUERRERO</t>
        </is>
      </c>
      <c r="C118" s="69" t="inlineStr">
        <is>
          <t>Rayos X móvil, marca Shimadzu, modelo MobileArt Evolution</t>
        </is>
      </c>
      <c r="D118" s="68" t="inlineStr">
        <is>
          <t>41000333B017</t>
        </is>
      </c>
      <c r="E118" s="69" t="inlineStr">
        <is>
          <t>H.M.R. Chilpancingo</t>
        </is>
      </c>
      <c r="F118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>
        <v>100000</v>
      </c>
      <c r="J118" s="291">
        <f>I118</f>
        <v/>
      </c>
      <c r="K118" s="291">
        <f>J118</f>
        <v/>
      </c>
      <c r="L118" s="291">
        <f>I118+J118+K118</f>
        <v/>
      </c>
      <c r="M118" s="291">
        <f>L118*0.16</f>
        <v/>
      </c>
      <c r="N118" s="291">
        <f>L118+M118</f>
        <v/>
      </c>
      <c r="O118" s="296" t="n">
        <v>220000</v>
      </c>
      <c r="P118" s="296" t="n">
        <v>220000</v>
      </c>
      <c r="Q118" s="296" t="n">
        <v>440000</v>
      </c>
      <c r="R118" s="296" t="n">
        <v>660000</v>
      </c>
      <c r="S118" s="296" t="n">
        <v>105600</v>
      </c>
      <c r="T118" s="296" t="n">
        <v>765600</v>
      </c>
      <c r="U118" s="78" t="inlineStr">
        <is>
          <t>IMAGEN</t>
        </is>
      </c>
      <c r="V118" s="85" t="n"/>
      <c r="W118" s="103" t="inlineStr">
        <is>
          <t>ADJUDICADO</t>
        </is>
      </c>
      <c r="X118" s="5" t="inlineStr">
        <is>
          <t>NO PROYECTADO</t>
        </is>
      </c>
    </row>
    <row r="119" ht="105" customHeight="1" s="227">
      <c r="A119" s="92" t="n">
        <v>225</v>
      </c>
      <c r="B119" s="68" t="inlineStr">
        <is>
          <t>ZACATECAS</t>
        </is>
      </c>
      <c r="C119" s="69" t="inlineStr">
        <is>
          <t>Equipo de rayos X móvil, marca Technix, modelo TMS 320</t>
        </is>
      </c>
      <c r="D119" s="68" t="inlineStr">
        <is>
          <t>80-16-86-157</t>
        </is>
      </c>
      <c r="E119" s="69" t="inlineStr">
        <is>
          <t>H.M.Z. Guadalupe</t>
        </is>
      </c>
      <c r="F119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150000</v>
      </c>
      <c r="J119" s="291">
        <f>I119</f>
        <v/>
      </c>
      <c r="K119" s="291">
        <f>J119</f>
        <v/>
      </c>
      <c r="L119" s="291">
        <f>I119+J119+K119</f>
        <v/>
      </c>
      <c r="M119" s="291">
        <f>L119*0.16</f>
        <v/>
      </c>
      <c r="N119" s="291">
        <f>L119+M119</f>
        <v/>
      </c>
      <c r="O119" s="296" t="n">
        <v>300000</v>
      </c>
      <c r="P119" s="296" t="n">
        <v>300000</v>
      </c>
      <c r="Q119" s="296" t="n">
        <v>600000</v>
      </c>
      <c r="R119" s="296" t="n">
        <v>900000</v>
      </c>
      <c r="S119" s="296" t="n">
        <v>144000</v>
      </c>
      <c r="T119" s="296" t="n">
        <v>1044000</v>
      </c>
      <c r="U119" s="78" t="inlineStr">
        <is>
          <t>IMAGEN</t>
        </is>
      </c>
      <c r="V119" s="85" t="n"/>
      <c r="W119" s="103" t="inlineStr">
        <is>
          <t>ADJUDICADO</t>
        </is>
      </c>
      <c r="X119" s="5" t="inlineStr">
        <is>
          <t>NO PROYECTADO</t>
        </is>
      </c>
    </row>
    <row r="120" ht="135.75" customHeight="1" s="227">
      <c r="A120" s="92" t="n">
        <v>226</v>
      </c>
      <c r="B120" s="68" t="inlineStr">
        <is>
          <t>CHIHUAHUA</t>
        </is>
      </c>
      <c r="C120" s="69" t="inlineStr">
        <is>
          <t>Sistema de digitalización de imágenes, marca Fujifilm, modelo Digitalizador: FCR Capsula XLII (CR-IR 359) Impresora: Drypix 4000</t>
        </is>
      </c>
      <c r="D120" s="68" t="inlineStr">
        <is>
          <t>Digitalizador: 37240106 Impresora: 36653761</t>
        </is>
      </c>
      <c r="E120" s="69" t="inlineStr">
        <is>
          <t>H.M.R. Chihuahua</t>
        </is>
      </c>
      <c r="F120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150000</v>
      </c>
      <c r="J120" s="291">
        <f>I120</f>
        <v/>
      </c>
      <c r="K120" s="291">
        <f>J120</f>
        <v/>
      </c>
      <c r="L120" s="291">
        <f>I120+J120+K120</f>
        <v/>
      </c>
      <c r="M120" s="291">
        <f>L120*0.16</f>
        <v/>
      </c>
      <c r="N120" s="291">
        <f>L120+M120</f>
        <v/>
      </c>
      <c r="O120" s="296" t="n">
        <v>300000</v>
      </c>
      <c r="P120" s="296" t="n">
        <v>300000</v>
      </c>
      <c r="Q120" s="296" t="n">
        <v>600000</v>
      </c>
      <c r="R120" s="296" t="n">
        <v>900000</v>
      </c>
      <c r="S120" s="296" t="n">
        <v>144000</v>
      </c>
      <c r="T120" s="296" t="n">
        <v>1044000</v>
      </c>
      <c r="U120" s="78" t="inlineStr">
        <is>
          <t>IMAGEN</t>
        </is>
      </c>
      <c r="V120" s="85" t="n"/>
      <c r="W120" s="103" t="inlineStr">
        <is>
          <t>ADJUDICADO</t>
        </is>
      </c>
      <c r="X120" s="5" t="inlineStr">
        <is>
          <t>NO PROYECTADO</t>
        </is>
      </c>
    </row>
    <row r="121" ht="135" customHeight="1" s="227">
      <c r="A121" s="86" t="n">
        <v>227</v>
      </c>
      <c r="B121" s="68" t="inlineStr">
        <is>
          <t>EDO DE MEX</t>
        </is>
      </c>
      <c r="C121" s="69" t="inlineStr">
        <is>
          <t>Sistema de digitalización de imágenes, marca Fujifilm, modelo Digitalizador: FCR Capsula XLII (CR-IR 359) Impresora: Drypix 4000</t>
        </is>
      </c>
      <c r="D121" s="68" t="inlineStr">
        <is>
          <t>Digitalizador: 46370281 Impresora: 36753805</t>
        </is>
      </c>
      <c r="E121" s="69" t="inlineStr">
        <is>
          <t>H.M.Z. Temamatla</t>
        </is>
      </c>
      <c r="F121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100000</v>
      </c>
      <c r="J121" s="291">
        <f>I121</f>
        <v/>
      </c>
      <c r="K121" s="291">
        <f>J121</f>
        <v/>
      </c>
      <c r="L121" s="291">
        <f>I121+J121+K121</f>
        <v/>
      </c>
      <c r="M121" s="291">
        <f>L121*0.16</f>
        <v/>
      </c>
      <c r="N121" s="291">
        <f>L121+M121</f>
        <v/>
      </c>
      <c r="O121" s="296" t="n">
        <v>220000</v>
      </c>
      <c r="P121" s="296" t="n">
        <v>220000</v>
      </c>
      <c r="Q121" s="296" t="n">
        <v>440000</v>
      </c>
      <c r="R121" s="296" t="n">
        <v>660000</v>
      </c>
      <c r="S121" s="296" t="n">
        <v>105600</v>
      </c>
      <c r="T121" s="296" t="n">
        <v>765600</v>
      </c>
      <c r="U121" s="78" t="inlineStr">
        <is>
          <t>IMAGEN</t>
        </is>
      </c>
      <c r="V121" s="85" t="n"/>
      <c r="W121" s="83" t="inlineStr">
        <is>
          <t>ADJUDICADO</t>
        </is>
      </c>
      <c r="X121" s="5" t="inlineStr">
        <is>
          <t>PROYECTADO</t>
        </is>
      </c>
    </row>
    <row r="122" ht="105" customHeight="1" s="227">
      <c r="A122" s="86" t="n">
        <v>228</v>
      </c>
      <c r="B122" s="68" t="inlineStr">
        <is>
          <t>EDO DE MEX</t>
        </is>
      </c>
      <c r="C122" s="69" t="inlineStr">
        <is>
          <t>Impresora para placas radiográficas, marca Konica Minolta, modelo DryPro 873</t>
        </is>
      </c>
      <c r="D122" s="68" t="inlineStr">
        <is>
          <t>0992-50128</t>
        </is>
      </c>
      <c r="E122" s="69" t="inlineStr">
        <is>
          <t>H.M.Z. Temamatla</t>
        </is>
      </c>
      <c r="F122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100000</v>
      </c>
      <c r="J122" s="291">
        <f>I122</f>
        <v/>
      </c>
      <c r="K122" s="291">
        <f>J122</f>
        <v/>
      </c>
      <c r="L122" s="291">
        <f>I122+J122+K122</f>
        <v/>
      </c>
      <c r="M122" s="291">
        <f>L122*0.16</f>
        <v/>
      </c>
      <c r="N122" s="291">
        <f>L122+M122</f>
        <v/>
      </c>
      <c r="O122" s="296" t="n">
        <v>220000</v>
      </c>
      <c r="P122" s="296" t="n">
        <v>220000</v>
      </c>
      <c r="Q122" s="296" t="n">
        <v>440000</v>
      </c>
      <c r="R122" s="296" t="n">
        <v>660000</v>
      </c>
      <c r="S122" s="296" t="n">
        <v>105600</v>
      </c>
      <c r="T122" s="296" t="n">
        <v>765600</v>
      </c>
      <c r="U122" s="78" t="inlineStr">
        <is>
          <t>IMAGEN</t>
        </is>
      </c>
      <c r="V122" s="85" t="n"/>
      <c r="W122" s="83" t="inlineStr">
        <is>
          <t>ADJUDICADO</t>
        </is>
      </c>
      <c r="X122" s="5" t="inlineStr">
        <is>
          <t>PROYECTADO</t>
        </is>
      </c>
    </row>
    <row r="123" ht="105" customHeight="1" s="227">
      <c r="A123" s="92" t="n">
        <v>230</v>
      </c>
      <c r="B123" s="68" t="inlineStr">
        <is>
          <t>GUANAJUATO</t>
        </is>
      </c>
      <c r="C123" s="69" t="inlineStr">
        <is>
          <t>Equipo de rayos X móvil, marca Technix, modelo TMS 320</t>
        </is>
      </c>
      <c r="D123" s="68" t="inlineStr">
        <is>
          <t>80-16-85-156</t>
        </is>
      </c>
      <c r="E123" s="69" t="inlineStr">
        <is>
          <t>H.M.R., Irapuato</t>
        </is>
      </c>
      <c r="F123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100000</v>
      </c>
      <c r="J123" s="291">
        <f>I123</f>
        <v/>
      </c>
      <c r="K123" s="291">
        <f>J123</f>
        <v/>
      </c>
      <c r="L123" s="291">
        <f>I123+J123+K123</f>
        <v/>
      </c>
      <c r="M123" s="291">
        <f>L123*0.16</f>
        <v/>
      </c>
      <c r="N123" s="291">
        <f>L123+M123</f>
        <v/>
      </c>
      <c r="O123" s="296" t="n">
        <v>220000</v>
      </c>
      <c r="P123" s="296" t="n">
        <v>220000</v>
      </c>
      <c r="Q123" s="296" t="n">
        <v>440000</v>
      </c>
      <c r="R123" s="296" t="n">
        <v>660000</v>
      </c>
      <c r="S123" s="296" t="n">
        <v>105600</v>
      </c>
      <c r="T123" s="296" t="n">
        <v>765600</v>
      </c>
      <c r="U123" s="78" t="inlineStr">
        <is>
          <t>IMAGEN</t>
        </is>
      </c>
      <c r="V123" s="85" t="n"/>
      <c r="W123" s="103" t="inlineStr">
        <is>
          <t>ADJUDICADO</t>
        </is>
      </c>
      <c r="X123" s="5" t="inlineStr">
        <is>
          <t>NO PROYECTADO</t>
        </is>
      </c>
    </row>
    <row r="124" ht="135" customHeight="1" s="227">
      <c r="A124" s="86" t="n">
        <v>231</v>
      </c>
      <c r="B124" s="68" t="inlineStr">
        <is>
          <t>MORELOS</t>
        </is>
      </c>
      <c r="C124" s="69" t="inlineStr">
        <is>
          <t>Sistema de digitalización de imágenes, marca Fujifilm, modelo Digitalizador: FCR Capsula XLII (CR-IR 359) Impresora: Drypix 4000</t>
        </is>
      </c>
      <c r="D124" s="68" t="inlineStr">
        <is>
          <t>Digitalizador: 46770614 Impresora: 36653758</t>
        </is>
      </c>
      <c r="E124" s="69" t="inlineStr">
        <is>
          <t>H.M.Z. Cuernavaca</t>
        </is>
      </c>
      <c r="F124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I124+J124+K124</f>
        <v/>
      </c>
      <c r="M124" s="291">
        <f>L124*0.16</f>
        <v/>
      </c>
      <c r="N124" s="291">
        <f>L124+M124</f>
        <v/>
      </c>
      <c r="O124" s="296" t="n">
        <v>220000</v>
      </c>
      <c r="P124" s="296" t="n">
        <v>220000</v>
      </c>
      <c r="Q124" s="296" t="n">
        <v>440000</v>
      </c>
      <c r="R124" s="296" t="n">
        <v>660000</v>
      </c>
      <c r="S124" s="296" t="n">
        <v>105600</v>
      </c>
      <c r="T124" s="296" t="n">
        <v>765600</v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105" customHeight="1" s="227">
      <c r="A125" s="86" t="n">
        <v>232</v>
      </c>
      <c r="B125" s="68" t="inlineStr">
        <is>
          <t>GUERRERO</t>
        </is>
      </c>
      <c r="C125" s="69" t="inlineStr">
        <is>
          <t>Digitalizador de placas radiográficas, marca Fujifilm, modelo CR-IR359</t>
        </is>
      </c>
      <c r="D125" s="68" t="inlineStr">
        <is>
          <t>46270262</t>
        </is>
      </c>
      <c r="E125" s="69" t="inlineStr">
        <is>
          <t>H.M.R. Acapulco</t>
        </is>
      </c>
      <c r="F125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I125+J125+K125</f>
        <v/>
      </c>
      <c r="M125" s="291">
        <f>L125*0.16</f>
        <v/>
      </c>
      <c r="N125" s="291">
        <f>L125+M125</f>
        <v/>
      </c>
      <c r="O125" s="296" t="n">
        <v>220000</v>
      </c>
      <c r="P125" s="296" t="n">
        <v>220000</v>
      </c>
      <c r="Q125" s="296" t="n">
        <v>440000</v>
      </c>
      <c r="R125" s="296" t="n">
        <v>660000</v>
      </c>
      <c r="S125" s="296" t="n">
        <v>105600</v>
      </c>
      <c r="T125" s="296" t="n">
        <v>765600</v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105" customHeight="1" s="227">
      <c r="A126" s="92" t="n">
        <v>265</v>
      </c>
      <c r="B126" s="68" t="inlineStr">
        <is>
          <t>EDO DE MEX</t>
        </is>
      </c>
      <c r="C126" s="69" t="inlineStr">
        <is>
          <t>Rayos X móvil, marca Listem, modelo MOBIX-1000</t>
        </is>
      </c>
      <c r="D126" s="68" t="inlineStr">
        <is>
          <t>10 0155</t>
        </is>
      </c>
      <c r="E126" s="69" t="inlineStr">
        <is>
          <t>H.M.Z. Santa María Rayón</t>
        </is>
      </c>
      <c r="F126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100000</v>
      </c>
      <c r="J126" s="291">
        <f>I126</f>
        <v/>
      </c>
      <c r="K126" s="291">
        <f>J126</f>
        <v/>
      </c>
      <c r="L126" s="291">
        <f>I126+J126+K126</f>
        <v/>
      </c>
      <c r="M126" s="291">
        <f>L126*0.16</f>
        <v/>
      </c>
      <c r="N126" s="291">
        <f>L126+M126</f>
        <v/>
      </c>
      <c r="O126" s="296" t="n">
        <v>220000</v>
      </c>
      <c r="P126" s="296" t="n">
        <v>220000</v>
      </c>
      <c r="Q126" s="296" t="n">
        <v>440000</v>
      </c>
      <c r="R126" s="296" t="n">
        <v>660000</v>
      </c>
      <c r="S126" s="296" t="n">
        <v>105600</v>
      </c>
      <c r="T126" s="296" t="n">
        <v>765600</v>
      </c>
      <c r="U126" s="78" t="inlineStr">
        <is>
          <t>IMAGEN</t>
        </is>
      </c>
      <c r="V126" s="85" t="n"/>
      <c r="W126" s="103" t="inlineStr">
        <is>
          <t>ADJUDICADO</t>
        </is>
      </c>
      <c r="X126" s="5" t="inlineStr">
        <is>
          <t>NO PROYECTADO</t>
        </is>
      </c>
    </row>
    <row r="127" hidden="1" ht="105" customHeight="1" s="227">
      <c r="A127" s="86" t="n">
        <v>268</v>
      </c>
      <c r="B127" s="68" t="inlineStr">
        <is>
          <t>OAXACA</t>
        </is>
      </c>
      <c r="C127" s="69" t="inlineStr">
        <is>
          <t>Fotocoagulador láser , marca Meridian AG, modelo SLA-UNI</t>
        </is>
      </c>
      <c r="D127" s="68" t="inlineStr">
        <is>
          <t>0069</t>
        </is>
      </c>
      <c r="E127" s="69" t="inlineStr">
        <is>
          <t>H.M.Z. Ixcotel</t>
        </is>
      </c>
      <c r="F127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>
        <v>200000</v>
      </c>
      <c r="J127" s="291" t="n">
        <v>200000</v>
      </c>
      <c r="K127" s="291" t="n">
        <v>200000</v>
      </c>
      <c r="L127" s="291" t="n">
        <v>600000</v>
      </c>
      <c r="M127" s="291" t="n">
        <v>96000</v>
      </c>
      <c r="N127" s="291" t="n">
        <v>696000</v>
      </c>
      <c r="O127" s="296" t="n">
        <v>425000</v>
      </c>
      <c r="P127" s="296" t="n">
        <v>425000</v>
      </c>
      <c r="Q127" s="296" t="n">
        <v>850000</v>
      </c>
      <c r="R127" s="296" t="n">
        <v>1275000</v>
      </c>
      <c r="S127" s="296" t="n">
        <v>204000</v>
      </c>
      <c r="T127" s="296" t="n">
        <v>1479000</v>
      </c>
      <c r="U127" s="78" t="inlineStr">
        <is>
          <t>OFTALMO</t>
        </is>
      </c>
      <c r="V127" s="81" t="inlineStr">
        <is>
          <t>DEWIMED</t>
        </is>
      </c>
      <c r="W127" s="83" t="inlineStr">
        <is>
          <t>ADJUDICADO</t>
        </is>
      </c>
      <c r="X127" s="5" t="inlineStr">
        <is>
          <t>PROYECTADO</t>
        </is>
      </c>
    </row>
    <row r="128" hidden="1" ht="105" customHeight="1" s="227">
      <c r="A128" s="86" t="n">
        <v>273</v>
      </c>
      <c r="B128" s="68" t="inlineStr">
        <is>
          <t>OAXACA</t>
        </is>
      </c>
      <c r="C128" s="69" t="inlineStr">
        <is>
          <t>Láser oftálmico, marca Alcon, modelo 3000LE</t>
        </is>
      </c>
      <c r="D128" s="68" t="inlineStr">
        <is>
          <t>5342LX</t>
        </is>
      </c>
      <c r="E128" s="69" t="inlineStr">
        <is>
          <t>H.M.Z. Ixcotel</t>
        </is>
      </c>
      <c r="F128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>
        <v>200000</v>
      </c>
      <c r="J128" s="291" t="n">
        <v>200000</v>
      </c>
      <c r="K128" s="291" t="n">
        <v>200000</v>
      </c>
      <c r="L128" s="291" t="n">
        <v>600000</v>
      </c>
      <c r="M128" s="291" t="n">
        <v>96000</v>
      </c>
      <c r="N128" s="291" t="n">
        <v>696000</v>
      </c>
      <c r="O128" s="296" t="n">
        <v>400000</v>
      </c>
      <c r="P128" s="296" t="n">
        <v>400000</v>
      </c>
      <c r="Q128" s="296" t="n">
        <v>800000</v>
      </c>
      <c r="R128" s="296" t="n">
        <v>1200000</v>
      </c>
      <c r="S128" s="296" t="n">
        <v>192000</v>
      </c>
      <c r="T128" s="296" t="n">
        <v>1392000</v>
      </c>
      <c r="U128" s="78" t="inlineStr">
        <is>
          <t>OFTALMO</t>
        </is>
      </c>
      <c r="V128" s="81" t="inlineStr">
        <is>
          <t>ALCON</t>
        </is>
      </c>
      <c r="W128" s="83" t="inlineStr">
        <is>
          <t>ADJUDICADO</t>
        </is>
      </c>
      <c r="X128" s="5" t="inlineStr">
        <is>
          <t>PROYECTADO</t>
        </is>
      </c>
    </row>
    <row r="129" hidden="1" ht="105" customHeight="1" s="227">
      <c r="A129" s="86" t="n">
        <v>283</v>
      </c>
      <c r="B129" s="68" t="inlineStr">
        <is>
          <t>CDMX</t>
        </is>
      </c>
      <c r="C129" s="69" t="inlineStr">
        <is>
          <t>Láser excimer, marca Bausch &amp; Lomb, modelo Zyoptix XP</t>
        </is>
      </c>
      <c r="D129" s="68" t="inlineStr">
        <is>
          <t>2805</t>
        </is>
      </c>
      <c r="E129" s="69" t="inlineStr">
        <is>
          <t>H.M.E.O. Constituyentes</t>
        </is>
      </c>
      <c r="F129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>
        <v>80000</v>
      </c>
      <c r="J129" s="291" t="n">
        <v>80000</v>
      </c>
      <c r="K129" s="291" t="n">
        <v>80000</v>
      </c>
      <c r="L129" s="291" t="n">
        <v>240000</v>
      </c>
      <c r="M129" s="291" t="n">
        <v>38400</v>
      </c>
      <c r="N129" s="291" t="n">
        <v>278400</v>
      </c>
      <c r="O129" s="296" t="n">
        <v>170000</v>
      </c>
      <c r="P129" s="296" t="n">
        <v>170000</v>
      </c>
      <c r="Q129" s="296" t="n">
        <v>340000</v>
      </c>
      <c r="R129" s="296" t="n">
        <v>510000</v>
      </c>
      <c r="S129" s="296" t="n">
        <v>81600</v>
      </c>
      <c r="T129" s="296" t="n">
        <v>591600</v>
      </c>
      <c r="U129" s="78" t="inlineStr">
        <is>
          <t>OFTALMO</t>
        </is>
      </c>
      <c r="V129" s="81" t="inlineStr">
        <is>
          <t>BAUSH</t>
        </is>
      </c>
      <c r="W129" s="83" t="inlineStr">
        <is>
          <t>ADJUDICADO</t>
        </is>
      </c>
      <c r="X129" s="5" t="inlineStr">
        <is>
          <t>PROYECTADO</t>
        </is>
      </c>
    </row>
    <row r="130" hidden="1" ht="105" customHeight="1" s="227">
      <c r="A130" s="86" t="n">
        <v>291</v>
      </c>
      <c r="B130" s="68" t="inlineStr">
        <is>
          <t>CDMX</t>
        </is>
      </c>
      <c r="C130" s="69" t="inlineStr">
        <is>
          <t>Láser excimer, marca Bausch &amp; Lomb, modelo Zyoptix XP</t>
        </is>
      </c>
      <c r="D130" s="68" t="inlineStr">
        <is>
          <t>XL500322</t>
        </is>
      </c>
      <c r="E130" s="69" t="inlineStr">
        <is>
          <t>H.M.E.O. Constituyentes</t>
        </is>
      </c>
      <c r="F130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80000</v>
      </c>
      <c r="J130" s="291" t="n">
        <v>80000</v>
      </c>
      <c r="K130" s="291" t="n">
        <v>80000</v>
      </c>
      <c r="L130" s="291" t="n">
        <v>240000</v>
      </c>
      <c r="M130" s="291" t="n">
        <v>38400</v>
      </c>
      <c r="N130" s="291" t="n">
        <v>278400</v>
      </c>
      <c r="O130" s="296" t="n">
        <v>140000</v>
      </c>
      <c r="P130" s="296" t="n">
        <v>140000</v>
      </c>
      <c r="Q130" s="296" t="n">
        <v>280000</v>
      </c>
      <c r="R130" s="296" t="n">
        <v>420000</v>
      </c>
      <c r="S130" s="296" t="n">
        <v>67200</v>
      </c>
      <c r="T130" s="296" t="n">
        <v>487200</v>
      </c>
      <c r="U130" s="78" t="inlineStr">
        <is>
          <t>OFTALMO</t>
        </is>
      </c>
      <c r="V130" s="81" t="inlineStr">
        <is>
          <t>BAUSH</t>
        </is>
      </c>
      <c r="W130" s="83" t="inlineStr">
        <is>
          <t>ADJUDICADO</t>
        </is>
      </c>
      <c r="X130" s="5" t="inlineStr">
        <is>
          <t>PROYECTADO</t>
        </is>
      </c>
    </row>
    <row r="131" hidden="1" ht="105" customHeight="1" s="227">
      <c r="A131" s="86" t="n">
        <v>292</v>
      </c>
      <c r="B131" s="68" t="inlineStr">
        <is>
          <t>CDMX</t>
        </is>
      </c>
      <c r="C131" s="69" t="inlineStr">
        <is>
          <t>Microscopio especular, marca Konan, modelo CellChek XL NSP9900</t>
        </is>
      </c>
      <c r="D131" s="68" t="inlineStr">
        <is>
          <t>NPA-3-1816</t>
        </is>
      </c>
      <c r="E131" s="69" t="inlineStr">
        <is>
          <t>H.M.E.O. Constituyentes</t>
        </is>
      </c>
      <c r="F131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50000</v>
      </c>
      <c r="J131" s="291" t="n">
        <v>50000</v>
      </c>
      <c r="K131" s="291" t="n">
        <v>50000</v>
      </c>
      <c r="L131" s="291" t="n">
        <v>150000</v>
      </c>
      <c r="M131" s="291" t="n">
        <v>24000</v>
      </c>
      <c r="N131" s="291" t="n">
        <v>174000</v>
      </c>
      <c r="O131" s="296" t="n">
        <v>120000</v>
      </c>
      <c r="P131" s="296" t="n">
        <v>120000</v>
      </c>
      <c r="Q131" s="296" t="n">
        <v>240000</v>
      </c>
      <c r="R131" s="296" t="n">
        <v>360000</v>
      </c>
      <c r="S131" s="296" t="n">
        <v>57600</v>
      </c>
      <c r="T131" s="296" t="n">
        <v>417600</v>
      </c>
      <c r="U131" s="78" t="inlineStr">
        <is>
          <t>OFTALMO</t>
        </is>
      </c>
      <c r="V131" s="81" t="inlineStr">
        <is>
          <t>TECHNOMIX</t>
        </is>
      </c>
      <c r="W131" s="83" t="inlineStr">
        <is>
          <t>ADJUDICADO</t>
        </is>
      </c>
      <c r="X131" s="5" t="inlineStr">
        <is>
          <t>PROYECTADO</t>
        </is>
      </c>
    </row>
    <row r="132" ht="120" customHeight="1" s="227">
      <c r="A132" s="86" t="n">
        <v>298</v>
      </c>
      <c r="B132" s="68" t="inlineStr">
        <is>
          <t>QUINTANA ROO</t>
        </is>
      </c>
      <c r="C132" s="69" t="inlineStr">
        <is>
          <t>Sistema de digitalización de imágenes, marca Fujifilm, modelo Digitalizador: FCR Capsula XLII (CR-IR 359)</t>
        </is>
      </c>
      <c r="D132" s="68" t="inlineStr">
        <is>
          <t>46770608</t>
        </is>
      </c>
      <c r="E132" s="69" t="inlineStr">
        <is>
          <t>H.M.Z. Chetumal</t>
        </is>
      </c>
      <c r="F132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>
        <v>100000</v>
      </c>
      <c r="J132" s="291">
        <f>I132</f>
        <v/>
      </c>
      <c r="K132" s="291">
        <f>J132</f>
        <v/>
      </c>
      <c r="L132" s="291">
        <f>I132+J132+K132</f>
        <v/>
      </c>
      <c r="M132" s="291">
        <f>L132*0.16</f>
        <v/>
      </c>
      <c r="N132" s="291">
        <f>L132+M132</f>
        <v/>
      </c>
      <c r="O132" s="296" t="n">
        <v>220000</v>
      </c>
      <c r="P132" s="296" t="n">
        <v>220000</v>
      </c>
      <c r="Q132" s="296" t="n">
        <v>440000</v>
      </c>
      <c r="R132" s="296" t="n">
        <v>660000</v>
      </c>
      <c r="S132" s="296" t="n">
        <v>105600</v>
      </c>
      <c r="T132" s="296" t="n">
        <v>765600</v>
      </c>
      <c r="U132" s="78" t="inlineStr">
        <is>
          <t>IMAGEN</t>
        </is>
      </c>
      <c r="V132" s="85" t="n"/>
      <c r="W132" s="83" t="inlineStr">
        <is>
          <t>ADJUDICADO</t>
        </is>
      </c>
      <c r="X132" s="5" t="inlineStr">
        <is>
          <t>PROYECTADO</t>
        </is>
      </c>
    </row>
    <row r="133" ht="105" customHeight="1" s="227">
      <c r="A133" s="92" t="n">
        <v>301</v>
      </c>
      <c r="B133" s="68" t="inlineStr">
        <is>
          <t>CDMX</t>
        </is>
      </c>
      <c r="C133" s="69" t="inlineStr">
        <is>
          <t>Rayos X fijo, marca Osko, modelo XR5</t>
        </is>
      </c>
      <c r="D133" s="68" t="inlineStr">
        <is>
          <t>XRC1094990MX</t>
        </is>
      </c>
      <c r="E133" s="69" t="inlineStr">
        <is>
          <t>Subcentro de Evaluación Médica, Campo Militar 1-A</t>
        </is>
      </c>
      <c r="F133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I133+J133+K133</f>
        <v/>
      </c>
      <c r="M133" s="291">
        <f>L133*0.16</f>
        <v/>
      </c>
      <c r="N133" s="291">
        <f>L133+M133</f>
        <v/>
      </c>
      <c r="O133" s="296" t="n">
        <v>220000</v>
      </c>
      <c r="P133" s="296" t="n">
        <v>220000</v>
      </c>
      <c r="Q133" s="296" t="n">
        <v>440000</v>
      </c>
      <c r="R133" s="296" t="n">
        <v>660000</v>
      </c>
      <c r="S133" s="296" t="n">
        <v>105600</v>
      </c>
      <c r="T133" s="296" t="n">
        <v>765600</v>
      </c>
      <c r="U133" s="78" t="inlineStr">
        <is>
          <t>IMAGEN</t>
        </is>
      </c>
      <c r="V133" s="85" t="n"/>
      <c r="W133" s="103" t="inlineStr">
        <is>
          <t>ADJUDICADO</t>
        </is>
      </c>
      <c r="X133" s="5" t="inlineStr">
        <is>
          <t>NO PROYECTADO</t>
        </is>
      </c>
    </row>
    <row r="134" ht="105" customHeight="1" s="227">
      <c r="A134" s="92" t="n">
        <v>302</v>
      </c>
      <c r="B134" s="68" t="inlineStr">
        <is>
          <t>CDMX</t>
        </is>
      </c>
      <c r="C134" s="69" t="inlineStr">
        <is>
          <t>Rayos X fijo, marca Osko, modelo XR5</t>
        </is>
      </c>
      <c r="D134" s="68" t="inlineStr">
        <is>
          <t>XRC1095095MX</t>
        </is>
      </c>
      <c r="E134" s="69" t="inlineStr">
        <is>
          <t>Subcentro de Evaluación Médica, Campo Militar 1-A</t>
        </is>
      </c>
      <c r="F134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I134+J134+K134</f>
        <v/>
      </c>
      <c r="M134" s="291">
        <f>L134*0.16</f>
        <v/>
      </c>
      <c r="N134" s="291">
        <f>L134+M134</f>
        <v/>
      </c>
      <c r="O134" s="296" t="n">
        <v>220000</v>
      </c>
      <c r="P134" s="296" t="n">
        <v>220000</v>
      </c>
      <c r="Q134" s="296" t="n">
        <v>440000</v>
      </c>
      <c r="R134" s="296" t="n">
        <v>660000</v>
      </c>
      <c r="S134" s="296" t="n">
        <v>105600</v>
      </c>
      <c r="T134" s="296" t="n">
        <v>765600</v>
      </c>
      <c r="U134" s="78" t="inlineStr">
        <is>
          <t>IMAGEN</t>
        </is>
      </c>
      <c r="V134" s="85" t="n"/>
      <c r="W134" s="103" t="inlineStr">
        <is>
          <t>ADJUDICADO</t>
        </is>
      </c>
      <c r="X134" s="5" t="inlineStr">
        <is>
          <t>NO PROYECTADO</t>
        </is>
      </c>
    </row>
    <row r="135" ht="105" customHeight="1" s="227">
      <c r="A135" s="92" t="n">
        <v>303</v>
      </c>
      <c r="B135" s="68" t="inlineStr">
        <is>
          <t>CDMX</t>
        </is>
      </c>
      <c r="C135" s="69" t="inlineStr">
        <is>
          <t>Rayos X fijo, marca Osko, modelo XR5</t>
        </is>
      </c>
      <c r="D135" s="68" t="inlineStr">
        <is>
          <t>XRC1094988MX</t>
        </is>
      </c>
      <c r="E135" s="69" t="inlineStr">
        <is>
          <t>Subcentro de Evaluación Médica, Campo Militar 1-A</t>
        </is>
      </c>
      <c r="F135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>
        <v>100000</v>
      </c>
      <c r="J135" s="291">
        <f>I135</f>
        <v/>
      </c>
      <c r="K135" s="291">
        <f>J135</f>
        <v/>
      </c>
      <c r="L135" s="291">
        <f>I135+J135+K135</f>
        <v/>
      </c>
      <c r="M135" s="291">
        <f>L135*0.16</f>
        <v/>
      </c>
      <c r="N135" s="291">
        <f>L135+M135</f>
        <v/>
      </c>
      <c r="O135" s="296" t="n">
        <v>220000</v>
      </c>
      <c r="P135" s="296" t="n">
        <v>220000</v>
      </c>
      <c r="Q135" s="296" t="n">
        <v>440000</v>
      </c>
      <c r="R135" s="296" t="n">
        <v>660000</v>
      </c>
      <c r="S135" s="296" t="n">
        <v>105600</v>
      </c>
      <c r="T135" s="296" t="n">
        <v>765600</v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120" customHeight="1" s="227">
      <c r="A136" s="86" t="n">
        <v>304</v>
      </c>
      <c r="B136" s="68" t="inlineStr">
        <is>
          <t>CDMX</t>
        </is>
      </c>
      <c r="C136" s="69" t="inlineStr">
        <is>
          <t>Impresora para placas radiográficas, marca Fujifilm, modelo Drypix 8000</t>
        </is>
      </c>
      <c r="D136" s="68" t="inlineStr">
        <is>
          <t>17130510</t>
        </is>
      </c>
      <c r="E136" s="69" t="inlineStr">
        <is>
          <t>Subcentro de Evaluación Médica, Campo Militar 1-A</t>
        </is>
      </c>
      <c r="F136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100000</v>
      </c>
      <c r="J136" s="291">
        <f>I136</f>
        <v/>
      </c>
      <c r="K136" s="291">
        <f>J136</f>
        <v/>
      </c>
      <c r="L136" s="291">
        <f>I136+J136+K136</f>
        <v/>
      </c>
      <c r="M136" s="291">
        <f>L136*0.16</f>
        <v/>
      </c>
      <c r="N136" s="291">
        <f>L136+M136</f>
        <v/>
      </c>
      <c r="O136" s="296" t="n">
        <v>220000</v>
      </c>
      <c r="P136" s="296" t="n">
        <v>220000</v>
      </c>
      <c r="Q136" s="296" t="n">
        <v>440000</v>
      </c>
      <c r="R136" s="296" t="n">
        <v>660000</v>
      </c>
      <c r="S136" s="296" t="n">
        <v>105600</v>
      </c>
      <c r="T136" s="296" t="n">
        <v>765600</v>
      </c>
      <c r="U136" s="78" t="inlineStr">
        <is>
          <t>IMAGEN</t>
        </is>
      </c>
      <c r="V136" s="85" t="n"/>
      <c r="W136" s="83" t="inlineStr">
        <is>
          <t>ADJUDICADO</t>
        </is>
      </c>
      <c r="X136" s="5" t="inlineStr">
        <is>
          <t>PROYECTADO</t>
        </is>
      </c>
    </row>
    <row r="137" ht="120" customHeight="1" s="227">
      <c r="A137" s="86" t="n">
        <v>305</v>
      </c>
      <c r="B137" s="68" t="inlineStr">
        <is>
          <t>CDMX</t>
        </is>
      </c>
      <c r="C137" s="69" t="inlineStr">
        <is>
          <t>Impresora para placas radiográficas, marca Fujifilm, modelo Drypix 8000</t>
        </is>
      </c>
      <c r="D137" s="68" t="inlineStr">
        <is>
          <t>17130513</t>
        </is>
      </c>
      <c r="E137" s="69" t="inlineStr">
        <is>
          <t>Subcentro de Evaluación Médica, Campo Militar 1-A</t>
        </is>
      </c>
      <c r="F137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100000</v>
      </c>
      <c r="J137" s="291">
        <f>I137</f>
        <v/>
      </c>
      <c r="K137" s="291">
        <f>J137</f>
        <v/>
      </c>
      <c r="L137" s="291">
        <f>I137+J137+K137</f>
        <v/>
      </c>
      <c r="M137" s="291">
        <f>L137*0.16</f>
        <v/>
      </c>
      <c r="N137" s="291">
        <f>L137+M137</f>
        <v/>
      </c>
      <c r="O137" s="296" t="n">
        <v>220000</v>
      </c>
      <c r="P137" s="296" t="n">
        <v>220000</v>
      </c>
      <c r="Q137" s="296" t="n">
        <v>440000</v>
      </c>
      <c r="R137" s="296" t="n">
        <v>660000</v>
      </c>
      <c r="S137" s="296" t="n">
        <v>105600</v>
      </c>
      <c r="T137" s="296" t="n">
        <v>765600</v>
      </c>
      <c r="U137" s="78" t="inlineStr">
        <is>
          <t>IMAGEN</t>
        </is>
      </c>
      <c r="V137" s="85" t="n"/>
      <c r="W137" s="83" t="inlineStr">
        <is>
          <t>ADJUDICADO</t>
        </is>
      </c>
      <c r="X137" s="5" t="inlineStr">
        <is>
          <t>PROYECTADO</t>
        </is>
      </c>
    </row>
    <row r="138" ht="120" customHeight="1" s="227">
      <c r="A138" s="86" t="n">
        <v>306</v>
      </c>
      <c r="B138" s="68" t="inlineStr">
        <is>
          <t>CDMX</t>
        </is>
      </c>
      <c r="C138" s="69" t="inlineStr">
        <is>
          <t>Impresora para placas radiográficas, marca Fujifilm, modelo Drypix 8000</t>
        </is>
      </c>
      <c r="D138" s="68" t="inlineStr">
        <is>
          <t>17130554</t>
        </is>
      </c>
      <c r="E138" s="69" t="inlineStr">
        <is>
          <t>Subcentro de Evaluación Médica, Campo Militar 1-A</t>
        </is>
      </c>
      <c r="F138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100000</v>
      </c>
      <c r="J138" s="291">
        <f>I138</f>
        <v/>
      </c>
      <c r="K138" s="291">
        <f>J138</f>
        <v/>
      </c>
      <c r="L138" s="291">
        <f>I138+J138+K138</f>
        <v/>
      </c>
      <c r="M138" s="291">
        <f>L138*0.16</f>
        <v/>
      </c>
      <c r="N138" s="291">
        <f>L138+M138</f>
        <v/>
      </c>
      <c r="O138" s="296" t="n">
        <v>220000</v>
      </c>
      <c r="P138" s="296" t="n">
        <v>220000</v>
      </c>
      <c r="Q138" s="296" t="n">
        <v>440000</v>
      </c>
      <c r="R138" s="296" t="n">
        <v>660000</v>
      </c>
      <c r="S138" s="296" t="n">
        <v>105600</v>
      </c>
      <c r="T138" s="296" t="n">
        <v>765600</v>
      </c>
      <c r="U138" s="78" t="inlineStr">
        <is>
          <t>IMAGEN</t>
        </is>
      </c>
      <c r="V138" s="85" t="n"/>
      <c r="W138" s="83" t="inlineStr">
        <is>
          <t>ADJUDICADO</t>
        </is>
      </c>
      <c r="X138" s="5" t="inlineStr">
        <is>
          <t>PROYECTADO</t>
        </is>
      </c>
    </row>
    <row r="139" hidden="1" ht="120" customHeight="1" s="227">
      <c r="A139" s="86" t="n">
        <v>307</v>
      </c>
      <c r="B139" s="68" t="inlineStr">
        <is>
          <t>CDMX</t>
        </is>
      </c>
      <c r="C139" s="69" t="inlineStr">
        <is>
          <t>Cámara de Scheimpflug, marca Oculus, modelo Pentacam HR</t>
        </is>
      </c>
      <c r="D139" s="68" t="inlineStr">
        <is>
          <t>70900 2455 1210</t>
        </is>
      </c>
      <c r="E139" s="69" t="inlineStr">
        <is>
          <t>Subcentro de Evaluación Médica, Campo Militar 1-A</t>
        </is>
      </c>
      <c r="F139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50000</v>
      </c>
      <c r="J139" s="291" t="n">
        <v>50000</v>
      </c>
      <c r="K139" s="291" t="n">
        <v>50000</v>
      </c>
      <c r="L139" s="291" t="n">
        <v>150000</v>
      </c>
      <c r="M139" s="291" t="n">
        <v>24000</v>
      </c>
      <c r="N139" s="291" t="n">
        <v>174000</v>
      </c>
      <c r="O139" s="296" t="n">
        <v>150000</v>
      </c>
      <c r="P139" s="296" t="n">
        <v>150000</v>
      </c>
      <c r="Q139" s="296" t="n">
        <v>300000</v>
      </c>
      <c r="R139" s="296" t="n">
        <v>450000</v>
      </c>
      <c r="S139" s="296" t="n">
        <v>72000</v>
      </c>
      <c r="T139" s="296" t="n">
        <v>522000</v>
      </c>
      <c r="U139" s="78" t="inlineStr">
        <is>
          <t>OFTALMO</t>
        </is>
      </c>
      <c r="V139" s="81" t="inlineStr">
        <is>
          <t>CYAN</t>
        </is>
      </c>
      <c r="W139" s="83" t="inlineStr">
        <is>
          <t>ADJUDICADO</t>
        </is>
      </c>
      <c r="X139" s="5" t="inlineStr">
        <is>
          <t>PROYECTADO</t>
        </is>
      </c>
    </row>
    <row r="140" ht="105" customHeight="1" s="227">
      <c r="A140" s="92" t="n">
        <v>309</v>
      </c>
      <c r="B140" s="68" t="inlineStr">
        <is>
          <t>BAJA CALIFORNIA</t>
        </is>
      </c>
      <c r="C140" s="69" t="inlineStr">
        <is>
          <t>Equipo de rayos X móvil, marca Technix, modelo TMS 320</t>
        </is>
      </c>
      <c r="D140" s="68" t="inlineStr">
        <is>
          <t>80-16-82-153</t>
        </is>
      </c>
      <c r="E140" s="69" t="inlineStr">
        <is>
          <t>H.M.R. La Paz</t>
        </is>
      </c>
      <c r="F140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>
        <v>150000</v>
      </c>
      <c r="J140" s="291">
        <f>I140</f>
        <v/>
      </c>
      <c r="K140" s="291">
        <f>J140</f>
        <v/>
      </c>
      <c r="L140" s="291">
        <f>I140+J140+K140</f>
        <v/>
      </c>
      <c r="M140" s="291">
        <f>L140*0.16</f>
        <v/>
      </c>
      <c r="N140" s="291">
        <f>L140+M140</f>
        <v/>
      </c>
      <c r="O140" s="296" t="n">
        <v>300000</v>
      </c>
      <c r="P140" s="296" t="n">
        <v>300000</v>
      </c>
      <c r="Q140" s="296" t="n">
        <v>600000</v>
      </c>
      <c r="R140" s="296" t="n">
        <v>900000</v>
      </c>
      <c r="S140" s="296" t="n">
        <v>144000</v>
      </c>
      <c r="T140" s="296" t="n">
        <v>1044000</v>
      </c>
      <c r="U140" s="78" t="inlineStr">
        <is>
          <t>IMAGEN</t>
        </is>
      </c>
      <c r="V140" s="85" t="n"/>
      <c r="W140" s="103" t="inlineStr">
        <is>
          <t>ADJUDICADO</t>
        </is>
      </c>
      <c r="X140" s="5" t="inlineStr">
        <is>
          <t>NO PROYECTADO</t>
        </is>
      </c>
      <c r="Y140" s="5" t="inlineStr">
        <is>
          <t>SOBREPRECIO ADJUDICADO</t>
        </is>
      </c>
    </row>
    <row r="141" hidden="1" ht="105" customHeight="1" s="227">
      <c r="A141" s="86" t="n">
        <v>310</v>
      </c>
      <c r="B141" s="68" t="inlineStr">
        <is>
          <t>BAJA CALIFORNIA</t>
        </is>
      </c>
      <c r="C141" s="69" t="inlineStr">
        <is>
          <t>Fotocoagulador láser , marca Quantel Medical, modelo Supra Scan</t>
        </is>
      </c>
      <c r="D141" s="68" t="inlineStr">
        <is>
          <t>454</t>
        </is>
      </c>
      <c r="E141" s="69" t="inlineStr">
        <is>
          <t>H.M.R. La Paz</t>
        </is>
      </c>
      <c r="F141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55000</v>
      </c>
      <c r="J141" s="291" t="n">
        <v>55000</v>
      </c>
      <c r="K141" s="291" t="n">
        <v>55000</v>
      </c>
      <c r="L141" s="291" t="n">
        <v>165000</v>
      </c>
      <c r="M141" s="291" t="n">
        <v>26400</v>
      </c>
      <c r="N141" s="291" t="n">
        <v>191400</v>
      </c>
      <c r="O141" s="296" t="n">
        <v>180000</v>
      </c>
      <c r="P141" s="296" t="n">
        <v>180000</v>
      </c>
      <c r="Q141" s="296" t="n">
        <v>360000</v>
      </c>
      <c r="R141" s="296" t="n">
        <v>540000</v>
      </c>
      <c r="S141" s="296" t="n">
        <v>86400</v>
      </c>
      <c r="T141" s="296" t="n">
        <v>626400</v>
      </c>
      <c r="U141" s="78" t="inlineStr">
        <is>
          <t>OFTALMO</t>
        </is>
      </c>
      <c r="V141" s="81" t="inlineStr">
        <is>
          <t>ARFAMEX</t>
        </is>
      </c>
      <c r="W141" s="83" t="inlineStr">
        <is>
          <t>ADJUDICADO</t>
        </is>
      </c>
      <c r="X141" s="5" t="inlineStr">
        <is>
          <t>PROYECTADO</t>
        </is>
      </c>
    </row>
    <row r="142" ht="105" customHeight="1" s="227">
      <c r="A142" s="92" t="n">
        <v>313</v>
      </c>
      <c r="B142" s="68" t="inlineStr">
        <is>
          <t>SINALOA</t>
        </is>
      </c>
      <c r="C142" s="69" t="inlineStr">
        <is>
          <t>Rayos X móvil, marca Villa Sistemi Medicali, modelo Visitor T30 M-DR</t>
        </is>
      </c>
      <c r="D142" s="68" t="inlineStr">
        <is>
          <t>14-11-1038</t>
        </is>
      </c>
      <c r="E142" s="69" t="inlineStr">
        <is>
          <t>H.M.R.E. Mazatlán</t>
        </is>
      </c>
      <c r="F142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150000</v>
      </c>
      <c r="J142" s="291">
        <f>I142</f>
        <v/>
      </c>
      <c r="K142" s="291">
        <f>J142</f>
        <v/>
      </c>
      <c r="L142" s="291">
        <f>I142+J142+K142</f>
        <v/>
      </c>
      <c r="M142" s="291">
        <f>L142*0.16</f>
        <v/>
      </c>
      <c r="N142" s="291">
        <f>L142+M142</f>
        <v/>
      </c>
      <c r="O142" s="296" t="n">
        <v>300000</v>
      </c>
      <c r="P142" s="296" t="n">
        <v>300000</v>
      </c>
      <c r="Q142" s="296" t="n">
        <v>600000</v>
      </c>
      <c r="R142" s="296" t="n">
        <v>900000</v>
      </c>
      <c r="S142" s="296" t="n">
        <v>144000</v>
      </c>
      <c r="T142" s="296" t="n">
        <v>1044000</v>
      </c>
      <c r="U142" s="78" t="inlineStr">
        <is>
          <t>IMAGEN</t>
        </is>
      </c>
      <c r="V142" s="85" t="n"/>
      <c r="W142" s="103" t="inlineStr">
        <is>
          <t>ADJUDICADO</t>
        </is>
      </c>
      <c r="X142" s="5" t="inlineStr">
        <is>
          <t>NO PROYECTADO</t>
        </is>
      </c>
      <c r="Y142" s="5" t="inlineStr">
        <is>
          <t>SOBREPRECIO ADJUDICADO</t>
        </is>
      </c>
    </row>
    <row r="143" ht="105" customHeight="1" s="227">
      <c r="A143" s="92" t="n">
        <v>314</v>
      </c>
      <c r="B143" s="68" t="inlineStr">
        <is>
          <t>PUEBLA</t>
        </is>
      </c>
      <c r="C143" s="69" t="inlineStr">
        <is>
          <t>Equipo de rayos X móvil, marca Technix, modelo TMS 320</t>
        </is>
      </c>
      <c r="D143" s="68" t="inlineStr">
        <is>
          <t>80-16-101-172</t>
        </is>
      </c>
      <c r="E143" s="69" t="inlineStr">
        <is>
          <t>H.M.R. Puebla</t>
        </is>
      </c>
      <c r="F143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n">
        <v>100000</v>
      </c>
      <c r="J143" s="291">
        <f>I143</f>
        <v/>
      </c>
      <c r="K143" s="291">
        <f>J143</f>
        <v/>
      </c>
      <c r="L143" s="291">
        <f>I143+J143+K143</f>
        <v/>
      </c>
      <c r="M143" s="291">
        <f>L143*0.16</f>
        <v/>
      </c>
      <c r="N143" s="291">
        <f>L143+M143</f>
        <v/>
      </c>
      <c r="O143" s="296" t="n">
        <v>220000</v>
      </c>
      <c r="P143" s="296" t="n">
        <v>220000</v>
      </c>
      <c r="Q143" s="296" t="n">
        <v>440000</v>
      </c>
      <c r="R143" s="296" t="n">
        <v>660000</v>
      </c>
      <c r="S143" s="296" t="n">
        <v>105600</v>
      </c>
      <c r="T143" s="296" t="n">
        <v>765600</v>
      </c>
      <c r="U143" s="78" t="inlineStr">
        <is>
          <t>IMAGEN</t>
        </is>
      </c>
      <c r="V143" s="85" t="n"/>
      <c r="W143" s="103" t="inlineStr">
        <is>
          <t>ADJUDICADO</t>
        </is>
      </c>
      <c r="X143" s="5" t="inlineStr">
        <is>
          <t>NO PROYECTADO</t>
        </is>
      </c>
    </row>
    <row r="144" ht="105" customHeight="1" s="227">
      <c r="A144" s="92" t="n">
        <v>316</v>
      </c>
      <c r="B144" s="68" t="inlineStr">
        <is>
          <t>PUEBLA</t>
        </is>
      </c>
      <c r="C144" s="69" t="inlineStr">
        <is>
          <t>Equipo de rayos X móvil, marca Mindray, modelo MobiEye 700</t>
        </is>
      </c>
      <c r="D144" s="68" t="inlineStr">
        <is>
          <t>C8-05002378T</t>
        </is>
      </c>
      <c r="E144" s="69" t="inlineStr">
        <is>
          <t>H.M.R. Puebla</t>
        </is>
      </c>
      <c r="F144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I144+J144+K144</f>
        <v/>
      </c>
      <c r="M144" s="291">
        <f>L144*0.16</f>
        <v/>
      </c>
      <c r="N144" s="291">
        <f>L144+M144</f>
        <v/>
      </c>
      <c r="O144" s="296" t="n">
        <v>220000</v>
      </c>
      <c r="P144" s="296" t="n">
        <v>220000</v>
      </c>
      <c r="Q144" s="296" t="n">
        <v>440000</v>
      </c>
      <c r="R144" s="296" t="n">
        <v>660000</v>
      </c>
      <c r="S144" s="296" t="n">
        <v>105600</v>
      </c>
      <c r="T144" s="296" t="n">
        <v>765600</v>
      </c>
      <c r="U144" s="78" t="inlineStr">
        <is>
          <t>IMAGEN</t>
        </is>
      </c>
      <c r="V144" s="85" t="n"/>
      <c r="W144" s="103" t="inlineStr">
        <is>
          <t>ADJUDICADO</t>
        </is>
      </c>
      <c r="X144" s="5" t="inlineStr">
        <is>
          <t>NO PROYECTADO</t>
        </is>
      </c>
    </row>
    <row r="145" ht="105" customHeight="1" s="227">
      <c r="A145" s="86" t="n">
        <v>319</v>
      </c>
      <c r="B145" s="68" t="inlineStr">
        <is>
          <t>CDMX</t>
        </is>
      </c>
      <c r="C145" s="69" t="inlineStr">
        <is>
          <t>Arco en C, marca Ziehm Imaging, modelo Vision R</t>
        </is>
      </c>
      <c r="D145" s="68" t="inlineStr">
        <is>
          <t>10705</t>
        </is>
      </c>
      <c r="E145" s="69" t="inlineStr">
        <is>
          <t>H.M.Z. Campo Militar No. 1-A</t>
        </is>
      </c>
      <c r="F145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>
        <v>100000</v>
      </c>
      <c r="J145" s="291">
        <f>I145</f>
        <v/>
      </c>
      <c r="K145" s="291">
        <f>J145</f>
        <v/>
      </c>
      <c r="L145" s="291">
        <f>I145+J145+K145</f>
        <v/>
      </c>
      <c r="M145" s="291">
        <f>L145*0.16</f>
        <v/>
      </c>
      <c r="N145" s="291">
        <f>L145+M145</f>
        <v/>
      </c>
      <c r="O145" s="296" t="n">
        <v>220000</v>
      </c>
      <c r="P145" s="296" t="n">
        <v>220000</v>
      </c>
      <c r="Q145" s="296" t="n">
        <v>440000</v>
      </c>
      <c r="R145" s="296" t="n">
        <v>660000</v>
      </c>
      <c r="S145" s="296" t="n">
        <v>105600</v>
      </c>
      <c r="T145" s="296" t="n">
        <v>765600</v>
      </c>
      <c r="U145" s="78" t="inlineStr">
        <is>
          <t>IMAGEN</t>
        </is>
      </c>
      <c r="V145" s="85" t="n"/>
      <c r="W145" s="83" t="inlineStr">
        <is>
          <t>ADJUDICADO</t>
        </is>
      </c>
      <c r="X145" s="5" t="inlineStr">
        <is>
          <t>PROYECTADO</t>
        </is>
      </c>
    </row>
    <row r="146" hidden="1" ht="105" customHeight="1" s="227">
      <c r="A146" s="86" t="n">
        <v>321</v>
      </c>
      <c r="B146" s="68" t="inlineStr">
        <is>
          <t>JALISCO</t>
        </is>
      </c>
      <c r="C146" s="69" t="inlineStr">
        <is>
          <t>Microscopio quirúrgico oftalmológico, marca Leica, modelo M822 F40</t>
        </is>
      </c>
      <c r="D146" s="68" t="inlineStr">
        <is>
          <t>160219002</t>
        </is>
      </c>
      <c r="E146" s="69" t="inlineStr">
        <is>
          <t>H.M.Z. Zapopan</t>
        </is>
      </c>
      <c r="F146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>
        <v>250000</v>
      </c>
      <c r="J146" s="291" t="n">
        <v>250000</v>
      </c>
      <c r="K146" s="291" t="n">
        <v>250000</v>
      </c>
      <c r="L146" s="291" t="n">
        <v>750000</v>
      </c>
      <c r="M146" s="291" t="n">
        <v>120000</v>
      </c>
      <c r="N146" s="291" t="n">
        <v>870000</v>
      </c>
      <c r="O146" s="296" t="n">
        <v>160000</v>
      </c>
      <c r="P146" s="296" t="n">
        <v>160000</v>
      </c>
      <c r="Q146" s="296" t="n">
        <v>320000</v>
      </c>
      <c r="R146" s="296" t="n">
        <v>480000</v>
      </c>
      <c r="S146" s="296" t="n">
        <v>76800</v>
      </c>
      <c r="T146" s="296" t="n">
        <v>556800</v>
      </c>
      <c r="U146" s="78" t="inlineStr">
        <is>
          <t>OFTALMO</t>
        </is>
      </c>
      <c r="V146" s="81" t="inlineStr">
        <is>
          <t>COINDISA</t>
        </is>
      </c>
      <c r="W146" s="83" t="inlineStr">
        <is>
          <t>ADJUDICADO</t>
        </is>
      </c>
      <c r="X146" s="5" t="inlineStr">
        <is>
          <t>PROYECTADO</t>
        </is>
      </c>
    </row>
    <row r="147" ht="105" customHeight="1" s="227">
      <c r="A147" s="92" t="n">
        <v>335</v>
      </c>
      <c r="B147" s="68" t="inlineStr">
        <is>
          <t>CDMX</t>
        </is>
      </c>
      <c r="C147" s="69" t="inlineStr">
        <is>
          <t>Rayos X móvil, marca Philips, modelo MobileDiagnost wDR Release 2</t>
        </is>
      </c>
      <c r="D147" s="68" t="inlineStr">
        <is>
          <t>15100252</t>
        </is>
      </c>
      <c r="E147" s="69" t="inlineStr">
        <is>
          <t>H.M.E.M. Y N. Lomas de Sotelo</t>
        </is>
      </c>
      <c r="F147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>
        <v>100000</v>
      </c>
      <c r="J147" s="291">
        <f>I147</f>
        <v/>
      </c>
      <c r="K147" s="291">
        <f>J147</f>
        <v/>
      </c>
      <c r="L147" s="291">
        <f>I147+J147+K147</f>
        <v/>
      </c>
      <c r="M147" s="291">
        <f>L147*0.16</f>
        <v/>
      </c>
      <c r="N147" s="291">
        <f>L147+M147</f>
        <v/>
      </c>
      <c r="O147" s="296" t="n">
        <v>220000</v>
      </c>
      <c r="P147" s="296" t="n">
        <v>220000</v>
      </c>
      <c r="Q147" s="296" t="n">
        <v>440000</v>
      </c>
      <c r="R147" s="296" t="n">
        <v>660000</v>
      </c>
      <c r="S147" s="296" t="n">
        <v>105600</v>
      </c>
      <c r="T147" s="296" t="n">
        <v>765600</v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105" customHeight="1" s="227">
      <c r="A148" s="92" t="n">
        <v>336</v>
      </c>
      <c r="B148" s="68" t="inlineStr">
        <is>
          <t>NUEVO LEON</t>
        </is>
      </c>
      <c r="C148" s="69" t="inlineStr">
        <is>
          <t>Rayos X móvil, marca Philips, modelo MobileDiagnost wDR Release 2</t>
        </is>
      </c>
      <c r="D148" s="68" t="inlineStr">
        <is>
          <t>16200158</t>
        </is>
      </c>
      <c r="E148" s="69" t="inlineStr">
        <is>
          <t>H.M.R.E. Monterrey</t>
        </is>
      </c>
      <c r="F148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150000</v>
      </c>
      <c r="J148" s="291">
        <f>I148</f>
        <v/>
      </c>
      <c r="K148" s="291">
        <f>J148</f>
        <v/>
      </c>
      <c r="L148" s="291">
        <f>I148+J148+K148</f>
        <v/>
      </c>
      <c r="M148" s="291">
        <f>L148*0.16</f>
        <v/>
      </c>
      <c r="N148" s="291">
        <f>L148+M148</f>
        <v/>
      </c>
      <c r="O148" s="296" t="n">
        <v>300000</v>
      </c>
      <c r="P148" s="296" t="n">
        <v>300000</v>
      </c>
      <c r="Q148" s="296" t="n">
        <v>600000</v>
      </c>
      <c r="R148" s="296" t="n">
        <v>900000</v>
      </c>
      <c r="S148" s="296" t="n">
        <v>144000</v>
      </c>
      <c r="T148" s="296" t="n">
        <v>1044000</v>
      </c>
      <c r="U148" s="78" t="inlineStr">
        <is>
          <t>IMAGEN</t>
        </is>
      </c>
      <c r="V148" s="85" t="n"/>
      <c r="W148" s="103" t="inlineStr">
        <is>
          <t>ADJUDICADO</t>
        </is>
      </c>
      <c r="X148" s="5" t="inlineStr">
        <is>
          <t>NO PROYECTADO</t>
        </is>
      </c>
    </row>
    <row r="149" hidden="1" ht="105" customHeight="1" s="227">
      <c r="A149" s="86" t="n">
        <v>338</v>
      </c>
      <c r="B149" s="68" t="inlineStr">
        <is>
          <t>CDMX</t>
        </is>
      </c>
      <c r="C149" s="69" t="inlineStr">
        <is>
          <t>Láser de femtosegundo, marca Alcon, modelo LenSx</t>
        </is>
      </c>
      <c r="D149" s="68" t="inlineStr">
        <is>
          <t>2102004501X</t>
        </is>
      </c>
      <c r="E149" s="69" t="inlineStr">
        <is>
          <t>H.M.E.O. Constituyentes</t>
        </is>
      </c>
      <c r="F149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280000</v>
      </c>
      <c r="J149" s="291" t="n">
        <v>280000</v>
      </c>
      <c r="K149" s="291" t="n">
        <v>280000</v>
      </c>
      <c r="L149" s="291" t="n">
        <v>840000</v>
      </c>
      <c r="M149" s="291" t="n">
        <v>134400</v>
      </c>
      <c r="N149" s="291" t="n">
        <v>974400</v>
      </c>
      <c r="O149" s="296" t="n">
        <v>390000</v>
      </c>
      <c r="P149" s="296" t="n">
        <v>390000</v>
      </c>
      <c r="Q149" s="296" t="n">
        <v>780000</v>
      </c>
      <c r="R149" s="296" t="n">
        <v>1170000</v>
      </c>
      <c r="S149" s="296" t="n">
        <v>187200</v>
      </c>
      <c r="T149" s="296" t="n">
        <v>1357200</v>
      </c>
      <c r="U149" s="78" t="inlineStr">
        <is>
          <t>OFTALMO</t>
        </is>
      </c>
      <c r="V149" s="81" t="inlineStr">
        <is>
          <t>ALCON</t>
        </is>
      </c>
      <c r="W149" s="83" t="inlineStr">
        <is>
          <t>ADJUDICADO</t>
        </is>
      </c>
      <c r="X149" s="5" t="inlineStr">
        <is>
          <t>PROYECTADO</t>
        </is>
      </c>
    </row>
    <row r="150" hidden="1" ht="105" customHeight="1" s="227">
      <c r="A150" s="86" t="n">
        <v>351</v>
      </c>
      <c r="B150" s="68" t="inlineStr">
        <is>
          <t>CDMX</t>
        </is>
      </c>
      <c r="C150" s="69" t="inlineStr">
        <is>
          <t>Sistema de diagnóstico oftálmico avanzado, marca Nidek, modelo OPD-Scan III</t>
        </is>
      </c>
      <c r="D150" s="68" t="inlineStr">
        <is>
          <t>470023</t>
        </is>
      </c>
      <c r="E150" s="69" t="inlineStr">
        <is>
          <t>H.M.E.O. Constituyentes</t>
        </is>
      </c>
      <c r="F150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40000</v>
      </c>
      <c r="J150" s="291" t="n">
        <v>40000</v>
      </c>
      <c r="K150" s="291" t="n">
        <v>40000</v>
      </c>
      <c r="L150" s="291" t="n">
        <v>120000</v>
      </c>
      <c r="M150" s="291" t="n">
        <v>19200</v>
      </c>
      <c r="N150" s="291" t="n">
        <v>139200</v>
      </c>
      <c r="O150" s="296" t="n">
        <v>150000</v>
      </c>
      <c r="P150" s="296" t="n">
        <v>150000</v>
      </c>
      <c r="Q150" s="296" t="n">
        <v>300000</v>
      </c>
      <c r="R150" s="296" t="n">
        <v>450000</v>
      </c>
      <c r="S150" s="296" t="n">
        <v>72000</v>
      </c>
      <c r="T150" s="296" t="n">
        <v>522000</v>
      </c>
      <c r="U150" s="78" t="inlineStr">
        <is>
          <t>OFTALMO</t>
        </is>
      </c>
      <c r="V150" s="81" t="inlineStr">
        <is>
          <t>S4</t>
        </is>
      </c>
      <c r="W150" s="83" t="inlineStr">
        <is>
          <t>ADJUDICADO</t>
        </is>
      </c>
      <c r="X150" s="5" t="inlineStr">
        <is>
          <t>PROYECTADO</t>
        </is>
      </c>
    </row>
    <row r="151" ht="105" customHeight="1" s="227">
      <c r="A151" s="92" t="n">
        <v>353</v>
      </c>
      <c r="B151" s="68" t="inlineStr">
        <is>
          <t>CDMX</t>
        </is>
      </c>
      <c r="C151" s="69" t="inlineStr">
        <is>
          <t>Rayos X portátil, marca Carestream, modelo DRX Revolution</t>
        </is>
      </c>
      <c r="D151" s="68" t="inlineStr">
        <is>
          <t>21F0363</t>
        </is>
      </c>
      <c r="E151" s="69" t="inlineStr">
        <is>
          <t>U.M.C.E. Tlalpan</t>
        </is>
      </c>
      <c r="F151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81" t="n">
        <v>2</v>
      </c>
      <c r="I151" s="291" t="n">
        <v>100000</v>
      </c>
      <c r="J151" s="291">
        <f>I151</f>
        <v/>
      </c>
      <c r="K151" s="291">
        <f>J151</f>
        <v/>
      </c>
      <c r="L151" s="291">
        <f>I151+J151+K151</f>
        <v/>
      </c>
      <c r="M151" s="291">
        <f>L151*0.16</f>
        <v/>
      </c>
      <c r="N151" s="291">
        <f>L151+M151</f>
        <v/>
      </c>
      <c r="O151" s="296" t="n">
        <v>250000</v>
      </c>
      <c r="P151" s="296" t="n">
        <v>250000</v>
      </c>
      <c r="Q151" s="296" t="n">
        <v>500000</v>
      </c>
      <c r="R151" s="296" t="n">
        <v>750000</v>
      </c>
      <c r="S151" s="296" t="n">
        <v>120000</v>
      </c>
      <c r="T151" s="296" t="n">
        <v>870000</v>
      </c>
      <c r="U151" s="78" t="inlineStr">
        <is>
          <t>IMAGEN</t>
        </is>
      </c>
      <c r="V151" s="85" t="n"/>
      <c r="W151" s="103" t="inlineStr">
        <is>
          <t>ADJUDICADO</t>
        </is>
      </c>
      <c r="X151" s="5" t="inlineStr">
        <is>
          <t>NO PROYECTADO</t>
        </is>
      </c>
    </row>
    <row r="152" hidden="1" ht="105" customHeight="1" s="227">
      <c r="A152" s="86" t="n">
        <v>357</v>
      </c>
      <c r="B152" s="68" t="inlineStr">
        <is>
          <t>NUEVO LEON</t>
        </is>
      </c>
      <c r="C152" s="69" t="inlineStr">
        <is>
          <t>Topógrafo corneal, marca Zeiss, modelo Atlas 9000</t>
        </is>
      </c>
      <c r="D152" s="68" t="inlineStr">
        <is>
          <t>9000-2972</t>
        </is>
      </c>
      <c r="E152" s="69" t="inlineStr">
        <is>
          <t>H.M.R.E. Monterrey</t>
        </is>
      </c>
      <c r="F152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81" t="n">
        <v>2</v>
      </c>
      <c r="I152" s="291" t="n">
        <v>130000</v>
      </c>
      <c r="J152" s="291" t="n">
        <v>130000</v>
      </c>
      <c r="K152" s="291" t="n">
        <v>130000</v>
      </c>
      <c r="L152" s="291" t="n">
        <v>390000</v>
      </c>
      <c r="M152" s="291" t="n">
        <v>62400</v>
      </c>
      <c r="N152" s="291" t="n">
        <v>452400</v>
      </c>
      <c r="O152" s="296" t="n">
        <v>270000</v>
      </c>
      <c r="P152" s="296" t="n">
        <v>270000</v>
      </c>
      <c r="Q152" s="296" t="n">
        <v>540000</v>
      </c>
      <c r="R152" s="296" t="n">
        <v>810000</v>
      </c>
      <c r="S152" s="296" t="n">
        <v>129600</v>
      </c>
      <c r="T152" s="296" t="n">
        <v>939600</v>
      </c>
      <c r="U152" s="78" t="inlineStr">
        <is>
          <t>OFTALMO</t>
        </is>
      </c>
      <c r="V152" s="81" t="inlineStr">
        <is>
          <t>ZEISS</t>
        </is>
      </c>
      <c r="W152" s="83" t="inlineStr">
        <is>
          <t>ADJUDICADO</t>
        </is>
      </c>
      <c r="X152" s="5" t="inlineStr">
        <is>
          <t>PROYECTADO</t>
        </is>
      </c>
    </row>
    <row r="153" hidden="1" ht="105" customHeight="1" s="227">
      <c r="A153" s="86" t="n">
        <v>358</v>
      </c>
      <c r="B153" s="68" t="inlineStr">
        <is>
          <t>JALISCO</t>
        </is>
      </c>
      <c r="C153" s="69" t="inlineStr">
        <is>
          <t>Microscopio, marca Carl Zeiss, modelo OPMI Visu 160</t>
        </is>
      </c>
      <c r="D153" s="68" t="inlineStr">
        <is>
          <t>6213404030</t>
        </is>
      </c>
      <c r="E153" s="69" t="inlineStr">
        <is>
          <t>H.M.R.E. Guadalajara</t>
        </is>
      </c>
      <c r="F153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81" t="n">
        <v>2</v>
      </c>
      <c r="I153" s="291" t="n">
        <v>30000</v>
      </c>
      <c r="J153" s="291" t="n">
        <v>30000</v>
      </c>
      <c r="K153" s="291" t="n">
        <v>30000</v>
      </c>
      <c r="L153" s="291" t="n">
        <v>90000</v>
      </c>
      <c r="M153" s="291" t="n">
        <v>14400</v>
      </c>
      <c r="N153" s="291" t="n">
        <v>104400</v>
      </c>
      <c r="O153" s="296" t="n">
        <v>55000</v>
      </c>
      <c r="P153" s="296" t="n">
        <v>55000</v>
      </c>
      <c r="Q153" s="296" t="n">
        <v>110000</v>
      </c>
      <c r="R153" s="296" t="n">
        <v>165000</v>
      </c>
      <c r="S153" s="296" t="n">
        <v>26400</v>
      </c>
      <c r="T153" s="296" t="n">
        <v>191400</v>
      </c>
      <c r="U153" s="78" t="inlineStr">
        <is>
          <t>OFTALMO</t>
        </is>
      </c>
      <c r="V153" s="81" t="inlineStr">
        <is>
          <t>ZEISS</t>
        </is>
      </c>
      <c r="W153" s="83" t="inlineStr">
        <is>
          <t>ADJUDICADO</t>
        </is>
      </c>
      <c r="X153" s="5" t="inlineStr">
        <is>
          <t>PROYECTADO</t>
        </is>
      </c>
    </row>
    <row r="154" hidden="1" ht="105" customHeight="1" s="227">
      <c r="A154" s="86" t="n">
        <v>363</v>
      </c>
      <c r="B154" s="68" t="inlineStr">
        <is>
          <t>TABASCO</t>
        </is>
      </c>
      <c r="C154" s="69" t="inlineStr">
        <is>
          <t>Campímetro, marca Carl Zeiss Meditec, modelo Humphrey 740I</t>
        </is>
      </c>
      <c r="D154" s="68" t="inlineStr">
        <is>
          <t>740I-14200</t>
        </is>
      </c>
      <c r="E154" s="69" t="inlineStr">
        <is>
          <t>H.M.Z. Villahermosa</t>
        </is>
      </c>
      <c r="F154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81" t="n">
        <v>2</v>
      </c>
      <c r="I154" s="291" t="n">
        <v>100000</v>
      </c>
      <c r="J154" s="291" t="n">
        <v>100000</v>
      </c>
      <c r="K154" s="291" t="n">
        <v>100000</v>
      </c>
      <c r="L154" s="291" t="n">
        <v>300000</v>
      </c>
      <c r="M154" s="291" t="n">
        <v>48000</v>
      </c>
      <c r="N154" s="291" t="n">
        <v>348000</v>
      </c>
      <c r="O154" s="296" t="n">
        <v>195000</v>
      </c>
      <c r="P154" s="296" t="n">
        <v>195000</v>
      </c>
      <c r="Q154" s="296" t="n">
        <v>390000</v>
      </c>
      <c r="R154" s="296" t="n">
        <v>585000</v>
      </c>
      <c r="S154" s="296" t="n">
        <v>93600</v>
      </c>
      <c r="T154" s="296" t="n">
        <v>678600</v>
      </c>
      <c r="U154" s="78" t="inlineStr">
        <is>
          <t>OFTALMO</t>
        </is>
      </c>
      <c r="V154" s="81" t="inlineStr">
        <is>
          <t>ZEISS</t>
        </is>
      </c>
      <c r="W154" s="83" t="inlineStr">
        <is>
          <t>ADJUDICADO</t>
        </is>
      </c>
      <c r="X154" s="5" t="inlineStr">
        <is>
          <t>PROYECTADO</t>
        </is>
      </c>
    </row>
    <row r="155" ht="105" customHeight="1" s="227">
      <c r="A155" s="86" t="n">
        <v>367</v>
      </c>
      <c r="B155" s="68" t="inlineStr">
        <is>
          <t>CHIHUAHUA</t>
        </is>
      </c>
      <c r="C155" s="69" t="inlineStr">
        <is>
          <t>Equipo de rayos X móvil, marca Primax, modelo Raybow dR</t>
        </is>
      </c>
      <c r="D155" s="68" t="inlineStr">
        <is>
          <t>10076715</t>
        </is>
      </c>
      <c r="E155" s="69" t="inlineStr">
        <is>
          <t>H.M.Z. Santa Gertrudis</t>
        </is>
      </c>
      <c r="F155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81" t="n">
        <v>2</v>
      </c>
      <c r="I155" s="291" t="n">
        <v>100000</v>
      </c>
      <c r="J155" s="291">
        <f>I155</f>
        <v/>
      </c>
      <c r="K155" s="291">
        <f>J155</f>
        <v/>
      </c>
      <c r="L155" s="291">
        <f>I155+J155+K155</f>
        <v/>
      </c>
      <c r="M155" s="291">
        <f>L155*0.16</f>
        <v/>
      </c>
      <c r="N155" s="291">
        <f>L155+M155</f>
        <v/>
      </c>
      <c r="O155" s="296" t="n">
        <v>250000</v>
      </c>
      <c r="P155" s="296" t="n">
        <v>250000</v>
      </c>
      <c r="Q155" s="296" t="n">
        <v>500000</v>
      </c>
      <c r="R155" s="296" t="n">
        <v>750000</v>
      </c>
      <c r="S155" s="296" t="n">
        <v>120000</v>
      </c>
      <c r="T155" s="296" t="n">
        <v>870000</v>
      </c>
      <c r="U155" s="78" t="inlineStr">
        <is>
          <t>IMAGEN</t>
        </is>
      </c>
      <c r="V155" s="85" t="n"/>
      <c r="W155" s="83" t="inlineStr">
        <is>
          <t>ADJUDICADO</t>
        </is>
      </c>
      <c r="X155" s="5" t="inlineStr">
        <is>
          <t>PROYECTADO</t>
        </is>
      </c>
    </row>
    <row r="156" ht="105" customHeight="1" s="227">
      <c r="A156" s="92" t="n">
        <v>369</v>
      </c>
      <c r="B156" s="68" t="inlineStr">
        <is>
          <t>TAMAULIPAS</t>
        </is>
      </c>
      <c r="C156" s="69" t="inlineStr">
        <is>
          <t>Equipo de rayos X móvil, marca Primax, modelo Raybow dR</t>
        </is>
      </c>
      <c r="D156" s="68" t="inlineStr">
        <is>
          <t>10116715</t>
        </is>
      </c>
      <c r="E156" s="69" t="inlineStr">
        <is>
          <t>U.M.C.E. Reynosa</t>
        </is>
      </c>
      <c r="F15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81" t="n">
        <v>2</v>
      </c>
      <c r="I156" s="291" t="n">
        <v>150000</v>
      </c>
      <c r="J156" s="291">
        <f>I156</f>
        <v/>
      </c>
      <c r="K156" s="291">
        <f>J156</f>
        <v/>
      </c>
      <c r="L156" s="291">
        <f>I156+J156+K156</f>
        <v/>
      </c>
      <c r="M156" s="291">
        <f>L156*0.16</f>
        <v/>
      </c>
      <c r="N156" s="291">
        <f>L156+M156</f>
        <v/>
      </c>
      <c r="O156" s="296" t="n">
        <v>300000</v>
      </c>
      <c r="P156" s="296" t="n">
        <v>300000</v>
      </c>
      <c r="Q156" s="296" t="n">
        <v>600000</v>
      </c>
      <c r="R156" s="296" t="n">
        <v>900000</v>
      </c>
      <c r="S156" s="296" t="n">
        <v>144000</v>
      </c>
      <c r="T156" s="296" t="n">
        <v>1044000</v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idden="1" ht="15.75" customHeight="1" s="227">
      <c r="G157" s="32" t="n">
        <v>169</v>
      </c>
      <c r="H157" s="89" t="n">
        <v>338</v>
      </c>
      <c r="I157" s="291" t="n"/>
      <c r="J157" s="291" t="n"/>
      <c r="K157" s="299" t="inlineStr">
        <is>
          <t>COSTO CONTRATO</t>
        </is>
      </c>
      <c r="L157" s="297">
        <f>SUM(L14:L156)</f>
        <v/>
      </c>
      <c r="M157" s="297">
        <f>SUM(M14:M156)</f>
        <v/>
      </c>
      <c r="N157" s="297">
        <f>SUM(N14:N156)</f>
        <v/>
      </c>
      <c r="P157" s="294" t="n"/>
      <c r="Q157" s="300" t="inlineStr">
        <is>
          <t>VENTA CONTRATO</t>
        </is>
      </c>
      <c r="R157" s="298">
        <f>SUM(R14:R156)</f>
        <v/>
      </c>
      <c r="S157" s="298">
        <f>SUM(S14:S156)</f>
        <v/>
      </c>
      <c r="T157" s="298">
        <f>SUM(T14:T156)</f>
        <v/>
      </c>
    </row>
    <row r="158" hidden="1" ht="16.5" customHeight="1" s="227" thickBot="1">
      <c r="G158" s="295" t="n">
        <v>507</v>
      </c>
      <c r="H158" s="254" t="n"/>
      <c r="I158" s="267" t="n"/>
      <c r="J158" s="267" t="n"/>
      <c r="L158" s="99" t="inlineStr">
        <is>
          <t>SUBTOTAL</t>
        </is>
      </c>
      <c r="M158" s="100" t="inlineStr">
        <is>
          <t>IVA</t>
        </is>
      </c>
      <c r="N158" s="101" t="inlineStr">
        <is>
          <t>TOTAL</t>
        </is>
      </c>
      <c r="R158" s="99" t="inlineStr">
        <is>
          <t>SUBTOTAL</t>
        </is>
      </c>
      <c r="S158" s="100" t="inlineStr">
        <is>
          <t>IVA</t>
        </is>
      </c>
      <c r="T158" s="101" t="inlineStr">
        <is>
          <t>Total con I.V.A.</t>
        </is>
      </c>
    </row>
    <row r="159">
      <c r="I159" s="267" t="n"/>
      <c r="J159" s="267" t="n"/>
      <c r="K159" s="267" t="n"/>
      <c r="L159" s="267" t="n"/>
      <c r="M159" s="267" t="n"/>
      <c r="N159" s="267" t="n"/>
    </row>
    <row r="160" ht="15.75" customHeight="1" s="227" thickBot="1">
      <c r="I160" s="267" t="n"/>
      <c r="J160" s="267" t="n"/>
      <c r="K160" s="267" t="n"/>
      <c r="L160" s="267" t="n"/>
      <c r="M160" s="267" t="n"/>
      <c r="N160" s="105" t="inlineStr">
        <is>
          <t>NETO</t>
        </is>
      </c>
      <c r="O160" s="105" t="inlineStr">
        <is>
          <t>IVA</t>
        </is>
      </c>
      <c r="P160" s="105" t="inlineStr">
        <is>
          <t>TOTAL</t>
        </is>
      </c>
    </row>
    <row r="161">
      <c r="I161" s="267" t="n"/>
      <c r="J161" s="267" t="n"/>
      <c r="K161" s="267" t="n"/>
      <c r="L161" s="267" t="n"/>
      <c r="M161" s="106" t="inlineStr">
        <is>
          <t>COSTO TOTAL</t>
        </is>
      </c>
      <c r="N161" s="301">
        <f>L157</f>
        <v/>
      </c>
      <c r="O161" s="302">
        <f>N161*0.16</f>
        <v/>
      </c>
      <c r="P161" s="302">
        <f>N161+O161</f>
        <v/>
      </c>
    </row>
    <row r="162" ht="15.75" customHeight="1" s="227" thickBot="1">
      <c r="I162" s="267" t="n"/>
      <c r="J162" s="267" t="n"/>
      <c r="K162" s="267" t="n"/>
      <c r="L162" s="267" t="n"/>
      <c r="M162" s="108" t="inlineStr">
        <is>
          <t xml:space="preserve">INGRESO </t>
        </is>
      </c>
      <c r="N162" s="303">
        <f>R157</f>
        <v/>
      </c>
      <c r="O162" s="302">
        <f>N162*0.16</f>
        <v/>
      </c>
      <c r="P162" s="302">
        <f>N162+O162</f>
        <v/>
      </c>
    </row>
    <row r="163" ht="18" customHeight="1" s="227">
      <c r="I163" s="267" t="n"/>
      <c r="J163" s="267" t="n"/>
      <c r="K163" s="267" t="n"/>
      <c r="L163" s="267" t="n"/>
      <c r="M163" s="274" t="inlineStr">
        <is>
          <t>UTILIDAD</t>
        </is>
      </c>
      <c r="N163" s="304">
        <f>N162-N161</f>
        <v/>
      </c>
      <c r="O163" s="302">
        <f>N163*0.16</f>
        <v/>
      </c>
      <c r="P163" s="302">
        <f>N163+O163</f>
        <v/>
      </c>
    </row>
    <row r="164" ht="19.5" customHeight="1" s="227" thickBot="1">
      <c r="I164" s="267" t="n"/>
      <c r="J164" s="267" t="n"/>
      <c r="K164" s="267" t="n"/>
      <c r="L164" s="267" t="n"/>
      <c r="M164" s="275" t="n"/>
      <c r="N164" s="111">
        <f>(N162-N161)/N162</f>
        <v/>
      </c>
      <c r="O164" s="104" t="n"/>
      <c r="P164" s="104" t="n"/>
    </row>
    <row r="165">
      <c r="I165" s="267" t="n"/>
      <c r="J165" s="267" t="n"/>
      <c r="K165" s="267" t="n"/>
      <c r="L165" s="267" t="n"/>
      <c r="M165" s="267" t="n"/>
      <c r="N165" s="267" t="n"/>
    </row>
    <row r="166">
      <c r="I166" s="267" t="n"/>
      <c r="J166" s="267" t="n"/>
      <c r="K166" s="267" t="n"/>
      <c r="L166" s="267" t="n"/>
      <c r="M166" s="267" t="n"/>
      <c r="N166" s="267" t="n"/>
    </row>
    <row r="167">
      <c r="I167" s="267" t="n"/>
      <c r="J167" s="267" t="n"/>
      <c r="K167" s="267" t="n"/>
      <c r="L167" s="267" t="n"/>
      <c r="M167" s="267" t="n"/>
      <c r="N167" s="267" t="n"/>
    </row>
    <row r="168">
      <c r="I168" s="267" t="n"/>
      <c r="J168" s="267" t="n"/>
      <c r="K168" s="267" t="n"/>
      <c r="L168" s="267" t="n"/>
      <c r="M168" s="267" t="n"/>
      <c r="N168" s="267" t="n"/>
    </row>
    <row r="169">
      <c r="I169" s="267" t="n"/>
      <c r="J169" s="267" t="n"/>
      <c r="K169" s="267" t="n"/>
      <c r="L169" s="267" t="n"/>
      <c r="M169" s="267" t="n"/>
      <c r="N169" s="267" t="n"/>
    </row>
    <row r="170">
      <c r="I170" s="267" t="n"/>
      <c r="J170" s="267" t="n"/>
      <c r="K170" s="267" t="n"/>
      <c r="L170" s="267" t="n"/>
      <c r="M170" s="267" t="n"/>
      <c r="N170" s="267" t="n"/>
    </row>
    <row r="171">
      <c r="I171" s="267" t="n"/>
      <c r="J171" s="267" t="n"/>
      <c r="K171" s="267" t="n"/>
      <c r="L171" s="267" t="n"/>
      <c r="M171" s="267" t="n"/>
      <c r="N171" s="267" t="n"/>
    </row>
    <row r="172">
      <c r="I172" s="267" t="n"/>
      <c r="J172" s="267" t="n"/>
      <c r="K172" s="267" t="n"/>
      <c r="L172" s="267" t="n"/>
      <c r="M172" s="267" t="n"/>
      <c r="N172" s="267" t="n"/>
    </row>
    <row r="173">
      <c r="I173" s="267" t="n"/>
      <c r="J173" s="267" t="n"/>
      <c r="K173" s="267" t="n"/>
      <c r="L173" s="267" t="n"/>
      <c r="M173" s="267" t="n"/>
      <c r="N173" s="267" t="n"/>
    </row>
    <row r="174">
      <c r="I174" s="267" t="n"/>
      <c r="J174" s="267" t="n"/>
      <c r="K174" s="267" t="n"/>
      <c r="L174" s="267" t="n"/>
      <c r="M174" s="267" t="n"/>
      <c r="N174" s="267" t="n"/>
    </row>
    <row r="175">
      <c r="I175" s="267" t="n"/>
      <c r="J175" s="267" t="n"/>
      <c r="K175" s="267" t="n"/>
      <c r="L175" s="267" t="n"/>
      <c r="M175" s="267" t="n"/>
      <c r="N175" s="267" t="n"/>
    </row>
    <row r="176">
      <c r="I176" s="267" t="n"/>
      <c r="J176" s="267" t="n"/>
      <c r="K176" s="267" t="n"/>
      <c r="L176" s="267" t="n"/>
      <c r="M176" s="267" t="n"/>
      <c r="N176" s="267" t="n"/>
    </row>
    <row r="177">
      <c r="I177" s="267" t="n"/>
      <c r="J177" s="267" t="n"/>
      <c r="K177" s="267" t="n"/>
      <c r="L177" s="267" t="n"/>
      <c r="M177" s="267" t="n"/>
      <c r="N177" s="267" t="n"/>
    </row>
    <row r="178">
      <c r="I178" s="267" t="n"/>
      <c r="J178" s="267" t="n"/>
      <c r="K178" s="267" t="n"/>
      <c r="L178" s="267" t="n"/>
      <c r="M178" s="267" t="n"/>
      <c r="N178" s="267" t="n"/>
    </row>
    <row r="179">
      <c r="I179" s="267" t="n"/>
      <c r="J179" s="267" t="n"/>
      <c r="K179" s="267" t="n"/>
      <c r="L179" s="267" t="n"/>
      <c r="M179" s="267" t="n"/>
      <c r="N179" s="267" t="n"/>
    </row>
    <row r="180"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I185" s="267" t="n"/>
      <c r="J185" s="267" t="n"/>
      <c r="K185" s="267" t="n"/>
      <c r="L185" s="267" t="n"/>
      <c r="M185" s="267" t="n"/>
      <c r="N185" s="267" t="n"/>
    </row>
    <row r="186"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I188" s="267" t="n"/>
      <c r="J188" s="267" t="n"/>
      <c r="K188" s="267" t="n"/>
      <c r="L188" s="267" t="n"/>
      <c r="M188" s="267" t="n"/>
      <c r="N188" s="267" t="n"/>
    </row>
    <row r="189">
      <c r="I189" s="267" t="n"/>
      <c r="J189" s="267" t="n"/>
      <c r="K189" s="267" t="n"/>
      <c r="L189" s="267" t="n"/>
      <c r="M189" s="267" t="n"/>
      <c r="N189" s="267" t="n"/>
    </row>
    <row r="190"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</sheetData>
  <autoFilter ref="A12:W158">
    <filterColumn colId="20" hiddenButton="0" showButton="1">
      <filters>
        <filter val="IMAGEN"/>
      </filters>
    </filterColumn>
  </autoFilter>
  <mergeCells count="24">
    <mergeCell ref="G12:H12"/>
    <mergeCell ref="B12:B13"/>
    <mergeCell ref="F12:F13"/>
    <mergeCell ref="L12:L13"/>
    <mergeCell ref="N12:N13"/>
    <mergeCell ref="A11:W11"/>
    <mergeCell ref="R12:R13"/>
    <mergeCell ref="A12:A13"/>
    <mergeCell ref="C12:C13"/>
    <mergeCell ref="T12:T13"/>
    <mergeCell ref="M12:M13"/>
    <mergeCell ref="O12:O13"/>
    <mergeCell ref="D12:D13"/>
    <mergeCell ref="U12:U13"/>
    <mergeCell ref="O8:Q8"/>
    <mergeCell ref="W12:W13"/>
    <mergeCell ref="Q157:Q158"/>
    <mergeCell ref="M163:M164"/>
    <mergeCell ref="V12:V13"/>
    <mergeCell ref="K157:K158"/>
    <mergeCell ref="E12:E13"/>
    <mergeCell ref="S12:S13"/>
    <mergeCell ref="A10:W10"/>
    <mergeCell ref="G158:H158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Guadalupe Romero Najera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2026-10-12T19:32:38Z</dcterms:modified>
  <cp:lastModifiedBy>Biomédica  Comercial</cp:lastModifiedBy>
</cp:coreProperties>
</file>